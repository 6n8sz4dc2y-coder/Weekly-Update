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rrggroup-my.sharepoint.com/personal/gavin_barry_rrg-group_com/Documents/Desktop/Weekly update/"/>
    </mc:Choice>
  </mc:AlternateContent>
  <xr:revisionPtr revIDLastSave="0" documentId="8_{D2E81EF9-E319-48B5-8323-A994B40881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ecast Q3" sheetId="1" r:id="rId1"/>
    <sheet name="2026 - Q4" sheetId="2" r:id="rId2"/>
    <sheet name="2026 - Q3" sheetId="3" r:id="rId3"/>
    <sheet name="2026 - Q2" sheetId="4" r:id="rId4"/>
    <sheet name="2026 - Q1" sheetId="5" r:id="rId5"/>
    <sheet name="2025 - Q4" sheetId="6" r:id="rId6"/>
    <sheet name="Copy of 2025 - Q4" sheetId="7" r:id="rId7"/>
    <sheet name="2025 - Q3" sheetId="8" r:id="rId8"/>
    <sheet name="2025 - Q2" sheetId="9" r:id="rId9"/>
    <sheet name="Fleet Volumes - Plan" sheetId="10" r:id="rId10"/>
    <sheet name="2025 - Q1" sheetId="11" r:id="rId11"/>
    <sheet name="Sheet17" sheetId="12" r:id="rId12"/>
    <sheet name="2024 - Q4" sheetId="13" r:id="rId13"/>
    <sheet name="Sheet11" sheetId="14" r:id="rId14"/>
    <sheet name="Regs Q1-Q4" sheetId="15" r:id="rId15"/>
    <sheet name="2024 - Q3" sheetId="16" r:id="rId16"/>
    <sheet name="2024 - Q2" sheetId="17" r:id="rId17"/>
    <sheet name="Regs Q2" sheetId="18" r:id="rId18"/>
    <sheet name="Targets" sheetId="19" r:id="rId19"/>
    <sheet name="2024 - Q1" sheetId="20" r:id="rId20"/>
    <sheet name="2023 - Q4" sheetId="21" r:id="rId21"/>
    <sheet name="2023 - Q3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22" l="1"/>
  <c r="N21" i="22" s="1"/>
  <c r="M18" i="22"/>
  <c r="M21" i="22" s="1"/>
  <c r="J18" i="22"/>
  <c r="J21" i="22" s="1"/>
  <c r="I18" i="22"/>
  <c r="I21" i="22" s="1"/>
  <c r="G18" i="22"/>
  <c r="F18" i="22"/>
  <c r="F21" i="22" s="1"/>
  <c r="D18" i="22"/>
  <c r="D21" i="22" s="1"/>
  <c r="C18" i="22"/>
  <c r="C21" i="22" s="1"/>
  <c r="O17" i="22"/>
  <c r="K17" i="22"/>
  <c r="H17" i="22"/>
  <c r="E17" i="22"/>
  <c r="O16" i="22"/>
  <c r="K16" i="22"/>
  <c r="H16" i="22"/>
  <c r="E16" i="22"/>
  <c r="O15" i="22"/>
  <c r="O18" i="22" s="1"/>
  <c r="K15" i="22"/>
  <c r="K18" i="22" s="1"/>
  <c r="H15" i="22"/>
  <c r="H18" i="22" s="1"/>
  <c r="E15" i="22"/>
  <c r="E18" i="22" s="1"/>
  <c r="E21" i="22" s="1"/>
  <c r="N14" i="22"/>
  <c r="M14" i="22"/>
  <c r="K14" i="22"/>
  <c r="J14" i="22"/>
  <c r="I14" i="22"/>
  <c r="G14" i="22"/>
  <c r="F14" i="22"/>
  <c r="D14" i="22"/>
  <c r="C14" i="22"/>
  <c r="O13" i="22"/>
  <c r="K13" i="22"/>
  <c r="H13" i="22"/>
  <c r="E13" i="22"/>
  <c r="O12" i="22"/>
  <c r="K12" i="22"/>
  <c r="H12" i="22"/>
  <c r="E12" i="22"/>
  <c r="O11" i="22"/>
  <c r="K11" i="22"/>
  <c r="H11" i="22"/>
  <c r="E11" i="22"/>
  <c r="O10" i="22"/>
  <c r="O14" i="22" s="1"/>
  <c r="K10" i="22"/>
  <c r="H10" i="22"/>
  <c r="H14" i="22" s="1"/>
  <c r="E10" i="22"/>
  <c r="E14" i="22" s="1"/>
  <c r="N9" i="22"/>
  <c r="M9" i="22"/>
  <c r="K9" i="22"/>
  <c r="J9" i="22"/>
  <c r="I9" i="22"/>
  <c r="G9" i="22"/>
  <c r="F9" i="22"/>
  <c r="D9" i="22"/>
  <c r="C9" i="22"/>
  <c r="O8" i="22"/>
  <c r="K8" i="22"/>
  <c r="H8" i="22"/>
  <c r="E8" i="22"/>
  <c r="O7" i="22"/>
  <c r="K7" i="22"/>
  <c r="H7" i="22"/>
  <c r="E7" i="22"/>
  <c r="O6" i="22"/>
  <c r="K6" i="22"/>
  <c r="H6" i="22"/>
  <c r="E6" i="22"/>
  <c r="O5" i="22"/>
  <c r="O9" i="22" s="1"/>
  <c r="K5" i="22"/>
  <c r="H5" i="22"/>
  <c r="H9" i="22" s="1"/>
  <c r="E5" i="22"/>
  <c r="E9" i="22" s="1"/>
  <c r="Y18" i="21"/>
  <c r="X18" i="21"/>
  <c r="W18" i="21"/>
  <c r="U18" i="21"/>
  <c r="U21" i="21" s="1"/>
  <c r="P18" i="21"/>
  <c r="L18" i="21"/>
  <c r="K18" i="21"/>
  <c r="J18" i="21"/>
  <c r="J21" i="21" s="1"/>
  <c r="H18" i="21"/>
  <c r="G18" i="21"/>
  <c r="F18" i="21"/>
  <c r="F21" i="21" s="1"/>
  <c r="D18" i="21"/>
  <c r="C18" i="21"/>
  <c r="C21" i="21" s="1"/>
  <c r="B18" i="21"/>
  <c r="B21" i="21" s="1"/>
  <c r="Z17" i="21"/>
  <c r="R17" i="21"/>
  <c r="Q17" i="21"/>
  <c r="P17" i="21"/>
  <c r="O17" i="21"/>
  <c r="N17" i="21"/>
  <c r="M17" i="21"/>
  <c r="AA17" i="21" s="1"/>
  <c r="I17" i="21"/>
  <c r="E17" i="21"/>
  <c r="AA16" i="21"/>
  <c r="Z16" i="21"/>
  <c r="Z18" i="21" s="1"/>
  <c r="Q16" i="21"/>
  <c r="P16" i="21"/>
  <c r="O16" i="21"/>
  <c r="O18" i="21" s="1"/>
  <c r="N16" i="21"/>
  <c r="M16" i="21"/>
  <c r="I16" i="21"/>
  <c r="E16" i="21"/>
  <c r="Z15" i="21"/>
  <c r="R15" i="21"/>
  <c r="Q15" i="21"/>
  <c r="Q18" i="21" s="1"/>
  <c r="P15" i="21"/>
  <c r="O15" i="21"/>
  <c r="N15" i="21"/>
  <c r="M15" i="21"/>
  <c r="M18" i="21" s="1"/>
  <c r="I15" i="21"/>
  <c r="I18" i="21" s="1"/>
  <c r="E15" i="21"/>
  <c r="E18" i="21" s="1"/>
  <c r="E21" i="21" s="1"/>
  <c r="Y14" i="21"/>
  <c r="X14" i="21"/>
  <c r="W14" i="21"/>
  <c r="U14" i="21"/>
  <c r="L14" i="21"/>
  <c r="K14" i="21"/>
  <c r="J14" i="21"/>
  <c r="H14" i="21"/>
  <c r="G14" i="21"/>
  <c r="F14" i="21"/>
  <c r="D14" i="21"/>
  <c r="C14" i="21"/>
  <c r="B14" i="21"/>
  <c r="Z13" i="21"/>
  <c r="R13" i="21"/>
  <c r="Q13" i="21"/>
  <c r="P13" i="21"/>
  <c r="O13" i="21"/>
  <c r="N13" i="21"/>
  <c r="M13" i="21"/>
  <c r="AA13" i="21" s="1"/>
  <c r="I13" i="21"/>
  <c r="E13" i="21"/>
  <c r="AA12" i="21"/>
  <c r="Z12" i="21"/>
  <c r="Q12" i="21"/>
  <c r="P12" i="21"/>
  <c r="O12" i="21"/>
  <c r="N12" i="21"/>
  <c r="M12" i="21"/>
  <c r="I12" i="21"/>
  <c r="E12" i="21"/>
  <c r="Z11" i="21"/>
  <c r="R11" i="21"/>
  <c r="Q11" i="21"/>
  <c r="P11" i="21"/>
  <c r="O11" i="21"/>
  <c r="N11" i="21"/>
  <c r="M11" i="21"/>
  <c r="M14" i="21" s="1"/>
  <c r="I11" i="21"/>
  <c r="E11" i="21"/>
  <c r="AA10" i="21"/>
  <c r="Z10" i="21"/>
  <c r="Z14" i="21" s="1"/>
  <c r="Q10" i="21"/>
  <c r="Q14" i="21" s="1"/>
  <c r="P10" i="21"/>
  <c r="P14" i="21" s="1"/>
  <c r="O10" i="21"/>
  <c r="O14" i="21" s="1"/>
  <c r="N10" i="21"/>
  <c r="M10" i="21"/>
  <c r="I10" i="21"/>
  <c r="E10" i="21"/>
  <c r="E14" i="21" s="1"/>
  <c r="Y9" i="21"/>
  <c r="Y21" i="21" s="1"/>
  <c r="X9" i="21"/>
  <c r="X21" i="21" s="1"/>
  <c r="W9" i="21"/>
  <c r="U9" i="21"/>
  <c r="M9" i="21"/>
  <c r="L9" i="21"/>
  <c r="L21" i="21" s="1"/>
  <c r="K9" i="21"/>
  <c r="J9" i="21"/>
  <c r="H9" i="21"/>
  <c r="H21" i="21" s="1"/>
  <c r="G9" i="21"/>
  <c r="F9" i="21"/>
  <c r="E9" i="21"/>
  <c r="D9" i="21"/>
  <c r="D21" i="21" s="1"/>
  <c r="C9" i="21"/>
  <c r="B9" i="21"/>
  <c r="AA8" i="21"/>
  <c r="Z8" i="21"/>
  <c r="Q8" i="21"/>
  <c r="P8" i="21"/>
  <c r="O8" i="21"/>
  <c r="N8" i="21"/>
  <c r="M8" i="21"/>
  <c r="I8" i="21"/>
  <c r="I9" i="21" s="1"/>
  <c r="E8" i="21"/>
  <c r="Z7" i="21"/>
  <c r="R7" i="21"/>
  <c r="Q7" i="21"/>
  <c r="P7" i="21"/>
  <c r="O7" i="21"/>
  <c r="N7" i="21"/>
  <c r="M7" i="21"/>
  <c r="AA7" i="21" s="1"/>
  <c r="I7" i="21"/>
  <c r="E7" i="21"/>
  <c r="AA6" i="21"/>
  <c r="Z6" i="21"/>
  <c r="Q6" i="21"/>
  <c r="P6" i="21"/>
  <c r="O6" i="21"/>
  <c r="R6" i="21" s="1"/>
  <c r="N6" i="21"/>
  <c r="M6" i="21"/>
  <c r="I6" i="21"/>
  <c r="E6" i="21"/>
  <c r="Z5" i="21"/>
  <c r="Z9" i="21" s="1"/>
  <c r="R5" i="21"/>
  <c r="Q5" i="21"/>
  <c r="Q9" i="21" s="1"/>
  <c r="P5" i="21"/>
  <c r="O5" i="21"/>
  <c r="O9" i="21" s="1"/>
  <c r="N5" i="21"/>
  <c r="M5" i="21"/>
  <c r="AA5" i="21" s="1"/>
  <c r="I5" i="21"/>
  <c r="E5" i="21"/>
  <c r="I46" i="20"/>
  <c r="E46" i="20"/>
  <c r="Q43" i="20"/>
  <c r="N43" i="20"/>
  <c r="N46" i="20" s="1"/>
  <c r="L43" i="20"/>
  <c r="I43" i="20"/>
  <c r="H43" i="20"/>
  <c r="F43" i="20"/>
  <c r="F46" i="20" s="1"/>
  <c r="E43" i="20"/>
  <c r="D43" i="20"/>
  <c r="C43" i="20"/>
  <c r="B43" i="20"/>
  <c r="B46" i="20" s="1"/>
  <c r="R42" i="20"/>
  <c r="L42" i="20"/>
  <c r="K42" i="20"/>
  <c r="M42" i="20" s="1"/>
  <c r="O42" i="20" s="1"/>
  <c r="J42" i="20"/>
  <c r="G42" i="20"/>
  <c r="D42" i="20"/>
  <c r="R41" i="20"/>
  <c r="L41" i="20"/>
  <c r="K41" i="20"/>
  <c r="M41" i="20" s="1"/>
  <c r="O41" i="20" s="1"/>
  <c r="J41" i="20"/>
  <c r="G41" i="20"/>
  <c r="D41" i="20"/>
  <c r="R40" i="20"/>
  <c r="L40" i="20"/>
  <c r="K40" i="20"/>
  <c r="J40" i="20"/>
  <c r="J43" i="20" s="1"/>
  <c r="G40" i="20"/>
  <c r="G43" i="20" s="1"/>
  <c r="D40" i="20"/>
  <c r="Q39" i="20"/>
  <c r="N39" i="20"/>
  <c r="L39" i="20"/>
  <c r="K39" i="20"/>
  <c r="I39" i="20"/>
  <c r="H39" i="20"/>
  <c r="F39" i="20"/>
  <c r="E39" i="20"/>
  <c r="D39" i="20"/>
  <c r="C39" i="20"/>
  <c r="B39" i="20"/>
  <c r="O38" i="20"/>
  <c r="M38" i="20"/>
  <c r="L38" i="20"/>
  <c r="K38" i="20"/>
  <c r="J38" i="20"/>
  <c r="G38" i="20"/>
  <c r="D38" i="20"/>
  <c r="O37" i="20"/>
  <c r="M37" i="20"/>
  <c r="L37" i="20"/>
  <c r="J37" i="20"/>
  <c r="R37" i="20" s="1"/>
  <c r="G37" i="20"/>
  <c r="D37" i="20"/>
  <c r="R36" i="20"/>
  <c r="M36" i="20"/>
  <c r="O36" i="20" s="1"/>
  <c r="L36" i="20"/>
  <c r="K36" i="20"/>
  <c r="J36" i="20"/>
  <c r="G36" i="20"/>
  <c r="D36" i="20"/>
  <c r="R35" i="20"/>
  <c r="M35" i="20"/>
  <c r="L35" i="20"/>
  <c r="K35" i="20"/>
  <c r="J35" i="20"/>
  <c r="G35" i="20"/>
  <c r="D35" i="20"/>
  <c r="Q34" i="20"/>
  <c r="N34" i="20"/>
  <c r="K34" i="20"/>
  <c r="J34" i="20"/>
  <c r="R34" i="20" s="1"/>
  <c r="I34" i="20"/>
  <c r="H34" i="20"/>
  <c r="F34" i="20"/>
  <c r="E34" i="20"/>
  <c r="C34" i="20"/>
  <c r="B34" i="20"/>
  <c r="R33" i="20"/>
  <c r="M33" i="20"/>
  <c r="O33" i="20" s="1"/>
  <c r="L33" i="20"/>
  <c r="K33" i="20"/>
  <c r="J33" i="20"/>
  <c r="G33" i="20"/>
  <c r="D33" i="20"/>
  <c r="R32" i="20"/>
  <c r="M32" i="20"/>
  <c r="O32" i="20" s="1"/>
  <c r="L32" i="20"/>
  <c r="K32" i="20"/>
  <c r="J32" i="20"/>
  <c r="G32" i="20"/>
  <c r="D32" i="20"/>
  <c r="R31" i="20"/>
  <c r="M31" i="20"/>
  <c r="O31" i="20" s="1"/>
  <c r="Q15" i="20" s="1"/>
  <c r="Q18" i="20" s="1"/>
  <c r="L31" i="20"/>
  <c r="K31" i="20"/>
  <c r="J31" i="20"/>
  <c r="G31" i="20"/>
  <c r="G34" i="20" s="1"/>
  <c r="D31" i="20"/>
  <c r="R30" i="20"/>
  <c r="M30" i="20"/>
  <c r="L30" i="20"/>
  <c r="L34" i="20" s="1"/>
  <c r="K30" i="20"/>
  <c r="J30" i="20"/>
  <c r="G30" i="20"/>
  <c r="D30" i="20"/>
  <c r="D34" i="20" s="1"/>
  <c r="AC18" i="20"/>
  <c r="AA18" i="20"/>
  <c r="AA21" i="20" s="1"/>
  <c r="Y18" i="20"/>
  <c r="W18" i="20"/>
  <c r="W21" i="20" s="1"/>
  <c r="S18" i="20"/>
  <c r="L18" i="20"/>
  <c r="L21" i="20" s="1"/>
  <c r="K18" i="20"/>
  <c r="Z18" i="20" s="1"/>
  <c r="J18" i="20"/>
  <c r="H18" i="20"/>
  <c r="H21" i="20" s="1"/>
  <c r="G18" i="20"/>
  <c r="G21" i="20" s="1"/>
  <c r="F18" i="20"/>
  <c r="D18" i="20"/>
  <c r="D21" i="20" s="1"/>
  <c r="C18" i="20"/>
  <c r="C21" i="20" s="1"/>
  <c r="B18" i="20"/>
  <c r="AD17" i="20"/>
  <c r="AE17" i="20" s="1"/>
  <c r="AB17" i="20"/>
  <c r="Z17" i="20"/>
  <c r="T17" i="20"/>
  <c r="Q17" i="20"/>
  <c r="P17" i="20"/>
  <c r="O17" i="20"/>
  <c r="R17" i="20" s="1"/>
  <c r="M17" i="20"/>
  <c r="X17" i="20" s="1"/>
  <c r="I17" i="20"/>
  <c r="E17" i="20"/>
  <c r="AE16" i="20"/>
  <c r="AD16" i="20"/>
  <c r="AB16" i="20"/>
  <c r="Z16" i="20"/>
  <c r="X16" i="20"/>
  <c r="T16" i="20"/>
  <c r="Q16" i="20"/>
  <c r="P16" i="20"/>
  <c r="O16" i="20"/>
  <c r="M16" i="20"/>
  <c r="I16" i="20"/>
  <c r="E16" i="20"/>
  <c r="AE15" i="20"/>
  <c r="AD15" i="20"/>
  <c r="AB15" i="20"/>
  <c r="AB18" i="20" s="1"/>
  <c r="Z15" i="20"/>
  <c r="X15" i="20"/>
  <c r="P15" i="20"/>
  <c r="O15" i="20"/>
  <c r="O18" i="20" s="1"/>
  <c r="M15" i="20"/>
  <c r="T15" i="20" s="1"/>
  <c r="T18" i="20" s="1"/>
  <c r="I15" i="20"/>
  <c r="I18" i="20" s="1"/>
  <c r="E15" i="20"/>
  <c r="AC14" i="20"/>
  <c r="AA14" i="20"/>
  <c r="Y14" i="20"/>
  <c r="X14" i="20"/>
  <c r="W14" i="20"/>
  <c r="S14" i="20"/>
  <c r="M14" i="20"/>
  <c r="L14" i="20"/>
  <c r="K14" i="20"/>
  <c r="J14" i="20"/>
  <c r="Z14" i="20" s="1"/>
  <c r="I14" i="20"/>
  <c r="H14" i="20"/>
  <c r="G14" i="20"/>
  <c r="F14" i="20"/>
  <c r="E14" i="20"/>
  <c r="D14" i="20"/>
  <c r="C14" i="20"/>
  <c r="B14" i="20"/>
  <c r="AE13" i="20"/>
  <c r="AD13" i="20"/>
  <c r="AB13" i="20"/>
  <c r="Z13" i="20"/>
  <c r="X13" i="20"/>
  <c r="P13" i="20"/>
  <c r="O13" i="20"/>
  <c r="R13" i="20" s="1"/>
  <c r="M13" i="20"/>
  <c r="T13" i="20" s="1"/>
  <c r="I13" i="20"/>
  <c r="E13" i="20"/>
  <c r="AE12" i="20"/>
  <c r="AD12" i="20"/>
  <c r="AB12" i="20"/>
  <c r="Z12" i="20"/>
  <c r="X12" i="20"/>
  <c r="T12" i="20"/>
  <c r="Q12" i="20"/>
  <c r="P12" i="20"/>
  <c r="O12" i="20"/>
  <c r="R12" i="20" s="1"/>
  <c r="M12" i="20"/>
  <c r="I12" i="20"/>
  <c r="E12" i="20"/>
  <c r="AE11" i="20"/>
  <c r="AD11" i="20"/>
  <c r="AB11" i="20"/>
  <c r="Z11" i="20"/>
  <c r="X11" i="20"/>
  <c r="Q11" i="20"/>
  <c r="P11" i="20"/>
  <c r="O11" i="20"/>
  <c r="M11" i="20"/>
  <c r="T11" i="20" s="1"/>
  <c r="I11" i="20"/>
  <c r="E11" i="20"/>
  <c r="AE10" i="20"/>
  <c r="AD10" i="20"/>
  <c r="AD14" i="20" s="1"/>
  <c r="AB10" i="20"/>
  <c r="AB14" i="20" s="1"/>
  <c r="Z10" i="20"/>
  <c r="R10" i="20"/>
  <c r="Q10" i="20"/>
  <c r="P10" i="20"/>
  <c r="P14" i="20" s="1"/>
  <c r="O10" i="20"/>
  <c r="O14" i="20" s="1"/>
  <c r="M10" i="20"/>
  <c r="I10" i="20"/>
  <c r="E10" i="20"/>
  <c r="AC9" i="20"/>
  <c r="AC21" i="20" s="1"/>
  <c r="AA9" i="20"/>
  <c r="Y9" i="20"/>
  <c r="Y21" i="20" s="1"/>
  <c r="W9" i="20"/>
  <c r="S9" i="20"/>
  <c r="S21" i="20" s="1"/>
  <c r="L9" i="20"/>
  <c r="K9" i="20"/>
  <c r="J9" i="20"/>
  <c r="H9" i="20"/>
  <c r="G9" i="20"/>
  <c r="F9" i="20"/>
  <c r="F21" i="20" s="1"/>
  <c r="D9" i="20"/>
  <c r="C9" i="20"/>
  <c r="B9" i="20"/>
  <c r="B21" i="20" s="1"/>
  <c r="AE8" i="20"/>
  <c r="AD8" i="20"/>
  <c r="AB8" i="20"/>
  <c r="Z8" i="20"/>
  <c r="X8" i="20"/>
  <c r="Q8" i="20"/>
  <c r="P8" i="20"/>
  <c r="O8" i="20"/>
  <c r="M8" i="20"/>
  <c r="T8" i="20" s="1"/>
  <c r="I8" i="20"/>
  <c r="E8" i="20"/>
  <c r="AE7" i="20"/>
  <c r="AD7" i="20"/>
  <c r="AB7" i="20"/>
  <c r="Z7" i="20"/>
  <c r="R7" i="20"/>
  <c r="Q7" i="20"/>
  <c r="P7" i="20"/>
  <c r="O7" i="20"/>
  <c r="M7" i="20"/>
  <c r="I7" i="20"/>
  <c r="E7" i="20"/>
  <c r="AD6" i="20"/>
  <c r="AE6" i="20" s="1"/>
  <c r="AB6" i="20"/>
  <c r="Z6" i="20"/>
  <c r="T6" i="20"/>
  <c r="Q6" i="20"/>
  <c r="P6" i="20"/>
  <c r="O6" i="20"/>
  <c r="R6" i="20" s="1"/>
  <c r="M6" i="20"/>
  <c r="M9" i="20" s="1"/>
  <c r="X9" i="20" s="1"/>
  <c r="I6" i="20"/>
  <c r="E6" i="20"/>
  <c r="AE5" i="20"/>
  <c r="AD5" i="20"/>
  <c r="AD9" i="20" s="1"/>
  <c r="AB5" i="20"/>
  <c r="Z5" i="20"/>
  <c r="X5" i="20"/>
  <c r="T5" i="20"/>
  <c r="Q5" i="20"/>
  <c r="P5" i="20"/>
  <c r="P9" i="20" s="1"/>
  <c r="O5" i="20"/>
  <c r="M5" i="20"/>
  <c r="I5" i="20"/>
  <c r="E5" i="20"/>
  <c r="E9" i="20" s="1"/>
  <c r="D81" i="19"/>
  <c r="C81" i="19"/>
  <c r="B81" i="19"/>
  <c r="E81" i="19" s="1"/>
  <c r="E80" i="19"/>
  <c r="E79" i="19"/>
  <c r="E78" i="19"/>
  <c r="E77" i="19"/>
  <c r="E76" i="19"/>
  <c r="E75" i="19"/>
  <c r="E74" i="19"/>
  <c r="E73" i="19"/>
  <c r="E72" i="19"/>
  <c r="E71" i="19"/>
  <c r="E70" i="19"/>
  <c r="E67" i="19"/>
  <c r="D67" i="19"/>
  <c r="C67" i="19"/>
  <c r="B67" i="19"/>
  <c r="E66" i="19"/>
  <c r="E65" i="19"/>
  <c r="E64" i="19"/>
  <c r="E63" i="19"/>
  <c r="E62" i="19"/>
  <c r="E61" i="19"/>
  <c r="E60" i="19"/>
  <c r="E59" i="19"/>
  <c r="E58" i="19"/>
  <c r="E57" i="19"/>
  <c r="E56" i="19"/>
  <c r="Y55" i="19"/>
  <c r="X55" i="19"/>
  <c r="X54" i="19"/>
  <c r="Z54" i="19" s="1"/>
  <c r="T54" i="19"/>
  <c r="X53" i="19"/>
  <c r="Z53" i="19" s="1"/>
  <c r="X51" i="19"/>
  <c r="X50" i="19"/>
  <c r="Y49" i="19"/>
  <c r="X49" i="19"/>
  <c r="X48" i="19"/>
  <c r="X46" i="19"/>
  <c r="Z45" i="19"/>
  <c r="X45" i="19"/>
  <c r="Y44" i="19"/>
  <c r="X44" i="19"/>
  <c r="X43" i="19"/>
  <c r="Z43" i="19" s="1"/>
  <c r="AB38" i="19"/>
  <c r="AA38" i="19"/>
  <c r="Z38" i="19"/>
  <c r="AC38" i="19" s="1"/>
  <c r="V38" i="19"/>
  <c r="U38" i="19"/>
  <c r="T38" i="19"/>
  <c r="W38" i="19" s="1"/>
  <c r="P38" i="19"/>
  <c r="O38" i="19"/>
  <c r="N38" i="19"/>
  <c r="Q38" i="19" s="1"/>
  <c r="J38" i="19"/>
  <c r="I38" i="19"/>
  <c r="H38" i="19"/>
  <c r="K38" i="19" s="1"/>
  <c r="D38" i="19"/>
  <c r="C38" i="19"/>
  <c r="B38" i="19"/>
  <c r="E38" i="19" s="1"/>
  <c r="AC37" i="19"/>
  <c r="W37" i="19"/>
  <c r="Q37" i="19"/>
  <c r="K37" i="19"/>
  <c r="E37" i="19"/>
  <c r="AC36" i="19"/>
  <c r="Y54" i="19" s="1"/>
  <c r="W36" i="19"/>
  <c r="Q36" i="19"/>
  <c r="K36" i="19"/>
  <c r="E36" i="19"/>
  <c r="AC35" i="19"/>
  <c r="Y53" i="19" s="1"/>
  <c r="W35" i="19"/>
  <c r="Q35" i="19"/>
  <c r="K35" i="19"/>
  <c r="E35" i="19"/>
  <c r="AC34" i="19"/>
  <c r="Y51" i="19" s="1"/>
  <c r="Z51" i="19" s="1"/>
  <c r="W34" i="19"/>
  <c r="Q34" i="19"/>
  <c r="K34" i="19"/>
  <c r="E34" i="19"/>
  <c r="AC33" i="19"/>
  <c r="Y48" i="19" s="1"/>
  <c r="W33" i="19"/>
  <c r="Q33" i="19"/>
  <c r="K33" i="19"/>
  <c r="E33" i="19"/>
  <c r="AC32" i="19"/>
  <c r="W32" i="19"/>
  <c r="Q32" i="19"/>
  <c r="K32" i="19"/>
  <c r="E32" i="19"/>
  <c r="AC31" i="19"/>
  <c r="Y50" i="19" s="1"/>
  <c r="Z50" i="19" s="1"/>
  <c r="W31" i="19"/>
  <c r="Q31" i="19"/>
  <c r="K31" i="19"/>
  <c r="E31" i="19"/>
  <c r="AC30" i="19"/>
  <c r="Y43" i="19" s="1"/>
  <c r="W30" i="19"/>
  <c r="Q30" i="19"/>
  <c r="K30" i="19"/>
  <c r="E30" i="19"/>
  <c r="AC29" i="19"/>
  <c r="Y46" i="19" s="1"/>
  <c r="Z46" i="19" s="1"/>
  <c r="W29" i="19"/>
  <c r="Q29" i="19"/>
  <c r="K29" i="19"/>
  <c r="E29" i="19"/>
  <c r="AC28" i="19"/>
  <c r="Y45" i="19" s="1"/>
  <c r="W28" i="19"/>
  <c r="Q28" i="19"/>
  <c r="K28" i="19"/>
  <c r="E28" i="19"/>
  <c r="AC27" i="19"/>
  <c r="W27" i="19"/>
  <c r="Q27" i="19"/>
  <c r="K27" i="19"/>
  <c r="E27" i="19"/>
  <c r="E15" i="19"/>
  <c r="D15" i="19"/>
  <c r="C15" i="19"/>
  <c r="B15" i="19"/>
  <c r="J14" i="19"/>
  <c r="I14" i="19"/>
  <c r="H14" i="19"/>
  <c r="E14" i="19"/>
  <c r="J13" i="19"/>
  <c r="I13" i="19"/>
  <c r="H13" i="19"/>
  <c r="E13" i="19"/>
  <c r="J12" i="19"/>
  <c r="I12" i="19"/>
  <c r="H12" i="19"/>
  <c r="E12" i="19"/>
  <c r="E11" i="19"/>
  <c r="J10" i="19"/>
  <c r="I10" i="19"/>
  <c r="H10" i="19"/>
  <c r="E10" i="19"/>
  <c r="J9" i="19"/>
  <c r="I9" i="19"/>
  <c r="H9" i="19"/>
  <c r="E9" i="19"/>
  <c r="J8" i="19"/>
  <c r="I8" i="19"/>
  <c r="H8" i="19"/>
  <c r="E8" i="19"/>
  <c r="J7" i="19"/>
  <c r="I7" i="19"/>
  <c r="H7" i="19"/>
  <c r="E7" i="19"/>
  <c r="E6" i="19"/>
  <c r="J5" i="19"/>
  <c r="I5" i="19"/>
  <c r="H5" i="19"/>
  <c r="E5" i="19"/>
  <c r="J4" i="19"/>
  <c r="I4" i="19"/>
  <c r="H4" i="19"/>
  <c r="E4" i="19"/>
  <c r="J3" i="19"/>
  <c r="I3" i="19"/>
  <c r="H3" i="19"/>
  <c r="J2" i="19"/>
  <c r="I2" i="19"/>
  <c r="H2" i="19"/>
  <c r="Y92" i="18"/>
  <c r="W88" i="18"/>
  <c r="W85" i="18"/>
  <c r="V85" i="18"/>
  <c r="X84" i="18"/>
  <c r="X83" i="18"/>
  <c r="X82" i="18"/>
  <c r="X81" i="18"/>
  <c r="W81" i="18"/>
  <c r="V81" i="18"/>
  <c r="X80" i="18"/>
  <c r="X79" i="18"/>
  <c r="X78" i="18"/>
  <c r="X77" i="18"/>
  <c r="W76" i="18"/>
  <c r="V76" i="18"/>
  <c r="X76" i="18" s="1"/>
  <c r="X75" i="18"/>
  <c r="X74" i="18"/>
  <c r="X73" i="18"/>
  <c r="X72" i="18"/>
  <c r="W65" i="18"/>
  <c r="D64" i="18"/>
  <c r="W62" i="18"/>
  <c r="X61" i="18"/>
  <c r="V61" i="18"/>
  <c r="E61" i="18"/>
  <c r="E64" i="18" s="1"/>
  <c r="D61" i="18"/>
  <c r="F61" i="18" s="1"/>
  <c r="X60" i="18"/>
  <c r="F60" i="18"/>
  <c r="V59" i="18"/>
  <c r="G37" i="17" s="1"/>
  <c r="F59" i="18"/>
  <c r="W58" i="18"/>
  <c r="V58" i="18"/>
  <c r="X58" i="18" s="1"/>
  <c r="F58" i="18"/>
  <c r="X57" i="18"/>
  <c r="E57" i="18"/>
  <c r="D57" i="18"/>
  <c r="X56" i="18"/>
  <c r="F56" i="18"/>
  <c r="X55" i="18"/>
  <c r="V55" i="18"/>
  <c r="F55" i="18"/>
  <c r="X54" i="18"/>
  <c r="F54" i="18"/>
  <c r="W53" i="18"/>
  <c r="F53" i="18"/>
  <c r="X52" i="18"/>
  <c r="E52" i="18"/>
  <c r="D52" i="18"/>
  <c r="F52" i="18" s="1"/>
  <c r="X51" i="18"/>
  <c r="F51" i="18"/>
  <c r="V50" i="18"/>
  <c r="F50" i="18"/>
  <c r="X49" i="18"/>
  <c r="F49" i="18"/>
  <c r="F48" i="18"/>
  <c r="W39" i="18"/>
  <c r="W42" i="18" s="1"/>
  <c r="V39" i="18"/>
  <c r="O39" i="18"/>
  <c r="O42" i="18" s="1"/>
  <c r="N39" i="18"/>
  <c r="M39" i="18"/>
  <c r="L39" i="18"/>
  <c r="K39" i="18"/>
  <c r="K42" i="18" s="1"/>
  <c r="J39" i="18"/>
  <c r="I39" i="18"/>
  <c r="E39" i="18"/>
  <c r="D39" i="18"/>
  <c r="X38" i="18"/>
  <c r="R38" i="18"/>
  <c r="Q38" i="18"/>
  <c r="P38" i="18"/>
  <c r="F38" i="18"/>
  <c r="X37" i="18"/>
  <c r="R37" i="18"/>
  <c r="Q37" i="18"/>
  <c r="P37" i="18"/>
  <c r="F37" i="18"/>
  <c r="X36" i="18"/>
  <c r="Q36" i="18"/>
  <c r="P36" i="18"/>
  <c r="R36" i="18" s="1"/>
  <c r="R39" i="18" s="1"/>
  <c r="F36" i="18"/>
  <c r="W35" i="18"/>
  <c r="V35" i="18"/>
  <c r="X35" i="18" s="1"/>
  <c r="O35" i="18"/>
  <c r="N35" i="18"/>
  <c r="M35" i="18"/>
  <c r="L35" i="18"/>
  <c r="L42" i="18" s="1"/>
  <c r="K35" i="18"/>
  <c r="J35" i="18"/>
  <c r="I35" i="18"/>
  <c r="E35" i="18"/>
  <c r="D35" i="18"/>
  <c r="X34" i="18"/>
  <c r="Q34" i="18"/>
  <c r="P34" i="18"/>
  <c r="F34" i="18"/>
  <c r="X33" i="18"/>
  <c r="R33" i="18"/>
  <c r="Q33" i="18"/>
  <c r="P33" i="18"/>
  <c r="F33" i="18"/>
  <c r="X32" i="18"/>
  <c r="R32" i="18"/>
  <c r="Q32" i="18"/>
  <c r="P32" i="18"/>
  <c r="F32" i="18"/>
  <c r="X31" i="18"/>
  <c r="Q31" i="18"/>
  <c r="P31" i="18"/>
  <c r="R31" i="18" s="1"/>
  <c r="F31" i="18"/>
  <c r="W30" i="18"/>
  <c r="V30" i="18"/>
  <c r="X30" i="18" s="1"/>
  <c r="O30" i="18"/>
  <c r="N30" i="18"/>
  <c r="M30" i="18"/>
  <c r="L30" i="18"/>
  <c r="K30" i="18"/>
  <c r="J30" i="18"/>
  <c r="I30" i="18"/>
  <c r="E30" i="18"/>
  <c r="D30" i="18"/>
  <c r="F30" i="18" s="1"/>
  <c r="X29" i="18"/>
  <c r="Q29" i="18"/>
  <c r="P29" i="18"/>
  <c r="R29" i="18" s="1"/>
  <c r="F29" i="18"/>
  <c r="X28" i="18"/>
  <c r="Q28" i="18"/>
  <c r="P28" i="18"/>
  <c r="R28" i="18" s="1"/>
  <c r="F28" i="18"/>
  <c r="X27" i="18"/>
  <c r="R27" i="18"/>
  <c r="R30" i="18" s="1"/>
  <c r="Q27" i="18"/>
  <c r="P27" i="18"/>
  <c r="F27" i="18"/>
  <c r="X26" i="18"/>
  <c r="R26" i="18"/>
  <c r="Q26" i="18"/>
  <c r="P26" i="18"/>
  <c r="F26" i="18"/>
  <c r="R15" i="18"/>
  <c r="E15" i="18"/>
  <c r="D15" i="18"/>
  <c r="F15" i="18" s="1"/>
  <c r="G15" i="18" s="1"/>
  <c r="R14" i="18"/>
  <c r="F14" i="18"/>
  <c r="G14" i="18" s="1"/>
  <c r="E14" i="18"/>
  <c r="E16" i="18" s="1"/>
  <c r="D14" i="18"/>
  <c r="R13" i="18"/>
  <c r="E13" i="18"/>
  <c r="D13" i="18"/>
  <c r="R11" i="18"/>
  <c r="D11" i="18" s="1"/>
  <c r="E11" i="18"/>
  <c r="R10" i="18"/>
  <c r="D10" i="18" s="1"/>
  <c r="F10" i="18" s="1"/>
  <c r="G10" i="18" s="1"/>
  <c r="E10" i="18"/>
  <c r="E12" i="18" s="1"/>
  <c r="R9" i="18"/>
  <c r="D9" i="18" s="1"/>
  <c r="F9" i="18" s="1"/>
  <c r="G9" i="18" s="1"/>
  <c r="E9" i="18"/>
  <c r="R8" i="18"/>
  <c r="D8" i="18" s="1"/>
  <c r="E8" i="18"/>
  <c r="R6" i="18"/>
  <c r="E6" i="18"/>
  <c r="D6" i="18"/>
  <c r="F6" i="18" s="1"/>
  <c r="G6" i="18" s="1"/>
  <c r="R5" i="18"/>
  <c r="F5" i="18"/>
  <c r="G5" i="18" s="1"/>
  <c r="E5" i="18"/>
  <c r="D5" i="18"/>
  <c r="R4" i="18"/>
  <c r="E4" i="18"/>
  <c r="D4" i="18"/>
  <c r="F4" i="18" s="1"/>
  <c r="G4" i="18" s="1"/>
  <c r="R3" i="18"/>
  <c r="F3" i="18"/>
  <c r="E3" i="18"/>
  <c r="E7" i="18" s="1"/>
  <c r="D3" i="18"/>
  <c r="D7" i="18" s="1"/>
  <c r="F7" i="18" s="1"/>
  <c r="G7" i="18" s="1"/>
  <c r="P41" i="17"/>
  <c r="P40" i="17"/>
  <c r="L40" i="17"/>
  <c r="H40" i="17"/>
  <c r="H43" i="17" s="1"/>
  <c r="D40" i="17"/>
  <c r="D43" i="17" s="1"/>
  <c r="R39" i="17"/>
  <c r="P39" i="17"/>
  <c r="K39" i="17"/>
  <c r="M39" i="17" s="1"/>
  <c r="G39" i="17"/>
  <c r="I39" i="17" s="1"/>
  <c r="C39" i="17"/>
  <c r="E39" i="17" s="1"/>
  <c r="R38" i="17"/>
  <c r="P38" i="17"/>
  <c r="K38" i="17"/>
  <c r="G38" i="17"/>
  <c r="I38" i="17" s="1"/>
  <c r="C38" i="17"/>
  <c r="R37" i="17"/>
  <c r="R40" i="17" s="1"/>
  <c r="R43" i="17" s="1"/>
  <c r="P37" i="17"/>
  <c r="K37" i="17"/>
  <c r="M37" i="17" s="1"/>
  <c r="C37" i="17"/>
  <c r="E37" i="17" s="1"/>
  <c r="R36" i="17"/>
  <c r="P36" i="17"/>
  <c r="L36" i="17"/>
  <c r="H36" i="17"/>
  <c r="D36" i="17"/>
  <c r="S35" i="17"/>
  <c r="R35" i="17"/>
  <c r="Q35" i="17"/>
  <c r="P35" i="17"/>
  <c r="M35" i="17"/>
  <c r="K35" i="17"/>
  <c r="I35" i="17"/>
  <c r="G35" i="17"/>
  <c r="E35" i="17"/>
  <c r="C35" i="17"/>
  <c r="P34" i="17"/>
  <c r="K34" i="17"/>
  <c r="M34" i="17" s="1"/>
  <c r="G34" i="17"/>
  <c r="C34" i="17"/>
  <c r="E34" i="17" s="1"/>
  <c r="AA33" i="17"/>
  <c r="S33" i="17"/>
  <c r="R33" i="17"/>
  <c r="Q33" i="17"/>
  <c r="P33" i="17"/>
  <c r="M33" i="17"/>
  <c r="K33" i="17"/>
  <c r="I33" i="17"/>
  <c r="G33" i="17"/>
  <c r="E33" i="17"/>
  <c r="C33" i="17"/>
  <c r="R32" i="17"/>
  <c r="Q32" i="17"/>
  <c r="P32" i="17"/>
  <c r="M32" i="17"/>
  <c r="M36" i="17" s="1"/>
  <c r="K32" i="17"/>
  <c r="K36" i="17" s="1"/>
  <c r="I32" i="17"/>
  <c r="G32" i="17"/>
  <c r="E32" i="17"/>
  <c r="E36" i="17" s="1"/>
  <c r="C32" i="17"/>
  <c r="C36" i="17" s="1"/>
  <c r="P31" i="17"/>
  <c r="L31" i="17"/>
  <c r="H31" i="17"/>
  <c r="D31" i="17"/>
  <c r="R30" i="17"/>
  <c r="P30" i="17"/>
  <c r="K30" i="17"/>
  <c r="M30" i="17" s="1"/>
  <c r="G30" i="17"/>
  <c r="I30" i="17" s="1"/>
  <c r="C30" i="17"/>
  <c r="E30" i="17" s="1"/>
  <c r="R29" i="17"/>
  <c r="P29" i="17"/>
  <c r="K29" i="17"/>
  <c r="G29" i="17"/>
  <c r="I29" i="17" s="1"/>
  <c r="C29" i="17"/>
  <c r="E29" i="17" s="1"/>
  <c r="R28" i="17"/>
  <c r="P28" i="17"/>
  <c r="K28" i="17"/>
  <c r="M28" i="17" s="1"/>
  <c r="G28" i="17"/>
  <c r="I28" i="17" s="1"/>
  <c r="C28" i="17"/>
  <c r="E28" i="17" s="1"/>
  <c r="R27" i="17"/>
  <c r="R31" i="17" s="1"/>
  <c r="P27" i="17"/>
  <c r="K27" i="17"/>
  <c r="G27" i="17"/>
  <c r="C27" i="17"/>
  <c r="E27" i="17" s="1"/>
  <c r="E31" i="17" s="1"/>
  <c r="D22" i="17"/>
  <c r="AG19" i="17"/>
  <c r="AD19" i="17"/>
  <c r="D19" i="17"/>
  <c r="C19" i="17"/>
  <c r="B19" i="17"/>
  <c r="AI18" i="17"/>
  <c r="AH18" i="17"/>
  <c r="AF18" i="17"/>
  <c r="AE18" i="17"/>
  <c r="AC18" i="17"/>
  <c r="AA18" i="17"/>
  <c r="Z18" i="17"/>
  <c r="AK18" i="17" s="1"/>
  <c r="T18" i="17"/>
  <c r="P18" i="17"/>
  <c r="N18" i="17"/>
  <c r="L18" i="17"/>
  <c r="K18" i="17"/>
  <c r="J18" i="17"/>
  <c r="H18" i="17"/>
  <c r="R18" i="17" s="1"/>
  <c r="G18" i="17"/>
  <c r="I18" i="17" s="1"/>
  <c r="F18" i="17"/>
  <c r="E18" i="17"/>
  <c r="AN17" i="17"/>
  <c r="AI17" i="17"/>
  <c r="AH17" i="17"/>
  <c r="AF17" i="17"/>
  <c r="AE17" i="17"/>
  <c r="AC17" i="17"/>
  <c r="AA17" i="17"/>
  <c r="Z17" i="17"/>
  <c r="AK17" i="17" s="1"/>
  <c r="T17" i="17"/>
  <c r="P17" i="17"/>
  <c r="N17" i="17"/>
  <c r="L17" i="17"/>
  <c r="K17" i="17"/>
  <c r="M17" i="17" s="1"/>
  <c r="J17" i="17"/>
  <c r="H17" i="17"/>
  <c r="G17" i="17"/>
  <c r="F17" i="17"/>
  <c r="E17" i="17"/>
  <c r="AI16" i="17"/>
  <c r="AI19" i="17" s="1"/>
  <c r="AH16" i="17"/>
  <c r="AH19" i="17" s="1"/>
  <c r="AF16" i="17"/>
  <c r="AE16" i="17"/>
  <c r="AE19" i="17" s="1"/>
  <c r="AC16" i="17"/>
  <c r="AC19" i="17" s="1"/>
  <c r="AB16" i="17"/>
  <c r="AA16" i="17"/>
  <c r="AL16" i="17" s="1"/>
  <c r="Z16" i="17"/>
  <c r="Z19" i="17" s="1"/>
  <c r="S16" i="17"/>
  <c r="R16" i="17"/>
  <c r="Q16" i="17"/>
  <c r="P16" i="17"/>
  <c r="N16" i="17"/>
  <c r="M16" i="17"/>
  <c r="L16" i="17"/>
  <c r="K16" i="17"/>
  <c r="J16" i="17"/>
  <c r="J19" i="17" s="1"/>
  <c r="I16" i="17"/>
  <c r="H16" i="17"/>
  <c r="G16" i="17"/>
  <c r="F16" i="17"/>
  <c r="F19" i="17" s="1"/>
  <c r="E16" i="17"/>
  <c r="E19" i="17" s="1"/>
  <c r="AH15" i="17"/>
  <c r="AG15" i="17"/>
  <c r="AG22" i="17" s="1"/>
  <c r="AD15" i="17"/>
  <c r="H15" i="17"/>
  <c r="E15" i="17"/>
  <c r="D15" i="17"/>
  <c r="C15" i="17"/>
  <c r="B15" i="17"/>
  <c r="AK14" i="17"/>
  <c r="AI14" i="17"/>
  <c r="AN14" i="17" s="1"/>
  <c r="AH14" i="17"/>
  <c r="AF14" i="17"/>
  <c r="AE14" i="17"/>
  <c r="AC14" i="17"/>
  <c r="Z14" i="17"/>
  <c r="R14" i="17"/>
  <c r="P14" i="17"/>
  <c r="N14" i="17"/>
  <c r="L14" i="17"/>
  <c r="J14" i="17"/>
  <c r="I14" i="17"/>
  <c r="H14" i="17"/>
  <c r="G14" i="17"/>
  <c r="F14" i="17"/>
  <c r="E14" i="17"/>
  <c r="AI13" i="17"/>
  <c r="AH13" i="17"/>
  <c r="AF13" i="17"/>
  <c r="AE13" i="17"/>
  <c r="AC13" i="17"/>
  <c r="AA13" i="17"/>
  <c r="Z13" i="17"/>
  <c r="AK13" i="17" s="1"/>
  <c r="T13" i="17"/>
  <c r="P13" i="17"/>
  <c r="N13" i="17"/>
  <c r="L13" i="17"/>
  <c r="J13" i="17"/>
  <c r="H13" i="17"/>
  <c r="G13" i="17"/>
  <c r="F13" i="17"/>
  <c r="E13" i="17"/>
  <c r="AI12" i="17"/>
  <c r="AN12" i="17" s="1"/>
  <c r="AH12" i="17"/>
  <c r="AF12" i="17"/>
  <c r="AE12" i="17"/>
  <c r="AC12" i="17"/>
  <c r="AC15" i="17" s="1"/>
  <c r="AB12" i="17"/>
  <c r="AA12" i="17"/>
  <c r="AL12" i="17" s="1"/>
  <c r="Z12" i="17"/>
  <c r="Z15" i="17" s="1"/>
  <c r="S12" i="17"/>
  <c r="R12" i="17"/>
  <c r="Q12" i="17"/>
  <c r="P12" i="17"/>
  <c r="N12" i="17"/>
  <c r="M12" i="17"/>
  <c r="L12" i="17"/>
  <c r="K12" i="17"/>
  <c r="J12" i="17"/>
  <c r="I12" i="17"/>
  <c r="H12" i="17"/>
  <c r="G12" i="17"/>
  <c r="F12" i="17"/>
  <c r="E12" i="17"/>
  <c r="AI11" i="17"/>
  <c r="AH11" i="17"/>
  <c r="AF11" i="17"/>
  <c r="AF15" i="17" s="1"/>
  <c r="AE11" i="17"/>
  <c r="AC11" i="17"/>
  <c r="AA11" i="17"/>
  <c r="Z11" i="17"/>
  <c r="AK11" i="17" s="1"/>
  <c r="T11" i="17"/>
  <c r="P11" i="17"/>
  <c r="N11" i="17"/>
  <c r="N15" i="17" s="1"/>
  <c r="L11" i="17"/>
  <c r="J11" i="17"/>
  <c r="J15" i="17" s="1"/>
  <c r="H11" i="17"/>
  <c r="G11" i="17"/>
  <c r="F11" i="17"/>
  <c r="F15" i="17" s="1"/>
  <c r="E11" i="17"/>
  <c r="AG10" i="17"/>
  <c r="AE10" i="17"/>
  <c r="AD10" i="17"/>
  <c r="K10" i="17"/>
  <c r="D10" i="17"/>
  <c r="C10" i="17"/>
  <c r="B10" i="17"/>
  <c r="AL9" i="17"/>
  <c r="AI9" i="17"/>
  <c r="AN9" i="17" s="1"/>
  <c r="AH9" i="17"/>
  <c r="AF9" i="17"/>
  <c r="AE9" i="17"/>
  <c r="AC9" i="17"/>
  <c r="AB9" i="17"/>
  <c r="AA9" i="17"/>
  <c r="Z9" i="17"/>
  <c r="AK9" i="17" s="1"/>
  <c r="T9" i="17"/>
  <c r="P9" i="17"/>
  <c r="N9" i="17"/>
  <c r="L9" i="17"/>
  <c r="K9" i="17"/>
  <c r="J9" i="17"/>
  <c r="H9" i="17"/>
  <c r="G9" i="17"/>
  <c r="F9" i="17"/>
  <c r="E9" i="17"/>
  <c r="AI8" i="17"/>
  <c r="AH8" i="17"/>
  <c r="AF8" i="17"/>
  <c r="AE8" i="17"/>
  <c r="AC8" i="17"/>
  <c r="AB8" i="17"/>
  <c r="AA8" i="17"/>
  <c r="AL8" i="17" s="1"/>
  <c r="Z8" i="17"/>
  <c r="AK8" i="17" s="1"/>
  <c r="S8" i="17"/>
  <c r="R8" i="17"/>
  <c r="Q8" i="17"/>
  <c r="P8" i="17"/>
  <c r="N8" i="17"/>
  <c r="M8" i="17"/>
  <c r="L8" i="17"/>
  <c r="K8" i="17"/>
  <c r="J8" i="17"/>
  <c r="I8" i="17"/>
  <c r="H8" i="17"/>
  <c r="G8" i="17"/>
  <c r="F8" i="17"/>
  <c r="E8" i="17"/>
  <c r="AL7" i="17"/>
  <c r="AI7" i="17"/>
  <c r="AN7" i="17" s="1"/>
  <c r="AH7" i="17"/>
  <c r="AF7" i="17"/>
  <c r="AF10" i="17" s="1"/>
  <c r="AE7" i="17"/>
  <c r="AC7" i="17"/>
  <c r="AB7" i="17"/>
  <c r="AB10" i="17" s="1"/>
  <c r="AA7" i="17"/>
  <c r="AA10" i="17" s="1"/>
  <c r="Z7" i="17"/>
  <c r="AK7" i="17" s="1"/>
  <c r="T7" i="17"/>
  <c r="P7" i="17"/>
  <c r="N7" i="17"/>
  <c r="L7" i="17"/>
  <c r="K7" i="17"/>
  <c r="J7" i="17"/>
  <c r="H7" i="17"/>
  <c r="G7" i="17"/>
  <c r="F7" i="17"/>
  <c r="E7" i="17"/>
  <c r="AI6" i="17"/>
  <c r="AH6" i="17"/>
  <c r="AH10" i="17" s="1"/>
  <c r="AF6" i="17"/>
  <c r="AE6" i="17"/>
  <c r="AC6" i="17"/>
  <c r="AB6" i="17"/>
  <c r="AA6" i="17"/>
  <c r="AL6" i="17" s="1"/>
  <c r="Z6" i="17"/>
  <c r="Z10" i="17" s="1"/>
  <c r="S6" i="17"/>
  <c r="R6" i="17"/>
  <c r="Q6" i="17"/>
  <c r="P6" i="17"/>
  <c r="N6" i="17"/>
  <c r="N10" i="17" s="1"/>
  <c r="M6" i="17"/>
  <c r="L6" i="17"/>
  <c r="K6" i="17"/>
  <c r="J6" i="17"/>
  <c r="J10" i="17" s="1"/>
  <c r="I6" i="17"/>
  <c r="H6" i="17"/>
  <c r="G6" i="17"/>
  <c r="F6" i="17"/>
  <c r="F10" i="17" s="1"/>
  <c r="E6" i="17"/>
  <c r="E10" i="17" s="1"/>
  <c r="AH63" i="16"/>
  <c r="AG63" i="16"/>
  <c r="AO60" i="16"/>
  <c r="AO63" i="16" s="1"/>
  <c r="AN60" i="16"/>
  <c r="AN63" i="16" s="1"/>
  <c r="AM60" i="16"/>
  <c r="AH60" i="16"/>
  <c r="AG60" i="16"/>
  <c r="AF60" i="16"/>
  <c r="AF63" i="16" s="1"/>
  <c r="AP59" i="16"/>
  <c r="AI59" i="16"/>
  <c r="AP58" i="16"/>
  <c r="AI58" i="16"/>
  <c r="AP57" i="16"/>
  <c r="AP60" i="16" s="1"/>
  <c r="AI57" i="16"/>
  <c r="AI60" i="16" s="1"/>
  <c r="AO56" i="16"/>
  <c r="AN56" i="16"/>
  <c r="AM56" i="16"/>
  <c r="AH56" i="16"/>
  <c r="AG56" i="16"/>
  <c r="AF56" i="16"/>
  <c r="AP55" i="16"/>
  <c r="AI55" i="16"/>
  <c r="AP54" i="16"/>
  <c r="AI54" i="16"/>
  <c r="AP53" i="16"/>
  <c r="AP56" i="16" s="1"/>
  <c r="AI53" i="16"/>
  <c r="AP52" i="16"/>
  <c r="AI52" i="16"/>
  <c r="AI56" i="16" s="1"/>
  <c r="AO51" i="16"/>
  <c r="AN51" i="16"/>
  <c r="AM51" i="16"/>
  <c r="AH51" i="16"/>
  <c r="AG51" i="16"/>
  <c r="AF51" i="16"/>
  <c r="AP50" i="16"/>
  <c r="AI50" i="16"/>
  <c r="AP49" i="16"/>
  <c r="AI49" i="16"/>
  <c r="AI51" i="16" s="1"/>
  <c r="AP48" i="16"/>
  <c r="AI48" i="16"/>
  <c r="AP47" i="16"/>
  <c r="AP51" i="16" s="1"/>
  <c r="AI47" i="16"/>
  <c r="P41" i="16"/>
  <c r="AO40" i="16"/>
  <c r="AN40" i="16"/>
  <c r="AM40" i="16"/>
  <c r="AH40" i="16"/>
  <c r="AG40" i="16"/>
  <c r="AF40" i="16"/>
  <c r="P40" i="16"/>
  <c r="N40" i="16"/>
  <c r="M40" i="16"/>
  <c r="L40" i="16"/>
  <c r="J40" i="16"/>
  <c r="J43" i="16" s="1"/>
  <c r="H40" i="16"/>
  <c r="F40" i="16"/>
  <c r="E40" i="16"/>
  <c r="D40" i="16"/>
  <c r="AP39" i="16"/>
  <c r="AJ39" i="16"/>
  <c r="AI39" i="16"/>
  <c r="T39" i="16"/>
  <c r="R39" i="16"/>
  <c r="P39" i="16"/>
  <c r="M39" i="16"/>
  <c r="K39" i="16"/>
  <c r="K40" i="16" s="1"/>
  <c r="I39" i="16"/>
  <c r="C39" i="16"/>
  <c r="E39" i="16" s="1"/>
  <c r="AP38" i="16"/>
  <c r="AJ38" i="16"/>
  <c r="AI38" i="16"/>
  <c r="AD38" i="16"/>
  <c r="T38" i="16"/>
  <c r="R38" i="16"/>
  <c r="Q38" i="16"/>
  <c r="P38" i="16"/>
  <c r="S38" i="16" s="1"/>
  <c r="M38" i="16"/>
  <c r="I38" i="16"/>
  <c r="E38" i="16"/>
  <c r="C38" i="16"/>
  <c r="C40" i="16" s="1"/>
  <c r="AP37" i="16"/>
  <c r="AP40" i="16" s="1"/>
  <c r="AI37" i="16"/>
  <c r="T37" i="16"/>
  <c r="T40" i="16" s="1"/>
  <c r="R37" i="16"/>
  <c r="R40" i="16" s="1"/>
  <c r="P37" i="16"/>
  <c r="M37" i="16"/>
  <c r="I37" i="16"/>
  <c r="I40" i="16" s="1"/>
  <c r="I43" i="16" s="1"/>
  <c r="G37" i="16"/>
  <c r="Q37" i="16" s="1"/>
  <c r="E37" i="16"/>
  <c r="AO36" i="16"/>
  <c r="AO43" i="16" s="1"/>
  <c r="AN36" i="16"/>
  <c r="AM36" i="16"/>
  <c r="AH36" i="16"/>
  <c r="AG36" i="16"/>
  <c r="AF36" i="16"/>
  <c r="P36" i="16"/>
  <c r="N36" i="16"/>
  <c r="N43" i="16" s="1"/>
  <c r="L36" i="16"/>
  <c r="J36" i="16"/>
  <c r="H36" i="16"/>
  <c r="G36" i="16"/>
  <c r="F36" i="16"/>
  <c r="F43" i="16" s="1"/>
  <c r="D36" i="16"/>
  <c r="AP35" i="16"/>
  <c r="AJ35" i="16"/>
  <c r="AI35" i="16"/>
  <c r="AD35" i="16"/>
  <c r="T35" i="16"/>
  <c r="R35" i="16"/>
  <c r="Q35" i="16"/>
  <c r="P35" i="16"/>
  <c r="S35" i="16" s="1"/>
  <c r="M35" i="16"/>
  <c r="K35" i="16"/>
  <c r="I35" i="16"/>
  <c r="G35" i="16"/>
  <c r="E35" i="16"/>
  <c r="C35" i="16"/>
  <c r="AP34" i="16"/>
  <c r="AI34" i="16"/>
  <c r="AJ34" i="16" s="1"/>
  <c r="T34" i="16"/>
  <c r="T36" i="16" s="1"/>
  <c r="P34" i="16"/>
  <c r="M34" i="16"/>
  <c r="K34" i="16"/>
  <c r="Q34" i="16" s="1"/>
  <c r="S34" i="16" s="1"/>
  <c r="I34" i="16"/>
  <c r="G34" i="16"/>
  <c r="E34" i="16"/>
  <c r="C34" i="16"/>
  <c r="AP33" i="16"/>
  <c r="AI33" i="16"/>
  <c r="AJ33" i="16" s="1"/>
  <c r="T33" i="16"/>
  <c r="R33" i="16"/>
  <c r="Q33" i="16"/>
  <c r="P33" i="16"/>
  <c r="M33" i="16"/>
  <c r="I33" i="16"/>
  <c r="E33" i="16"/>
  <c r="AP32" i="16"/>
  <c r="AI32" i="16"/>
  <c r="AJ32" i="16" s="1"/>
  <c r="T32" i="16"/>
  <c r="R32" i="16"/>
  <c r="R36" i="16" s="1"/>
  <c r="P32" i="16"/>
  <c r="K32" i="16"/>
  <c r="G32" i="16"/>
  <c r="I32" i="16" s="1"/>
  <c r="I36" i="16" s="1"/>
  <c r="C32" i="16"/>
  <c r="AP31" i="16"/>
  <c r="AO31" i="16"/>
  <c r="AN31" i="16"/>
  <c r="AM31" i="16"/>
  <c r="AH31" i="16"/>
  <c r="AG31" i="16"/>
  <c r="AF31" i="16"/>
  <c r="AF43" i="16" s="1"/>
  <c r="T31" i="16"/>
  <c r="R31" i="16"/>
  <c r="P31" i="16"/>
  <c r="N31" i="16"/>
  <c r="L31" i="16"/>
  <c r="K31" i="16"/>
  <c r="J31" i="16"/>
  <c r="I31" i="16"/>
  <c r="H31" i="16"/>
  <c r="F31" i="16"/>
  <c r="E31" i="16"/>
  <c r="D31" i="16"/>
  <c r="C31" i="16"/>
  <c r="AP30" i="16"/>
  <c r="AJ30" i="16"/>
  <c r="AI30" i="16"/>
  <c r="T30" i="16"/>
  <c r="S30" i="16"/>
  <c r="R30" i="16"/>
  <c r="Q30" i="16"/>
  <c r="P30" i="16"/>
  <c r="M30" i="16"/>
  <c r="I30" i="16"/>
  <c r="E30" i="16"/>
  <c r="AP29" i="16"/>
  <c r="AJ29" i="16"/>
  <c r="AI29" i="16"/>
  <c r="T29" i="16"/>
  <c r="S29" i="16"/>
  <c r="R29" i="16"/>
  <c r="Q29" i="16"/>
  <c r="P29" i="16"/>
  <c r="M29" i="16"/>
  <c r="I29" i="16"/>
  <c r="E29" i="16"/>
  <c r="AP28" i="16"/>
  <c r="AJ28" i="16"/>
  <c r="AI28" i="16"/>
  <c r="T28" i="16"/>
  <c r="S28" i="16"/>
  <c r="R28" i="16"/>
  <c r="Q28" i="16"/>
  <c r="P28" i="16"/>
  <c r="M28" i="16"/>
  <c r="M31" i="16" s="1"/>
  <c r="I28" i="16"/>
  <c r="E28" i="16"/>
  <c r="AP27" i="16"/>
  <c r="AJ27" i="16"/>
  <c r="AJ31" i="16" s="1"/>
  <c r="AI27" i="16"/>
  <c r="AI31" i="16" s="1"/>
  <c r="T27" i="16"/>
  <c r="R27" i="16"/>
  <c r="P27" i="16"/>
  <c r="M27" i="16"/>
  <c r="G27" i="16"/>
  <c r="I27" i="16" s="1"/>
  <c r="E27" i="16"/>
  <c r="AI19" i="16"/>
  <c r="AF19" i="16"/>
  <c r="L19" i="16"/>
  <c r="K19" i="16"/>
  <c r="J19" i="16"/>
  <c r="H19" i="16"/>
  <c r="G19" i="16"/>
  <c r="D19" i="16"/>
  <c r="C19" i="16"/>
  <c r="AN18" i="16"/>
  <c r="AO18" i="16" s="1"/>
  <c r="AK18" i="16"/>
  <c r="AP18" i="16" s="1"/>
  <c r="AQ18" i="16" s="1"/>
  <c r="AJ18" i="16"/>
  <c r="AH18" i="16"/>
  <c r="AG18" i="16"/>
  <c r="AE18" i="16"/>
  <c r="AC18" i="16"/>
  <c r="AD18" i="16" s="1"/>
  <c r="AB18" i="16"/>
  <c r="AM18" i="16" s="1"/>
  <c r="R18" i="16"/>
  <c r="V18" i="16" s="1"/>
  <c r="Q18" i="16"/>
  <c r="N18" i="16"/>
  <c r="M18" i="16"/>
  <c r="J18" i="16"/>
  <c r="T18" i="16" s="1"/>
  <c r="I18" i="16"/>
  <c r="F18" i="16"/>
  <c r="E18" i="16"/>
  <c r="AK17" i="16"/>
  <c r="AP17" i="16" s="1"/>
  <c r="AJ17" i="16"/>
  <c r="AH17" i="16"/>
  <c r="AG17" i="16"/>
  <c r="AG19" i="16" s="1"/>
  <c r="AE17" i="16"/>
  <c r="AD17" i="16"/>
  <c r="AC17" i="16"/>
  <c r="AN17" i="16" s="1"/>
  <c r="AB17" i="16"/>
  <c r="AM17" i="16" s="1"/>
  <c r="AO17" i="16" s="1"/>
  <c r="R17" i="16"/>
  <c r="V17" i="16" s="1"/>
  <c r="Q17" i="16"/>
  <c r="Q19" i="16" s="1"/>
  <c r="N17" i="16"/>
  <c r="M17" i="16"/>
  <c r="J17" i="16"/>
  <c r="I17" i="16"/>
  <c r="F17" i="16"/>
  <c r="E17" i="16"/>
  <c r="AK16" i="16"/>
  <c r="AJ16" i="16"/>
  <c r="AH16" i="16"/>
  <c r="AH19" i="16" s="1"/>
  <c r="AG16" i="16"/>
  <c r="AE16" i="16"/>
  <c r="AE19" i="16" s="1"/>
  <c r="AD16" i="16"/>
  <c r="AC16" i="16"/>
  <c r="AC19" i="16" s="1"/>
  <c r="AB16" i="16"/>
  <c r="AD37" i="16" s="1"/>
  <c r="V16" i="16"/>
  <c r="R16" i="16"/>
  <c r="Q16" i="16"/>
  <c r="N16" i="16"/>
  <c r="M16" i="16"/>
  <c r="J16" i="16"/>
  <c r="I16" i="16"/>
  <c r="I19" i="16" s="1"/>
  <c r="F16" i="16"/>
  <c r="F19" i="16" s="1"/>
  <c r="E16" i="16"/>
  <c r="AI15" i="16"/>
  <c r="AF15" i="16"/>
  <c r="L15" i="16"/>
  <c r="K15" i="16"/>
  <c r="I15" i="16"/>
  <c r="H15" i="16"/>
  <c r="G15" i="16"/>
  <c r="D15" i="16"/>
  <c r="C15" i="16"/>
  <c r="AP14" i="16"/>
  <c r="AK14" i="16"/>
  <c r="AJ14" i="16"/>
  <c r="AH14" i="16"/>
  <c r="AG14" i="16"/>
  <c r="AE14" i="16"/>
  <c r="AD14" i="16"/>
  <c r="AC14" i="16"/>
  <c r="AN14" i="16" s="1"/>
  <c r="AO14" i="16" s="1"/>
  <c r="AB14" i="16"/>
  <c r="AM14" i="16" s="1"/>
  <c r="R14" i="16"/>
  <c r="Q14" i="16"/>
  <c r="N14" i="16"/>
  <c r="M14" i="16"/>
  <c r="J14" i="16"/>
  <c r="I14" i="16"/>
  <c r="F14" i="16"/>
  <c r="E14" i="16"/>
  <c r="AM13" i="16"/>
  <c r="AO13" i="16" s="1"/>
  <c r="AK13" i="16"/>
  <c r="AJ13" i="16"/>
  <c r="AH13" i="16"/>
  <c r="AP13" i="16" s="1"/>
  <c r="AG13" i="16"/>
  <c r="AE13" i="16"/>
  <c r="AC13" i="16"/>
  <c r="AD13" i="16" s="1"/>
  <c r="AB13" i="16"/>
  <c r="AD34" i="16" s="1"/>
  <c r="R13" i="16"/>
  <c r="Q13" i="16"/>
  <c r="X13" i="16" s="1"/>
  <c r="N13" i="16"/>
  <c r="T13" i="16" s="1"/>
  <c r="W13" i="16" s="1"/>
  <c r="M13" i="16"/>
  <c r="J13" i="16"/>
  <c r="I13" i="16"/>
  <c r="F13" i="16"/>
  <c r="E13" i="16"/>
  <c r="AM12" i="16"/>
  <c r="AO12" i="16" s="1"/>
  <c r="AK12" i="16"/>
  <c r="AJ12" i="16"/>
  <c r="AJ15" i="16" s="1"/>
  <c r="AH12" i="16"/>
  <c r="AP12" i="16" s="1"/>
  <c r="AG12" i="16"/>
  <c r="AE12" i="16"/>
  <c r="AC12" i="16"/>
  <c r="AD12" i="16" s="1"/>
  <c r="AB12" i="16"/>
  <c r="AD33" i="16" s="1"/>
  <c r="R12" i="16"/>
  <c r="Q12" i="16"/>
  <c r="N12" i="16"/>
  <c r="M12" i="16"/>
  <c r="J12" i="16"/>
  <c r="I12" i="16"/>
  <c r="F12" i="16"/>
  <c r="E12" i="16"/>
  <c r="AN11" i="16"/>
  <c r="AK11" i="16"/>
  <c r="AK15" i="16" s="1"/>
  <c r="AH11" i="16"/>
  <c r="AH15" i="16" s="1"/>
  <c r="AH22" i="16" s="1"/>
  <c r="AG11" i="16"/>
  <c r="AE11" i="16"/>
  <c r="AC11" i="16"/>
  <c r="AC15" i="16" s="1"/>
  <c r="AB11" i="16"/>
  <c r="R11" i="16"/>
  <c r="R15" i="16" s="1"/>
  <c r="Q11" i="16"/>
  <c r="N11" i="16"/>
  <c r="N15" i="16" s="1"/>
  <c r="M11" i="16"/>
  <c r="M15" i="16" s="1"/>
  <c r="J11" i="16"/>
  <c r="J15" i="16" s="1"/>
  <c r="I11" i="16"/>
  <c r="F11" i="16"/>
  <c r="F15" i="16" s="1"/>
  <c r="E11" i="16"/>
  <c r="E15" i="16" s="1"/>
  <c r="AI10" i="16"/>
  <c r="AF10" i="16"/>
  <c r="L10" i="16"/>
  <c r="K10" i="16"/>
  <c r="H10" i="16"/>
  <c r="G10" i="16"/>
  <c r="D10" i="16"/>
  <c r="C10" i="16"/>
  <c r="AK9" i="16"/>
  <c r="AP9" i="16" s="1"/>
  <c r="AJ9" i="16"/>
  <c r="AH9" i="16"/>
  <c r="AG9" i="16"/>
  <c r="AE9" i="16"/>
  <c r="AC9" i="16"/>
  <c r="AD9" i="16" s="1"/>
  <c r="AB9" i="16"/>
  <c r="R9" i="16"/>
  <c r="X9" i="16" s="1"/>
  <c r="Q9" i="16"/>
  <c r="N9" i="16"/>
  <c r="T9" i="16" s="1"/>
  <c r="M9" i="16"/>
  <c r="J9" i="16"/>
  <c r="I9" i="16"/>
  <c r="F9" i="16"/>
  <c r="E9" i="16"/>
  <c r="AK8" i="16"/>
  <c r="AP8" i="16" s="1"/>
  <c r="AJ8" i="16"/>
  <c r="AH8" i="16"/>
  <c r="AG8" i="16"/>
  <c r="AE8" i="16"/>
  <c r="AD8" i="16"/>
  <c r="AC8" i="16"/>
  <c r="AN8" i="16" s="1"/>
  <c r="AB8" i="16"/>
  <c r="AD29" i="16" s="1"/>
  <c r="R8" i="16"/>
  <c r="V8" i="16" s="1"/>
  <c r="Q8" i="16"/>
  <c r="N8" i="16"/>
  <c r="M8" i="16"/>
  <c r="J8" i="16"/>
  <c r="I8" i="16"/>
  <c r="F8" i="16"/>
  <c r="F10" i="16" s="1"/>
  <c r="E8" i="16"/>
  <c r="AK7" i="16"/>
  <c r="AP7" i="16" s="1"/>
  <c r="AJ7" i="16"/>
  <c r="AH7" i="16"/>
  <c r="AG7" i="16"/>
  <c r="AE7" i="16"/>
  <c r="AE10" i="16" s="1"/>
  <c r="AC7" i="16"/>
  <c r="AD7" i="16" s="1"/>
  <c r="AB7" i="16"/>
  <c r="AD28" i="16" s="1"/>
  <c r="T7" i="16"/>
  <c r="R7" i="16"/>
  <c r="V7" i="16" s="1"/>
  <c r="Q7" i="16"/>
  <c r="N7" i="16"/>
  <c r="M7" i="16"/>
  <c r="J7" i="16"/>
  <c r="I7" i="16"/>
  <c r="F7" i="16"/>
  <c r="E7" i="16"/>
  <c r="AK6" i="16"/>
  <c r="AP6" i="16" s="1"/>
  <c r="AJ6" i="16"/>
  <c r="AH6" i="16"/>
  <c r="AH10" i="16" s="1"/>
  <c r="AG6" i="16"/>
  <c r="AG10" i="16" s="1"/>
  <c r="AE6" i="16"/>
  <c r="AC6" i="16"/>
  <c r="AC10" i="16" s="1"/>
  <c r="AB6" i="16"/>
  <c r="AM6" i="16" s="1"/>
  <c r="R6" i="16"/>
  <c r="R10" i="16" s="1"/>
  <c r="Q6" i="16"/>
  <c r="N6" i="16"/>
  <c r="M6" i="16"/>
  <c r="M10" i="16" s="1"/>
  <c r="J6" i="16"/>
  <c r="J10" i="16" s="1"/>
  <c r="I6" i="16"/>
  <c r="I10" i="16" s="1"/>
  <c r="F6" i="16"/>
  <c r="E6" i="16"/>
  <c r="E10" i="16" s="1"/>
  <c r="O106" i="15"/>
  <c r="M106" i="15"/>
  <c r="L106" i="15"/>
  <c r="K106" i="15"/>
  <c r="J106" i="15"/>
  <c r="I106" i="15"/>
  <c r="H106" i="15"/>
  <c r="G106" i="15"/>
  <c r="F106" i="15"/>
  <c r="N106" i="15" s="1"/>
  <c r="P106" i="15" s="1"/>
  <c r="E106" i="15"/>
  <c r="D106" i="15"/>
  <c r="C106" i="15"/>
  <c r="O105" i="15"/>
  <c r="M105" i="15"/>
  <c r="L105" i="15"/>
  <c r="L107" i="15" s="1"/>
  <c r="K105" i="15"/>
  <c r="J105" i="15"/>
  <c r="I105" i="15"/>
  <c r="H105" i="15"/>
  <c r="H107" i="15" s="1"/>
  <c r="G105" i="15"/>
  <c r="F105" i="15"/>
  <c r="E105" i="15"/>
  <c r="D105" i="15"/>
  <c r="N105" i="15" s="1"/>
  <c r="P105" i="15" s="1"/>
  <c r="C105" i="15"/>
  <c r="O104" i="15"/>
  <c r="O107" i="15" s="1"/>
  <c r="M104" i="15"/>
  <c r="M107" i="15" s="1"/>
  <c r="L104" i="15"/>
  <c r="K104" i="15"/>
  <c r="K107" i="15" s="1"/>
  <c r="J104" i="15"/>
  <c r="I104" i="15"/>
  <c r="I107" i="15" s="1"/>
  <c r="H104" i="15"/>
  <c r="G104" i="15"/>
  <c r="G107" i="15" s="1"/>
  <c r="F104" i="15"/>
  <c r="E104" i="15"/>
  <c r="E107" i="15" s="1"/>
  <c r="D104" i="15"/>
  <c r="C104" i="15"/>
  <c r="C107" i="15" s="1"/>
  <c r="L103" i="15"/>
  <c r="D103" i="15"/>
  <c r="O102" i="15"/>
  <c r="M102" i="15"/>
  <c r="L102" i="15"/>
  <c r="K102" i="15"/>
  <c r="J102" i="15"/>
  <c r="I102" i="15"/>
  <c r="H102" i="15"/>
  <c r="G102" i="15"/>
  <c r="F102" i="15"/>
  <c r="N102" i="15" s="1"/>
  <c r="P102" i="15" s="1"/>
  <c r="E102" i="15"/>
  <c r="D102" i="15"/>
  <c r="C102" i="15"/>
  <c r="O101" i="15"/>
  <c r="M101" i="15"/>
  <c r="L101" i="15"/>
  <c r="K101" i="15"/>
  <c r="J101" i="15"/>
  <c r="I101" i="15"/>
  <c r="H101" i="15"/>
  <c r="G101" i="15"/>
  <c r="F101" i="15"/>
  <c r="E101" i="15"/>
  <c r="D101" i="15"/>
  <c r="C101" i="15"/>
  <c r="N101" i="15" s="1"/>
  <c r="P101" i="15" s="1"/>
  <c r="O100" i="15"/>
  <c r="M100" i="15"/>
  <c r="L100" i="15"/>
  <c r="K100" i="15"/>
  <c r="J100" i="15"/>
  <c r="I100" i="15"/>
  <c r="H100" i="15"/>
  <c r="G100" i="15"/>
  <c r="F100" i="15"/>
  <c r="N100" i="15" s="1"/>
  <c r="P100" i="15" s="1"/>
  <c r="E100" i="15"/>
  <c r="D100" i="15"/>
  <c r="C100" i="15"/>
  <c r="O99" i="15"/>
  <c r="O103" i="15" s="1"/>
  <c r="M99" i="15"/>
  <c r="M103" i="15" s="1"/>
  <c r="L99" i="15"/>
  <c r="K99" i="15"/>
  <c r="K103" i="15" s="1"/>
  <c r="J99" i="15"/>
  <c r="I99" i="15"/>
  <c r="I103" i="15" s="1"/>
  <c r="H99" i="15"/>
  <c r="H103" i="15" s="1"/>
  <c r="G99" i="15"/>
  <c r="G103" i="15" s="1"/>
  <c r="F99" i="15"/>
  <c r="E99" i="15"/>
  <c r="E103" i="15" s="1"/>
  <c r="D99" i="15"/>
  <c r="C99" i="15"/>
  <c r="C103" i="15" s="1"/>
  <c r="O97" i="15"/>
  <c r="M97" i="15"/>
  <c r="L97" i="15"/>
  <c r="K97" i="15"/>
  <c r="J97" i="15"/>
  <c r="I97" i="15"/>
  <c r="H97" i="15"/>
  <c r="G97" i="15"/>
  <c r="F97" i="15"/>
  <c r="E97" i="15"/>
  <c r="D97" i="15"/>
  <c r="C97" i="15"/>
  <c r="N97" i="15" s="1"/>
  <c r="P97" i="15" s="1"/>
  <c r="O96" i="15"/>
  <c r="M96" i="15"/>
  <c r="L96" i="15"/>
  <c r="K96" i="15"/>
  <c r="J96" i="15"/>
  <c r="J98" i="15" s="1"/>
  <c r="I96" i="15"/>
  <c r="H96" i="15"/>
  <c r="G96" i="15"/>
  <c r="F96" i="15"/>
  <c r="N96" i="15" s="1"/>
  <c r="P96" i="15" s="1"/>
  <c r="E96" i="15"/>
  <c r="D96" i="15"/>
  <c r="C96" i="15"/>
  <c r="O95" i="15"/>
  <c r="M95" i="15"/>
  <c r="L95" i="15"/>
  <c r="K95" i="15"/>
  <c r="J95" i="15"/>
  <c r="I95" i="15"/>
  <c r="H95" i="15"/>
  <c r="G95" i="15"/>
  <c r="F95" i="15"/>
  <c r="E95" i="15"/>
  <c r="D95" i="15"/>
  <c r="C95" i="15"/>
  <c r="N95" i="15" s="1"/>
  <c r="P95" i="15" s="1"/>
  <c r="M94" i="15"/>
  <c r="M98" i="15" s="1"/>
  <c r="L94" i="15"/>
  <c r="K94" i="15"/>
  <c r="K98" i="15" s="1"/>
  <c r="J94" i="15"/>
  <c r="I94" i="15"/>
  <c r="I98" i="15" s="1"/>
  <c r="H94" i="15"/>
  <c r="G94" i="15"/>
  <c r="G98" i="15" s="1"/>
  <c r="F94" i="15"/>
  <c r="F98" i="15" s="1"/>
  <c r="E94" i="15"/>
  <c r="E98" i="15" s="1"/>
  <c r="D94" i="15"/>
  <c r="C94" i="15"/>
  <c r="C98" i="15" s="1"/>
  <c r="T88" i="15"/>
  <c r="S88" i="15"/>
  <c r="R88" i="15"/>
  <c r="U88" i="15" s="1"/>
  <c r="J88" i="15"/>
  <c r="O85" i="15"/>
  <c r="O88" i="15" s="1"/>
  <c r="M85" i="15"/>
  <c r="M88" i="15" s="1"/>
  <c r="L85" i="15"/>
  <c r="K85" i="15"/>
  <c r="K88" i="15" s="1"/>
  <c r="J85" i="15"/>
  <c r="I85" i="15"/>
  <c r="I88" i="15" s="1"/>
  <c r="H85" i="15"/>
  <c r="G85" i="15"/>
  <c r="G88" i="15" s="1"/>
  <c r="F85" i="15"/>
  <c r="E85" i="15"/>
  <c r="E88" i="15" s="1"/>
  <c r="D85" i="15"/>
  <c r="C85" i="15"/>
  <c r="C88" i="15" s="1"/>
  <c r="U84" i="15"/>
  <c r="P84" i="15"/>
  <c r="N84" i="15"/>
  <c r="U83" i="15"/>
  <c r="V83" i="15" s="1"/>
  <c r="P83" i="15"/>
  <c r="N83" i="15"/>
  <c r="U82" i="15"/>
  <c r="P82" i="15"/>
  <c r="P85" i="15" s="1"/>
  <c r="N82" i="15"/>
  <c r="N85" i="15" s="1"/>
  <c r="N88" i="15" s="1"/>
  <c r="O81" i="15"/>
  <c r="N81" i="15"/>
  <c r="M81" i="15"/>
  <c r="L81" i="15"/>
  <c r="K81" i="15"/>
  <c r="J81" i="15"/>
  <c r="I81" i="15"/>
  <c r="H81" i="15"/>
  <c r="G81" i="15"/>
  <c r="F81" i="15"/>
  <c r="F88" i="15" s="1"/>
  <c r="E81" i="15"/>
  <c r="D81" i="15"/>
  <c r="C81" i="15"/>
  <c r="U80" i="15"/>
  <c r="N80" i="15"/>
  <c r="P80" i="15" s="1"/>
  <c r="V80" i="15" s="1"/>
  <c r="U79" i="15"/>
  <c r="N79" i="15"/>
  <c r="P79" i="15" s="1"/>
  <c r="V79" i="15" s="1"/>
  <c r="V78" i="15"/>
  <c r="U78" i="15"/>
  <c r="N78" i="15"/>
  <c r="P78" i="15" s="1"/>
  <c r="V77" i="15"/>
  <c r="U77" i="15"/>
  <c r="N77" i="15"/>
  <c r="P77" i="15" s="1"/>
  <c r="O76" i="15"/>
  <c r="M76" i="15"/>
  <c r="L76" i="15"/>
  <c r="K76" i="15"/>
  <c r="J76" i="15"/>
  <c r="I76" i="15"/>
  <c r="H76" i="15"/>
  <c r="G76" i="15"/>
  <c r="F76" i="15"/>
  <c r="E76" i="15"/>
  <c r="D76" i="15"/>
  <c r="C76" i="15"/>
  <c r="U75" i="15"/>
  <c r="V75" i="15" s="1"/>
  <c r="P75" i="15"/>
  <c r="N75" i="15"/>
  <c r="U74" i="15"/>
  <c r="P74" i="15"/>
  <c r="N74" i="15"/>
  <c r="U73" i="15"/>
  <c r="V73" i="15" s="1"/>
  <c r="P73" i="15"/>
  <c r="N73" i="15"/>
  <c r="U72" i="15"/>
  <c r="P72" i="15"/>
  <c r="P76" i="15" s="1"/>
  <c r="N72" i="15"/>
  <c r="N76" i="15" s="1"/>
  <c r="S66" i="15"/>
  <c r="G66" i="15"/>
  <c r="O63" i="15"/>
  <c r="O66" i="15" s="1"/>
  <c r="M63" i="15"/>
  <c r="I63" i="15"/>
  <c r="I66" i="15" s="1"/>
  <c r="H63" i="15"/>
  <c r="H66" i="15" s="1"/>
  <c r="G63" i="15"/>
  <c r="F63" i="15"/>
  <c r="E63" i="15"/>
  <c r="E66" i="15" s="1"/>
  <c r="D63" i="15"/>
  <c r="D66" i="15" s="1"/>
  <c r="C63" i="15"/>
  <c r="P62" i="15"/>
  <c r="N62" i="15"/>
  <c r="N61" i="15"/>
  <c r="P61" i="15" s="1"/>
  <c r="P60" i="15"/>
  <c r="P63" i="15" s="1"/>
  <c r="N60" i="15"/>
  <c r="N63" i="15" s="1"/>
  <c r="O59" i="15"/>
  <c r="M59" i="15"/>
  <c r="I59" i="15"/>
  <c r="H59" i="15"/>
  <c r="G59" i="15"/>
  <c r="F59" i="15"/>
  <c r="E59" i="15"/>
  <c r="D59" i="15"/>
  <c r="C59" i="15"/>
  <c r="C66" i="15" s="1"/>
  <c r="N58" i="15"/>
  <c r="P58" i="15" s="1"/>
  <c r="N57" i="15"/>
  <c r="P57" i="15" s="1"/>
  <c r="N56" i="15"/>
  <c r="P56" i="15" s="1"/>
  <c r="N55" i="15"/>
  <c r="P55" i="15" s="1"/>
  <c r="O54" i="15"/>
  <c r="M54" i="15"/>
  <c r="I54" i="15"/>
  <c r="H54" i="15"/>
  <c r="G54" i="15"/>
  <c r="F54" i="15"/>
  <c r="E54" i="15"/>
  <c r="D54" i="15"/>
  <c r="C54" i="15"/>
  <c r="P53" i="15"/>
  <c r="N53" i="15"/>
  <c r="P52" i="15"/>
  <c r="N52" i="15"/>
  <c r="P51" i="15"/>
  <c r="N51" i="15"/>
  <c r="P50" i="15"/>
  <c r="N50" i="15"/>
  <c r="N54" i="15" s="1"/>
  <c r="O41" i="15"/>
  <c r="O44" i="15" s="1"/>
  <c r="M41" i="15"/>
  <c r="M44" i="15" s="1"/>
  <c r="I41" i="15"/>
  <c r="H41" i="15"/>
  <c r="G41" i="15"/>
  <c r="G44" i="15" s="1"/>
  <c r="F41" i="15"/>
  <c r="F44" i="15" s="1"/>
  <c r="E41" i="15"/>
  <c r="D41" i="15"/>
  <c r="C41" i="15"/>
  <c r="C44" i="15" s="1"/>
  <c r="N40" i="15"/>
  <c r="P40" i="15" s="1"/>
  <c r="P39" i="15"/>
  <c r="N39" i="15"/>
  <c r="N38" i="15"/>
  <c r="N41" i="15" s="1"/>
  <c r="O37" i="15"/>
  <c r="M37" i="15"/>
  <c r="I37" i="15"/>
  <c r="I44" i="15" s="1"/>
  <c r="H37" i="15"/>
  <c r="G37" i="15"/>
  <c r="F37" i="15"/>
  <c r="E37" i="15"/>
  <c r="E44" i="15" s="1"/>
  <c r="D37" i="15"/>
  <c r="C37" i="15"/>
  <c r="N36" i="15"/>
  <c r="P36" i="15" s="1"/>
  <c r="N35" i="15"/>
  <c r="P35" i="15" s="1"/>
  <c r="N34" i="15"/>
  <c r="P34" i="15" s="1"/>
  <c r="N33" i="15"/>
  <c r="P33" i="15" s="1"/>
  <c r="P37" i="15" s="1"/>
  <c r="O32" i="15"/>
  <c r="M32" i="15"/>
  <c r="I32" i="15"/>
  <c r="H32" i="15"/>
  <c r="G32" i="15"/>
  <c r="F32" i="15"/>
  <c r="E32" i="15"/>
  <c r="D32" i="15"/>
  <c r="C32" i="15"/>
  <c r="P31" i="15"/>
  <c r="N31" i="15"/>
  <c r="P30" i="15"/>
  <c r="N30" i="15"/>
  <c r="N29" i="15"/>
  <c r="P29" i="15" s="1"/>
  <c r="P28" i="15"/>
  <c r="N28" i="15"/>
  <c r="N32" i="15" s="1"/>
  <c r="G22" i="15"/>
  <c r="O19" i="15"/>
  <c r="O22" i="15" s="1"/>
  <c r="M19" i="15"/>
  <c r="I19" i="15"/>
  <c r="I22" i="15" s="1"/>
  <c r="H19" i="15"/>
  <c r="H22" i="15" s="1"/>
  <c r="G19" i="15"/>
  <c r="F19" i="15"/>
  <c r="E19" i="15"/>
  <c r="E22" i="15" s="1"/>
  <c r="D19" i="15"/>
  <c r="D22" i="15" s="1"/>
  <c r="C19" i="15"/>
  <c r="P18" i="15"/>
  <c r="N18" i="15"/>
  <c r="N17" i="15"/>
  <c r="P17" i="15" s="1"/>
  <c r="P16" i="15"/>
  <c r="P19" i="15" s="1"/>
  <c r="N16" i="15"/>
  <c r="N19" i="15" s="1"/>
  <c r="O15" i="15"/>
  <c r="M15" i="15"/>
  <c r="I15" i="15"/>
  <c r="H15" i="15"/>
  <c r="G15" i="15"/>
  <c r="F15" i="15"/>
  <c r="E15" i="15"/>
  <c r="D15" i="15"/>
  <c r="C15" i="15"/>
  <c r="C22" i="15" s="1"/>
  <c r="N14" i="15"/>
  <c r="P14" i="15" s="1"/>
  <c r="N13" i="15"/>
  <c r="P13" i="15" s="1"/>
  <c r="N12" i="15"/>
  <c r="P12" i="15" s="1"/>
  <c r="N11" i="15"/>
  <c r="P11" i="15" s="1"/>
  <c r="M10" i="15"/>
  <c r="I10" i="15"/>
  <c r="H10" i="15"/>
  <c r="G10" i="15"/>
  <c r="F10" i="15"/>
  <c r="E10" i="15"/>
  <c r="D10" i="15"/>
  <c r="C10" i="15"/>
  <c r="P9" i="15"/>
  <c r="N9" i="15"/>
  <c r="N8" i="15"/>
  <c r="P8" i="15" s="1"/>
  <c r="P7" i="15"/>
  <c r="N7" i="15"/>
  <c r="O6" i="15"/>
  <c r="O10" i="15" s="1"/>
  <c r="N6" i="15"/>
  <c r="L43" i="13"/>
  <c r="H43" i="13"/>
  <c r="D43" i="13"/>
  <c r="P41" i="13"/>
  <c r="P40" i="13"/>
  <c r="N40" i="13"/>
  <c r="N43" i="13" s="1"/>
  <c r="L40" i="13"/>
  <c r="J40" i="13"/>
  <c r="H40" i="13"/>
  <c r="G40" i="13"/>
  <c r="F40" i="13"/>
  <c r="D40" i="13"/>
  <c r="T39" i="13"/>
  <c r="R39" i="13"/>
  <c r="P39" i="13"/>
  <c r="K39" i="13"/>
  <c r="M39" i="13" s="1"/>
  <c r="I39" i="13"/>
  <c r="E39" i="13"/>
  <c r="C39" i="13"/>
  <c r="T38" i="13"/>
  <c r="R38" i="13"/>
  <c r="P38" i="13"/>
  <c r="S38" i="13" s="1"/>
  <c r="M38" i="13"/>
  <c r="I38" i="13"/>
  <c r="C38" i="13"/>
  <c r="Q38" i="13" s="1"/>
  <c r="T37" i="13"/>
  <c r="T40" i="13" s="1"/>
  <c r="S37" i="13"/>
  <c r="R37" i="13"/>
  <c r="R40" i="13" s="1"/>
  <c r="R43" i="13" s="1"/>
  <c r="Q37" i="13"/>
  <c r="P37" i="13"/>
  <c r="M37" i="13"/>
  <c r="I37" i="13"/>
  <c r="I40" i="13" s="1"/>
  <c r="E37" i="13"/>
  <c r="P36" i="13"/>
  <c r="N36" i="13"/>
  <c r="L36" i="13"/>
  <c r="J36" i="13"/>
  <c r="H36" i="13"/>
  <c r="F36" i="13"/>
  <c r="D36" i="13"/>
  <c r="T35" i="13"/>
  <c r="R35" i="13"/>
  <c r="P35" i="13"/>
  <c r="K35" i="13"/>
  <c r="M35" i="13" s="1"/>
  <c r="G35" i="13"/>
  <c r="I35" i="13" s="1"/>
  <c r="C35" i="13"/>
  <c r="E35" i="13" s="1"/>
  <c r="T34" i="13"/>
  <c r="P34" i="13"/>
  <c r="K34" i="13"/>
  <c r="G34" i="13"/>
  <c r="I34" i="13" s="1"/>
  <c r="C34" i="13"/>
  <c r="E34" i="13" s="1"/>
  <c r="T33" i="13"/>
  <c r="S33" i="13"/>
  <c r="R33" i="13"/>
  <c r="Q33" i="13"/>
  <c r="P33" i="13"/>
  <c r="M33" i="13"/>
  <c r="I33" i="13"/>
  <c r="E33" i="13"/>
  <c r="AR32" i="13"/>
  <c r="T32" i="13"/>
  <c r="R32" i="13"/>
  <c r="R36" i="13" s="1"/>
  <c r="P32" i="13"/>
  <c r="K32" i="13"/>
  <c r="M32" i="13" s="1"/>
  <c r="G32" i="13"/>
  <c r="C32" i="13"/>
  <c r="E32" i="13" s="1"/>
  <c r="E36" i="13" s="1"/>
  <c r="P31" i="13"/>
  <c r="N31" i="13"/>
  <c r="L31" i="13"/>
  <c r="K31" i="13"/>
  <c r="J31" i="13"/>
  <c r="H31" i="13"/>
  <c r="G31" i="13"/>
  <c r="F31" i="13"/>
  <c r="D31" i="13"/>
  <c r="C31" i="13"/>
  <c r="T30" i="13"/>
  <c r="R30" i="13"/>
  <c r="Q30" i="13"/>
  <c r="P30" i="13"/>
  <c r="S30" i="13" s="1"/>
  <c r="M30" i="13"/>
  <c r="I30" i="13"/>
  <c r="E30" i="13"/>
  <c r="T29" i="13"/>
  <c r="R29" i="13"/>
  <c r="Q29" i="13"/>
  <c r="P29" i="13"/>
  <c r="S29" i="13" s="1"/>
  <c r="M29" i="13"/>
  <c r="I29" i="13"/>
  <c r="E29" i="13"/>
  <c r="V28" i="13"/>
  <c r="T28" i="13"/>
  <c r="R28" i="13"/>
  <c r="Q28" i="13"/>
  <c r="S28" i="13" s="1"/>
  <c r="P28" i="13"/>
  <c r="M28" i="13"/>
  <c r="I28" i="13"/>
  <c r="E28" i="13"/>
  <c r="T27" i="13"/>
  <c r="T31" i="13" s="1"/>
  <c r="R27" i="13"/>
  <c r="R31" i="13" s="1"/>
  <c r="Q27" i="13"/>
  <c r="P27" i="13"/>
  <c r="M27" i="13"/>
  <c r="M31" i="13" s="1"/>
  <c r="I27" i="13"/>
  <c r="I31" i="13" s="1"/>
  <c r="E27" i="13"/>
  <c r="E31" i="13" s="1"/>
  <c r="V26" i="13"/>
  <c r="AN19" i="13"/>
  <c r="AL19" i="13"/>
  <c r="AK19" i="13"/>
  <c r="AJ19" i="13"/>
  <c r="AG19" i="13"/>
  <c r="AG22" i="13" s="1"/>
  <c r="AF19" i="13"/>
  <c r="AC19" i="13"/>
  <c r="N19" i="13"/>
  <c r="L19" i="13"/>
  <c r="K19" i="13"/>
  <c r="H19" i="13"/>
  <c r="G19" i="13"/>
  <c r="F19" i="13"/>
  <c r="D19" i="13"/>
  <c r="C19" i="13"/>
  <c r="AQ18" i="13"/>
  <c r="AR18" i="13" s="1"/>
  <c r="AN18" i="13"/>
  <c r="AS18" i="13" s="1"/>
  <c r="AT18" i="13" s="1"/>
  <c r="AM18" i="13"/>
  <c r="AI18" i="13"/>
  <c r="AH18" i="13"/>
  <c r="AE18" i="13"/>
  <c r="AD18" i="13"/>
  <c r="AB18" i="13"/>
  <c r="AP18" i="13" s="1"/>
  <c r="R18" i="13"/>
  <c r="V18" i="13" s="1"/>
  <c r="Q18" i="13"/>
  <c r="X18" i="13" s="1"/>
  <c r="N18" i="13"/>
  <c r="T18" i="13" s="1"/>
  <c r="M18" i="13"/>
  <c r="J18" i="13"/>
  <c r="I18" i="13"/>
  <c r="F18" i="13"/>
  <c r="E18" i="13"/>
  <c r="AQ17" i="13"/>
  <c r="AR17" i="13" s="1"/>
  <c r="AN17" i="13"/>
  <c r="AS17" i="13" s="1"/>
  <c r="AT17" i="13" s="1"/>
  <c r="AM17" i="13"/>
  <c r="AI17" i="13"/>
  <c r="AH17" i="13"/>
  <c r="AE17" i="13"/>
  <c r="AD17" i="13"/>
  <c r="AB17" i="13"/>
  <c r="AP17" i="13" s="1"/>
  <c r="R17" i="13"/>
  <c r="V17" i="13" s="1"/>
  <c r="Q17" i="13"/>
  <c r="X17" i="13" s="1"/>
  <c r="N17" i="13"/>
  <c r="T17" i="13" s="1"/>
  <c r="M17" i="13"/>
  <c r="J17" i="13"/>
  <c r="I17" i="13"/>
  <c r="F17" i="13"/>
  <c r="E17" i="13"/>
  <c r="AQ16" i="13"/>
  <c r="AQ19" i="13" s="1"/>
  <c r="AN16" i="13"/>
  <c r="AS16" i="13" s="1"/>
  <c r="AM16" i="13"/>
  <c r="AM19" i="13" s="1"/>
  <c r="AI16" i="13"/>
  <c r="AI19" i="13" s="1"/>
  <c r="AH16" i="13"/>
  <c r="AH19" i="13" s="1"/>
  <c r="AE16" i="13"/>
  <c r="AE19" i="13" s="1"/>
  <c r="AD16" i="13"/>
  <c r="AD19" i="13" s="1"/>
  <c r="AB16" i="13"/>
  <c r="AP16" i="13" s="1"/>
  <c r="AP19" i="13" s="1"/>
  <c r="R16" i="13"/>
  <c r="R19" i="13" s="1"/>
  <c r="Q16" i="13"/>
  <c r="X16" i="13" s="1"/>
  <c r="N16" i="13"/>
  <c r="T16" i="13" s="1"/>
  <c r="M16" i="13"/>
  <c r="M19" i="13" s="1"/>
  <c r="J16" i="13"/>
  <c r="J19" i="13" s="1"/>
  <c r="I16" i="13"/>
  <c r="I19" i="13" s="1"/>
  <c r="F16" i="13"/>
  <c r="E16" i="13"/>
  <c r="E19" i="13" s="1"/>
  <c r="AL15" i="13"/>
  <c r="AK15" i="13"/>
  <c r="AJ15" i="13"/>
  <c r="AG15" i="13"/>
  <c r="AF15" i="13"/>
  <c r="AD15" i="13"/>
  <c r="AC15" i="13"/>
  <c r="L15" i="13"/>
  <c r="K15" i="13"/>
  <c r="J15" i="13"/>
  <c r="H15" i="13"/>
  <c r="G15" i="13"/>
  <c r="D15" i="13"/>
  <c r="C15" i="13"/>
  <c r="AP14" i="13"/>
  <c r="AN14" i="13"/>
  <c r="AM14" i="13"/>
  <c r="AQ14" i="13" s="1"/>
  <c r="AR14" i="13" s="1"/>
  <c r="AT14" i="13" s="1"/>
  <c r="AI14" i="13"/>
  <c r="AH14" i="13"/>
  <c r="AE14" i="13"/>
  <c r="AD14" i="13"/>
  <c r="AB14" i="13"/>
  <c r="T14" i="13"/>
  <c r="R14" i="13"/>
  <c r="V14" i="13" s="1"/>
  <c r="Q14" i="13"/>
  <c r="N14" i="13"/>
  <c r="M14" i="13"/>
  <c r="J14" i="13"/>
  <c r="I14" i="13"/>
  <c r="F14" i="13"/>
  <c r="E14" i="13"/>
  <c r="AT13" i="13"/>
  <c r="AP13" i="13"/>
  <c r="AN13" i="13"/>
  <c r="AS13" i="13" s="1"/>
  <c r="AM13" i="13"/>
  <c r="AQ13" i="13" s="1"/>
  <c r="AR13" i="13" s="1"/>
  <c r="AI13" i="13"/>
  <c r="AH13" i="13"/>
  <c r="AE13" i="13"/>
  <c r="AD13" i="13"/>
  <c r="AB13" i="13"/>
  <c r="T13" i="13"/>
  <c r="R13" i="13"/>
  <c r="V13" i="13" s="1"/>
  <c r="Q13" i="13"/>
  <c r="N13" i="13"/>
  <c r="M13" i="13"/>
  <c r="J13" i="13"/>
  <c r="I13" i="13"/>
  <c r="F13" i="13"/>
  <c r="E13" i="13"/>
  <c r="AT12" i="13"/>
  <c r="AP12" i="13"/>
  <c r="AN12" i="13"/>
  <c r="AS12" i="13" s="1"/>
  <c r="AM12" i="13"/>
  <c r="AQ12" i="13" s="1"/>
  <c r="AR12" i="13" s="1"/>
  <c r="AI12" i="13"/>
  <c r="AH12" i="13"/>
  <c r="AE12" i="13"/>
  <c r="AD12" i="13"/>
  <c r="AB12" i="13"/>
  <c r="T12" i="13"/>
  <c r="R12" i="13"/>
  <c r="V12" i="13" s="1"/>
  <c r="Q12" i="13"/>
  <c r="N12" i="13"/>
  <c r="M12" i="13"/>
  <c r="J12" i="13"/>
  <c r="I12" i="13"/>
  <c r="F12" i="13"/>
  <c r="E12" i="13"/>
  <c r="AP11" i="13"/>
  <c r="AP15" i="13" s="1"/>
  <c r="AN11" i="13"/>
  <c r="AS11" i="13" s="1"/>
  <c r="AS15" i="13" s="1"/>
  <c r="AM11" i="13"/>
  <c r="AM15" i="13" s="1"/>
  <c r="AI11" i="13"/>
  <c r="AI15" i="13" s="1"/>
  <c r="AH11" i="13"/>
  <c r="AH15" i="13" s="1"/>
  <c r="AE11" i="13"/>
  <c r="AE15" i="13" s="1"/>
  <c r="AD11" i="13"/>
  <c r="AB11" i="13"/>
  <c r="AB15" i="13" s="1"/>
  <c r="R11" i="13"/>
  <c r="R15" i="13" s="1"/>
  <c r="Q11" i="13"/>
  <c r="Q15" i="13" s="1"/>
  <c r="N11" i="13"/>
  <c r="N15" i="13" s="1"/>
  <c r="M11" i="13"/>
  <c r="M15" i="13" s="1"/>
  <c r="J11" i="13"/>
  <c r="I11" i="13"/>
  <c r="I15" i="13" s="1"/>
  <c r="F11" i="13"/>
  <c r="F15" i="13" s="1"/>
  <c r="E11" i="13"/>
  <c r="E15" i="13" s="1"/>
  <c r="AN10" i="13"/>
  <c r="AL10" i="13"/>
  <c r="AK10" i="13"/>
  <c r="AJ10" i="13"/>
  <c r="AG10" i="13"/>
  <c r="AF10" i="13"/>
  <c r="AF22" i="13" s="1"/>
  <c r="AC10" i="13"/>
  <c r="AB10" i="13"/>
  <c r="Q10" i="13"/>
  <c r="L10" i="13"/>
  <c r="L22" i="13" s="1"/>
  <c r="K10" i="13"/>
  <c r="H10" i="13"/>
  <c r="G10" i="13"/>
  <c r="D10" i="13"/>
  <c r="C10" i="13"/>
  <c r="AS9" i="13"/>
  <c r="AQ9" i="13"/>
  <c r="AN9" i="13"/>
  <c r="AM9" i="13"/>
  <c r="AI9" i="13"/>
  <c r="AH9" i="13"/>
  <c r="AE9" i="13"/>
  <c r="AD9" i="13"/>
  <c r="AB9" i="13"/>
  <c r="AP9" i="13" s="1"/>
  <c r="R9" i="13"/>
  <c r="V9" i="13" s="1"/>
  <c r="Q9" i="13"/>
  <c r="N9" i="13"/>
  <c r="M9" i="13"/>
  <c r="J9" i="13"/>
  <c r="I9" i="13"/>
  <c r="F9" i="13"/>
  <c r="E9" i="13"/>
  <c r="AQ8" i="13"/>
  <c r="AR8" i="13" s="1"/>
  <c r="AP8" i="13"/>
  <c r="AN8" i="13"/>
  <c r="AS8" i="13" s="1"/>
  <c r="AT8" i="13" s="1"/>
  <c r="AM8" i="13"/>
  <c r="AI8" i="13"/>
  <c r="AH8" i="13"/>
  <c r="AE8" i="13"/>
  <c r="AD8" i="13"/>
  <c r="V8" i="13"/>
  <c r="T8" i="13"/>
  <c r="R8" i="13"/>
  <c r="X8" i="13" s="1"/>
  <c r="Q8" i="13"/>
  <c r="N8" i="13"/>
  <c r="M8" i="13"/>
  <c r="J8" i="13"/>
  <c r="I8" i="13"/>
  <c r="F8" i="13"/>
  <c r="E8" i="13"/>
  <c r="AP7" i="13"/>
  <c r="AN7" i="13"/>
  <c r="AS7" i="13" s="1"/>
  <c r="AM7" i="13"/>
  <c r="AI7" i="13"/>
  <c r="AH7" i="13"/>
  <c r="AE7" i="13"/>
  <c r="AD7" i="13"/>
  <c r="AB7" i="13"/>
  <c r="T7" i="13"/>
  <c r="R7" i="13"/>
  <c r="X7" i="13" s="1"/>
  <c r="Q7" i="13"/>
  <c r="N7" i="13"/>
  <c r="M7" i="13"/>
  <c r="J7" i="13"/>
  <c r="I7" i="13"/>
  <c r="F7" i="13"/>
  <c r="E7" i="13"/>
  <c r="AP6" i="13"/>
  <c r="AN6" i="13"/>
  <c r="AS6" i="13" s="1"/>
  <c r="AM6" i="13"/>
  <c r="AI6" i="13"/>
  <c r="AI10" i="13" s="1"/>
  <c r="AH6" i="13"/>
  <c r="AH10" i="13" s="1"/>
  <c r="AE6" i="13"/>
  <c r="AD6" i="13"/>
  <c r="AD10" i="13" s="1"/>
  <c r="AB6" i="13"/>
  <c r="T6" i="13"/>
  <c r="R6" i="13"/>
  <c r="Q6" i="13"/>
  <c r="N6" i="13"/>
  <c r="N10" i="13" s="1"/>
  <c r="M6" i="13"/>
  <c r="J6" i="13"/>
  <c r="J10" i="13" s="1"/>
  <c r="I6" i="13"/>
  <c r="I10" i="13" s="1"/>
  <c r="F6" i="13"/>
  <c r="F10" i="13" s="1"/>
  <c r="E6" i="13"/>
  <c r="L94" i="11"/>
  <c r="H94" i="11"/>
  <c r="D94" i="11"/>
  <c r="P92" i="11"/>
  <c r="P91" i="11"/>
  <c r="N91" i="11"/>
  <c r="N94" i="11" s="1"/>
  <c r="L91" i="11"/>
  <c r="J91" i="11"/>
  <c r="J94" i="11" s="1"/>
  <c r="H91" i="11"/>
  <c r="G91" i="11"/>
  <c r="F91" i="11"/>
  <c r="F94" i="11" s="1"/>
  <c r="D91" i="11"/>
  <c r="T90" i="11"/>
  <c r="R90" i="11"/>
  <c r="P90" i="11"/>
  <c r="K90" i="11"/>
  <c r="M90" i="11" s="1"/>
  <c r="I90" i="11"/>
  <c r="E90" i="11"/>
  <c r="C90" i="11"/>
  <c r="C91" i="11" s="1"/>
  <c r="T89" i="11"/>
  <c r="R89" i="11"/>
  <c r="Q89" i="11"/>
  <c r="P89" i="11"/>
  <c r="S89" i="11" s="1"/>
  <c r="M89" i="11"/>
  <c r="I89" i="11"/>
  <c r="E89" i="11"/>
  <c r="T88" i="11"/>
  <c r="T91" i="11" s="1"/>
  <c r="T94" i="11" s="1"/>
  <c r="R88" i="11"/>
  <c r="Q88" i="11"/>
  <c r="P88" i="11"/>
  <c r="M88" i="11"/>
  <c r="M91" i="11" s="1"/>
  <c r="I88" i="11"/>
  <c r="I91" i="11" s="1"/>
  <c r="E88" i="11"/>
  <c r="E91" i="11" s="1"/>
  <c r="T87" i="11"/>
  <c r="R87" i="11"/>
  <c r="P87" i="11"/>
  <c r="N87" i="11"/>
  <c r="L87" i="11"/>
  <c r="K87" i="11"/>
  <c r="J87" i="11"/>
  <c r="H87" i="11"/>
  <c r="F87" i="11"/>
  <c r="D87" i="11"/>
  <c r="T86" i="11"/>
  <c r="R86" i="11"/>
  <c r="P86" i="11"/>
  <c r="M86" i="11"/>
  <c r="M87" i="11" s="1"/>
  <c r="G86" i="11"/>
  <c r="I86" i="11" s="1"/>
  <c r="I87" i="11" s="1"/>
  <c r="C86" i="11"/>
  <c r="E86" i="11" s="1"/>
  <c r="T85" i="11"/>
  <c r="P85" i="11"/>
  <c r="M85" i="11"/>
  <c r="I85" i="11"/>
  <c r="C85" i="11"/>
  <c r="T84" i="11"/>
  <c r="R84" i="11"/>
  <c r="Q84" i="11"/>
  <c r="S84" i="11" s="1"/>
  <c r="P84" i="11"/>
  <c r="M84" i="11"/>
  <c r="I84" i="11"/>
  <c r="E84" i="11"/>
  <c r="T83" i="11"/>
  <c r="R83" i="11"/>
  <c r="Q83" i="11"/>
  <c r="P83" i="11"/>
  <c r="M83" i="11"/>
  <c r="I83" i="11"/>
  <c r="E83" i="11"/>
  <c r="C83" i="11"/>
  <c r="T82" i="11"/>
  <c r="R82" i="11"/>
  <c r="P82" i="11"/>
  <c r="N82" i="11"/>
  <c r="L82" i="11"/>
  <c r="K82" i="11"/>
  <c r="J82" i="11"/>
  <c r="I82" i="11"/>
  <c r="H82" i="11"/>
  <c r="G82" i="11"/>
  <c r="F82" i="11"/>
  <c r="E82" i="11"/>
  <c r="D82" i="11"/>
  <c r="C82" i="11"/>
  <c r="T81" i="11"/>
  <c r="S81" i="11"/>
  <c r="R81" i="11"/>
  <c r="Q81" i="11"/>
  <c r="P81" i="11"/>
  <c r="M81" i="11"/>
  <c r="I81" i="11"/>
  <c r="E81" i="11"/>
  <c r="T80" i="11"/>
  <c r="S80" i="11"/>
  <c r="R80" i="11"/>
  <c r="Q80" i="11"/>
  <c r="P80" i="11"/>
  <c r="M80" i="11"/>
  <c r="I80" i="11"/>
  <c r="E80" i="11"/>
  <c r="T79" i="11"/>
  <c r="S79" i="11"/>
  <c r="R79" i="11"/>
  <c r="Q79" i="11"/>
  <c r="P79" i="11"/>
  <c r="M79" i="11"/>
  <c r="I79" i="11"/>
  <c r="E79" i="11"/>
  <c r="T78" i="11"/>
  <c r="S78" i="11"/>
  <c r="S82" i="11" s="1"/>
  <c r="R78" i="11"/>
  <c r="Q78" i="11"/>
  <c r="Q82" i="11" s="1"/>
  <c r="P78" i="11"/>
  <c r="M78" i="11"/>
  <c r="M82" i="11" s="1"/>
  <c r="I78" i="11"/>
  <c r="E78" i="11"/>
  <c r="K76" i="11"/>
  <c r="G76" i="11"/>
  <c r="C76" i="11"/>
  <c r="F69" i="11"/>
  <c r="F72" i="11" s="1"/>
  <c r="C69" i="11"/>
  <c r="C72" i="11" s="1"/>
  <c r="D68" i="11"/>
  <c r="B67" i="11"/>
  <c r="D66" i="11"/>
  <c r="F64" i="11"/>
  <c r="C64" i="11"/>
  <c r="B64" i="11"/>
  <c r="D63" i="11"/>
  <c r="D62" i="11"/>
  <c r="D61" i="11"/>
  <c r="D60" i="11"/>
  <c r="F58" i="11"/>
  <c r="C58" i="11"/>
  <c r="B58" i="11"/>
  <c r="D57" i="11"/>
  <c r="D56" i="11"/>
  <c r="D55" i="11"/>
  <c r="D54" i="11"/>
  <c r="D58" i="11" s="1"/>
  <c r="Y43" i="11"/>
  <c r="B42" i="11"/>
  <c r="Y38" i="11"/>
  <c r="Y32" i="11"/>
  <c r="X32" i="11"/>
  <c r="X34" i="11" s="1"/>
  <c r="X35" i="11" s="1"/>
  <c r="P19" i="11"/>
  <c r="P22" i="11" s="1"/>
  <c r="N19" i="11"/>
  <c r="N22" i="11" s="1"/>
  <c r="M19" i="11"/>
  <c r="M22" i="11" s="1"/>
  <c r="K19" i="11"/>
  <c r="I19" i="11"/>
  <c r="I22" i="11" s="1"/>
  <c r="H19" i="11"/>
  <c r="F19" i="11"/>
  <c r="F22" i="11" s="1"/>
  <c r="E19" i="11"/>
  <c r="G19" i="11" s="1"/>
  <c r="D19" i="11"/>
  <c r="C19" i="11"/>
  <c r="V18" i="11"/>
  <c r="C43" i="11" s="1"/>
  <c r="D43" i="11" s="1"/>
  <c r="T18" i="11"/>
  <c r="X18" i="11" s="1"/>
  <c r="S18" i="11"/>
  <c r="B43" i="11" s="1"/>
  <c r="Q18" i="11"/>
  <c r="O18" i="11"/>
  <c r="J18" i="11"/>
  <c r="L18" i="11" s="1"/>
  <c r="G18" i="11"/>
  <c r="E18" i="11"/>
  <c r="V17" i="11"/>
  <c r="C42" i="11" s="1"/>
  <c r="T17" i="11"/>
  <c r="X17" i="11" s="1"/>
  <c r="S17" i="11"/>
  <c r="Q17" i="11"/>
  <c r="O17" i="11"/>
  <c r="J17" i="11"/>
  <c r="L17" i="11" s="1"/>
  <c r="G17" i="11"/>
  <c r="E17" i="11"/>
  <c r="V16" i="11"/>
  <c r="Y16" i="11" s="1"/>
  <c r="T16" i="11"/>
  <c r="T19" i="11" s="1"/>
  <c r="S16" i="11"/>
  <c r="B41" i="11" s="1"/>
  <c r="Q16" i="11"/>
  <c r="O16" i="11"/>
  <c r="O19" i="11" s="1"/>
  <c r="J16" i="11"/>
  <c r="J19" i="11" s="1"/>
  <c r="G16" i="11"/>
  <c r="E16" i="11"/>
  <c r="V15" i="11"/>
  <c r="P15" i="11"/>
  <c r="N15" i="11"/>
  <c r="M15" i="11"/>
  <c r="K15" i="11"/>
  <c r="K22" i="11" s="1"/>
  <c r="J15" i="11"/>
  <c r="L15" i="11" s="1"/>
  <c r="I15" i="11"/>
  <c r="H15" i="11"/>
  <c r="F15" i="11"/>
  <c r="D15" i="11"/>
  <c r="C15" i="11"/>
  <c r="C22" i="11" s="1"/>
  <c r="V14" i="11"/>
  <c r="C38" i="11" s="1"/>
  <c r="T14" i="11"/>
  <c r="X14" i="11" s="1"/>
  <c r="S14" i="11"/>
  <c r="B38" i="11" s="1"/>
  <c r="O14" i="11"/>
  <c r="Q14" i="11" s="1"/>
  <c r="L14" i="11"/>
  <c r="J14" i="11"/>
  <c r="E14" i="11"/>
  <c r="G14" i="11" s="1"/>
  <c r="V13" i="11"/>
  <c r="C37" i="11" s="1"/>
  <c r="G37" i="11" s="1"/>
  <c r="T13" i="11"/>
  <c r="X13" i="11" s="1"/>
  <c r="S13" i="11"/>
  <c r="Z13" i="11" s="1"/>
  <c r="O13" i="11"/>
  <c r="Q13" i="11" s="1"/>
  <c r="L13" i="11"/>
  <c r="J13" i="11"/>
  <c r="E13" i="11"/>
  <c r="G13" i="11" s="1"/>
  <c r="V12" i="11"/>
  <c r="C36" i="11" s="1"/>
  <c r="T12" i="11"/>
  <c r="X12" i="11" s="1"/>
  <c r="S12" i="11"/>
  <c r="B36" i="11" s="1"/>
  <c r="O12" i="11"/>
  <c r="Q12" i="11" s="1"/>
  <c r="L12" i="11"/>
  <c r="J12" i="11"/>
  <c r="E12" i="11"/>
  <c r="G12" i="11" s="1"/>
  <c r="V11" i="11"/>
  <c r="C35" i="11" s="1"/>
  <c r="D35" i="11" s="1"/>
  <c r="T11" i="11"/>
  <c r="T15" i="11" s="1"/>
  <c r="S11" i="11"/>
  <c r="B35" i="11" s="1"/>
  <c r="O11" i="11"/>
  <c r="Q11" i="11" s="1"/>
  <c r="L11" i="11"/>
  <c r="J11" i="11"/>
  <c r="E11" i="11"/>
  <c r="E15" i="11" s="1"/>
  <c r="G15" i="11" s="1"/>
  <c r="S10" i="11"/>
  <c r="P10" i="11"/>
  <c r="N10" i="11"/>
  <c r="M10" i="11"/>
  <c r="K10" i="11"/>
  <c r="I10" i="11"/>
  <c r="H10" i="11"/>
  <c r="H22" i="11" s="1"/>
  <c r="F10" i="11"/>
  <c r="D10" i="11"/>
  <c r="D22" i="11" s="1"/>
  <c r="C10" i="11"/>
  <c r="V9" i="11"/>
  <c r="C32" i="11" s="1"/>
  <c r="D32" i="11" s="1"/>
  <c r="T9" i="11"/>
  <c r="X9" i="11" s="1"/>
  <c r="S9" i="11"/>
  <c r="B32" i="11" s="1"/>
  <c r="O9" i="11"/>
  <c r="Q9" i="11" s="1"/>
  <c r="J9" i="11"/>
  <c r="L9" i="11" s="1"/>
  <c r="E9" i="11"/>
  <c r="G9" i="11" s="1"/>
  <c r="V8" i="11"/>
  <c r="C31" i="11" s="1"/>
  <c r="T8" i="11"/>
  <c r="X8" i="11" s="1"/>
  <c r="S8" i="11"/>
  <c r="Z8" i="11" s="1"/>
  <c r="O8" i="11"/>
  <c r="Q8" i="11" s="1"/>
  <c r="J8" i="11"/>
  <c r="L8" i="11" s="1"/>
  <c r="E8" i="11"/>
  <c r="G8" i="11" s="1"/>
  <c r="V7" i="11"/>
  <c r="C30" i="11" s="1"/>
  <c r="F30" i="11" s="1"/>
  <c r="T7" i="11"/>
  <c r="X7" i="11" s="1"/>
  <c r="S7" i="11"/>
  <c r="B30" i="11" s="1"/>
  <c r="O7" i="11"/>
  <c r="Q7" i="11" s="1"/>
  <c r="J7" i="11"/>
  <c r="L7" i="11" s="1"/>
  <c r="E7" i="11"/>
  <c r="G7" i="11" s="1"/>
  <c r="V6" i="11"/>
  <c r="C29" i="11" s="1"/>
  <c r="G29" i="11" s="1"/>
  <c r="T6" i="11"/>
  <c r="T10" i="11" s="1"/>
  <c r="S6" i="11"/>
  <c r="B29" i="11" s="1"/>
  <c r="O6" i="11"/>
  <c r="Q6" i="11" s="1"/>
  <c r="J6" i="11"/>
  <c r="J10" i="11" s="1"/>
  <c r="L10" i="11" s="1"/>
  <c r="E6" i="11"/>
  <c r="E10" i="11" s="1"/>
  <c r="G10" i="11" s="1"/>
  <c r="T88" i="9"/>
  <c r="S88" i="9"/>
  <c r="R87" i="9"/>
  <c r="R86" i="9"/>
  <c r="R88" i="9" s="1"/>
  <c r="R85" i="9"/>
  <c r="Q81" i="9"/>
  <c r="D81" i="9"/>
  <c r="R78" i="9"/>
  <c r="Q78" i="9"/>
  <c r="P78" i="9"/>
  <c r="P81" i="9" s="1"/>
  <c r="R81" i="9" s="1"/>
  <c r="M78" i="9"/>
  <c r="J78" i="9"/>
  <c r="I78" i="9"/>
  <c r="I81" i="9" s="1"/>
  <c r="K81" i="9" s="1"/>
  <c r="G78" i="9"/>
  <c r="G81" i="9" s="1"/>
  <c r="F78" i="9"/>
  <c r="H78" i="9" s="1"/>
  <c r="E78" i="9"/>
  <c r="D78" i="9"/>
  <c r="C78" i="9"/>
  <c r="C81" i="9" s="1"/>
  <c r="E81" i="9" s="1"/>
  <c r="B78" i="9"/>
  <c r="S77" i="9"/>
  <c r="R77" i="9"/>
  <c r="N77" i="9"/>
  <c r="M77" i="9"/>
  <c r="L77" i="9"/>
  <c r="K77" i="9"/>
  <c r="H77" i="9"/>
  <c r="E77" i="9"/>
  <c r="S76" i="9"/>
  <c r="R76" i="9"/>
  <c r="N76" i="9"/>
  <c r="M76" i="9"/>
  <c r="L76" i="9"/>
  <c r="K76" i="9"/>
  <c r="H76" i="9"/>
  <c r="E76" i="9"/>
  <c r="S75" i="9"/>
  <c r="S78" i="9" s="1"/>
  <c r="R75" i="9"/>
  <c r="N75" i="9"/>
  <c r="N78" i="9" s="1"/>
  <c r="N81" i="9" s="1"/>
  <c r="M75" i="9"/>
  <c r="L75" i="9"/>
  <c r="L78" i="9" s="1"/>
  <c r="K75" i="9"/>
  <c r="H75" i="9"/>
  <c r="E75" i="9"/>
  <c r="Q74" i="9"/>
  <c r="P74" i="9"/>
  <c r="R74" i="9" s="1"/>
  <c r="N74" i="9"/>
  <c r="L74" i="9"/>
  <c r="J74" i="9"/>
  <c r="J81" i="9" s="1"/>
  <c r="I74" i="9"/>
  <c r="K74" i="9" s="1"/>
  <c r="G74" i="9"/>
  <c r="F74" i="9"/>
  <c r="F81" i="9" s="1"/>
  <c r="D74" i="9"/>
  <c r="C74" i="9"/>
  <c r="E74" i="9" s="1"/>
  <c r="B74" i="9"/>
  <c r="B81" i="9" s="1"/>
  <c r="R73" i="9"/>
  <c r="N73" i="9"/>
  <c r="S73" i="9" s="1"/>
  <c r="M73" i="9"/>
  <c r="L73" i="9"/>
  <c r="K73" i="9"/>
  <c r="H73" i="9"/>
  <c r="E73" i="9"/>
  <c r="R72" i="9"/>
  <c r="N72" i="9"/>
  <c r="S72" i="9" s="1"/>
  <c r="M72" i="9"/>
  <c r="L72" i="9"/>
  <c r="K72" i="9"/>
  <c r="H72" i="9"/>
  <c r="E72" i="9"/>
  <c r="R71" i="9"/>
  <c r="N71" i="9"/>
  <c r="S71" i="9" s="1"/>
  <c r="M71" i="9"/>
  <c r="L71" i="9"/>
  <c r="K71" i="9"/>
  <c r="H71" i="9"/>
  <c r="E71" i="9"/>
  <c r="R70" i="9"/>
  <c r="N70" i="9"/>
  <c r="S70" i="9" s="1"/>
  <c r="S74" i="9" s="1"/>
  <c r="M70" i="9"/>
  <c r="M74" i="9" s="1"/>
  <c r="L70" i="9"/>
  <c r="K70" i="9"/>
  <c r="H70" i="9"/>
  <c r="E70" i="9"/>
  <c r="Q69" i="9"/>
  <c r="P69" i="9"/>
  <c r="R69" i="9" s="1"/>
  <c r="M69" i="9"/>
  <c r="K69" i="9"/>
  <c r="J69" i="9"/>
  <c r="I69" i="9"/>
  <c r="G69" i="9"/>
  <c r="F69" i="9"/>
  <c r="H69" i="9" s="1"/>
  <c r="D69" i="9"/>
  <c r="C69" i="9"/>
  <c r="E69" i="9" s="1"/>
  <c r="B69" i="9"/>
  <c r="R68" i="9"/>
  <c r="N68" i="9"/>
  <c r="S68" i="9" s="1"/>
  <c r="M68" i="9"/>
  <c r="L68" i="9"/>
  <c r="K68" i="9"/>
  <c r="H68" i="9"/>
  <c r="E68" i="9"/>
  <c r="R67" i="9"/>
  <c r="N67" i="9"/>
  <c r="S67" i="9" s="1"/>
  <c r="M67" i="9"/>
  <c r="L67" i="9"/>
  <c r="K67" i="9"/>
  <c r="H67" i="9"/>
  <c r="E67" i="9"/>
  <c r="R66" i="9"/>
  <c r="N66" i="9"/>
  <c r="S66" i="9" s="1"/>
  <c r="M66" i="9"/>
  <c r="L66" i="9"/>
  <c r="K66" i="9"/>
  <c r="H66" i="9"/>
  <c r="E66" i="9"/>
  <c r="R65" i="9"/>
  <c r="N65" i="9"/>
  <c r="N69" i="9" s="1"/>
  <c r="M65" i="9"/>
  <c r="L65" i="9"/>
  <c r="L69" i="9" s="1"/>
  <c r="K65" i="9"/>
  <c r="H65" i="9"/>
  <c r="E65" i="9"/>
  <c r="P58" i="9"/>
  <c r="Q57" i="9"/>
  <c r="P57" i="9"/>
  <c r="N57" i="9"/>
  <c r="N60" i="9" s="1"/>
  <c r="L57" i="9"/>
  <c r="L60" i="9" s="1"/>
  <c r="K57" i="9"/>
  <c r="K60" i="9" s="1"/>
  <c r="J57" i="9"/>
  <c r="J60" i="9" s="1"/>
  <c r="H57" i="9"/>
  <c r="H60" i="9" s="1"/>
  <c r="G57" i="9"/>
  <c r="G60" i="9" s="1"/>
  <c r="F57" i="9"/>
  <c r="F60" i="9" s="1"/>
  <c r="D57" i="9"/>
  <c r="D60" i="9" s="1"/>
  <c r="C57" i="9"/>
  <c r="C60" i="9" s="1"/>
  <c r="T56" i="9"/>
  <c r="T57" i="9" s="1"/>
  <c r="R56" i="9"/>
  <c r="R57" i="9" s="1"/>
  <c r="Q56" i="9"/>
  <c r="P56" i="9"/>
  <c r="S56" i="9" s="1"/>
  <c r="S57" i="9" s="1"/>
  <c r="M56" i="9"/>
  <c r="M57" i="9" s="1"/>
  <c r="I56" i="9"/>
  <c r="I57" i="9" s="1"/>
  <c r="E56" i="9"/>
  <c r="E57" i="9" s="1"/>
  <c r="T55" i="9"/>
  <c r="R55" i="9"/>
  <c r="P55" i="9"/>
  <c r="N55" i="9"/>
  <c r="L55" i="9"/>
  <c r="K55" i="9"/>
  <c r="J55" i="9"/>
  <c r="I55" i="9"/>
  <c r="H55" i="9"/>
  <c r="G55" i="9"/>
  <c r="F55" i="9"/>
  <c r="E55" i="9"/>
  <c r="D55" i="9"/>
  <c r="C55" i="9"/>
  <c r="T54" i="9"/>
  <c r="S54" i="9"/>
  <c r="S55" i="9" s="1"/>
  <c r="R54" i="9"/>
  <c r="Q54" i="9"/>
  <c r="Q55" i="9" s="1"/>
  <c r="P54" i="9"/>
  <c r="M54" i="9"/>
  <c r="M55" i="9" s="1"/>
  <c r="I54" i="9"/>
  <c r="E54" i="9"/>
  <c r="Q53" i="9"/>
  <c r="P53" i="9"/>
  <c r="N53" i="9"/>
  <c r="L53" i="9"/>
  <c r="K53" i="9"/>
  <c r="J53" i="9"/>
  <c r="H53" i="9"/>
  <c r="G53" i="9"/>
  <c r="F53" i="9"/>
  <c r="D53" i="9"/>
  <c r="C53" i="9"/>
  <c r="T52" i="9"/>
  <c r="T53" i="9" s="1"/>
  <c r="R52" i="9"/>
  <c r="R53" i="9" s="1"/>
  <c r="Q52" i="9"/>
  <c r="P52" i="9"/>
  <c r="S52" i="9" s="1"/>
  <c r="S53" i="9" s="1"/>
  <c r="M52" i="9"/>
  <c r="M53" i="9" s="1"/>
  <c r="I52" i="9"/>
  <c r="I53" i="9" s="1"/>
  <c r="E52" i="9"/>
  <c r="E53" i="9" s="1"/>
  <c r="K50" i="9"/>
  <c r="G50" i="9"/>
  <c r="C50" i="9"/>
  <c r="F43" i="9"/>
  <c r="F46" i="9" s="1"/>
  <c r="C43" i="9"/>
  <c r="C46" i="9" s="1"/>
  <c r="B43" i="9"/>
  <c r="B46" i="9" s="1"/>
  <c r="D42" i="9"/>
  <c r="D41" i="9"/>
  <c r="D43" i="9" s="1"/>
  <c r="D40" i="9"/>
  <c r="F38" i="9"/>
  <c r="C38" i="9"/>
  <c r="B38" i="9"/>
  <c r="D37" i="9"/>
  <c r="D36" i="9"/>
  <c r="D35" i="9"/>
  <c r="D34" i="9"/>
  <c r="D38" i="9" s="1"/>
  <c r="F32" i="9"/>
  <c r="C32" i="9"/>
  <c r="B32" i="9"/>
  <c r="D31" i="9"/>
  <c r="D30" i="9"/>
  <c r="D29" i="9"/>
  <c r="D28" i="9"/>
  <c r="D32" i="9" s="1"/>
  <c r="X24" i="9"/>
  <c r="V19" i="9"/>
  <c r="T19" i="9"/>
  <c r="P19" i="9"/>
  <c r="P22" i="9" s="1"/>
  <c r="N19" i="9"/>
  <c r="N22" i="9" s="1"/>
  <c r="M19" i="9"/>
  <c r="L19" i="9"/>
  <c r="K19" i="9"/>
  <c r="J19" i="9"/>
  <c r="I19" i="9"/>
  <c r="H19" i="9"/>
  <c r="H22" i="9" s="1"/>
  <c r="F19" i="9"/>
  <c r="F22" i="9" s="1"/>
  <c r="D19" i="9"/>
  <c r="D22" i="9" s="1"/>
  <c r="C19" i="9"/>
  <c r="Y18" i="9"/>
  <c r="V18" i="9"/>
  <c r="T18" i="9"/>
  <c r="X18" i="9" s="1"/>
  <c r="S18" i="9"/>
  <c r="Z18" i="9" s="1"/>
  <c r="Q18" i="9"/>
  <c r="O18" i="9"/>
  <c r="L18" i="9"/>
  <c r="J18" i="9"/>
  <c r="G18" i="9"/>
  <c r="E18" i="9"/>
  <c r="Y17" i="9"/>
  <c r="V17" i="9"/>
  <c r="T17" i="9"/>
  <c r="X17" i="9" s="1"/>
  <c r="S17" i="9"/>
  <c r="Z17" i="9" s="1"/>
  <c r="Q17" i="9"/>
  <c r="O17" i="9"/>
  <c r="L17" i="9"/>
  <c r="J17" i="9"/>
  <c r="G17" i="9"/>
  <c r="E17" i="9"/>
  <c r="Y16" i="9"/>
  <c r="Y19" i="9" s="1"/>
  <c r="V16" i="9"/>
  <c r="T16" i="9"/>
  <c r="X16" i="9" s="1"/>
  <c r="S16" i="9"/>
  <c r="S19" i="9" s="1"/>
  <c r="Q16" i="9"/>
  <c r="O16" i="9"/>
  <c r="O19" i="9" s="1"/>
  <c r="L16" i="9"/>
  <c r="J16" i="9"/>
  <c r="G16" i="9"/>
  <c r="E16" i="9"/>
  <c r="E19" i="9" s="1"/>
  <c r="S15" i="9"/>
  <c r="P15" i="9"/>
  <c r="N15" i="9"/>
  <c r="M15" i="9"/>
  <c r="M22" i="9" s="1"/>
  <c r="K15" i="9"/>
  <c r="K22" i="9" s="1"/>
  <c r="I15" i="9"/>
  <c r="I22" i="9" s="1"/>
  <c r="H15" i="9"/>
  <c r="F15" i="9"/>
  <c r="D15" i="9"/>
  <c r="C15" i="9"/>
  <c r="C22" i="9" s="1"/>
  <c r="V14" i="9"/>
  <c r="Y14" i="9" s="1"/>
  <c r="T14" i="9"/>
  <c r="X14" i="9" s="1"/>
  <c r="S14" i="9"/>
  <c r="O14" i="9"/>
  <c r="Q14" i="9" s="1"/>
  <c r="J14" i="9"/>
  <c r="L14" i="9" s="1"/>
  <c r="E14" i="9"/>
  <c r="G14" i="9" s="1"/>
  <c r="V13" i="9"/>
  <c r="Y13" i="9" s="1"/>
  <c r="T13" i="9"/>
  <c r="X13" i="9" s="1"/>
  <c r="S13" i="9"/>
  <c r="O13" i="9"/>
  <c r="Q13" i="9" s="1"/>
  <c r="J13" i="9"/>
  <c r="L13" i="9" s="1"/>
  <c r="E13" i="9"/>
  <c r="G13" i="9" s="1"/>
  <c r="V12" i="9"/>
  <c r="Y12" i="9" s="1"/>
  <c r="T12" i="9"/>
  <c r="X12" i="9" s="1"/>
  <c r="S12" i="9"/>
  <c r="O12" i="9"/>
  <c r="Q12" i="9" s="1"/>
  <c r="J12" i="9"/>
  <c r="L12" i="9" s="1"/>
  <c r="E12" i="9"/>
  <c r="G12" i="9" s="1"/>
  <c r="V11" i="9"/>
  <c r="Y11" i="9" s="1"/>
  <c r="T11" i="9"/>
  <c r="T15" i="9" s="1"/>
  <c r="S11" i="9"/>
  <c r="O11" i="9"/>
  <c r="Q11" i="9" s="1"/>
  <c r="J11" i="9"/>
  <c r="J15" i="9" s="1"/>
  <c r="L15" i="9" s="1"/>
  <c r="E11" i="9"/>
  <c r="G11" i="9" s="1"/>
  <c r="V10" i="9"/>
  <c r="T10" i="9"/>
  <c r="P10" i="9"/>
  <c r="N10" i="9"/>
  <c r="M10" i="9"/>
  <c r="K10" i="9"/>
  <c r="J10" i="9"/>
  <c r="L10" i="9" s="1"/>
  <c r="I10" i="9"/>
  <c r="H10" i="9"/>
  <c r="F10" i="9"/>
  <c r="D10" i="9"/>
  <c r="C10" i="9"/>
  <c r="Y9" i="9"/>
  <c r="V9" i="9"/>
  <c r="T9" i="9"/>
  <c r="X9" i="9" s="1"/>
  <c r="S9" i="9"/>
  <c r="Z9" i="9" s="1"/>
  <c r="Q9" i="9"/>
  <c r="O9" i="9"/>
  <c r="L9" i="9"/>
  <c r="J9" i="9"/>
  <c r="G9" i="9"/>
  <c r="E9" i="9"/>
  <c r="Y8" i="9"/>
  <c r="V8" i="9"/>
  <c r="T8" i="9"/>
  <c r="X8" i="9" s="1"/>
  <c r="S8" i="9"/>
  <c r="Z8" i="9" s="1"/>
  <c r="Q8" i="9"/>
  <c r="O8" i="9"/>
  <c r="L8" i="9"/>
  <c r="J8" i="9"/>
  <c r="G8" i="9"/>
  <c r="E8" i="9"/>
  <c r="Y7" i="9"/>
  <c r="V7" i="9"/>
  <c r="T7" i="9"/>
  <c r="X7" i="9" s="1"/>
  <c r="S7" i="9"/>
  <c r="Z7" i="9" s="1"/>
  <c r="Q7" i="9"/>
  <c r="O7" i="9"/>
  <c r="L7" i="9"/>
  <c r="J7" i="9"/>
  <c r="G7" i="9"/>
  <c r="E7" i="9"/>
  <c r="Y6" i="9"/>
  <c r="Y10" i="9" s="1"/>
  <c r="V6" i="9"/>
  <c r="T6" i="9"/>
  <c r="X6" i="9" s="1"/>
  <c r="X10" i="9" s="1"/>
  <c r="Z10" i="9" s="1"/>
  <c r="S6" i="9"/>
  <c r="Z6" i="9" s="1"/>
  <c r="Q6" i="9"/>
  <c r="O6" i="9"/>
  <c r="O10" i="9" s="1"/>
  <c r="Q10" i="9" s="1"/>
  <c r="L6" i="9"/>
  <c r="J6" i="9"/>
  <c r="G6" i="9"/>
  <c r="E6" i="9"/>
  <c r="E10" i="9" s="1"/>
  <c r="G10" i="9" s="1"/>
  <c r="N78" i="8"/>
  <c r="L78" i="8"/>
  <c r="J78" i="8"/>
  <c r="J81" i="8" s="1"/>
  <c r="I78" i="8"/>
  <c r="K78" i="8" s="1"/>
  <c r="G78" i="8"/>
  <c r="F78" i="8"/>
  <c r="F81" i="8" s="1"/>
  <c r="D78" i="8"/>
  <c r="D81" i="8" s="1"/>
  <c r="C78" i="8"/>
  <c r="E78" i="8" s="1"/>
  <c r="B78" i="8"/>
  <c r="B81" i="8" s="1"/>
  <c r="N77" i="8"/>
  <c r="M77" i="8"/>
  <c r="L77" i="8"/>
  <c r="K77" i="8"/>
  <c r="H77" i="8"/>
  <c r="E77" i="8"/>
  <c r="N76" i="8"/>
  <c r="M76" i="8"/>
  <c r="L76" i="8"/>
  <c r="K76" i="8"/>
  <c r="H76" i="8"/>
  <c r="E76" i="8"/>
  <c r="N75" i="8"/>
  <c r="M75" i="8"/>
  <c r="M78" i="8" s="1"/>
  <c r="L75" i="8"/>
  <c r="K75" i="8"/>
  <c r="H75" i="8"/>
  <c r="E75" i="8"/>
  <c r="M74" i="8"/>
  <c r="J74" i="8"/>
  <c r="I74" i="8"/>
  <c r="I81" i="8" s="1"/>
  <c r="K81" i="8" s="1"/>
  <c r="G74" i="8"/>
  <c r="G81" i="8" s="1"/>
  <c r="F74" i="8"/>
  <c r="H74" i="8" s="1"/>
  <c r="D74" i="8"/>
  <c r="C74" i="8"/>
  <c r="E74" i="8" s="1"/>
  <c r="B74" i="8"/>
  <c r="N73" i="8"/>
  <c r="M73" i="8"/>
  <c r="L73" i="8"/>
  <c r="K73" i="8"/>
  <c r="H73" i="8"/>
  <c r="E73" i="8"/>
  <c r="N72" i="8"/>
  <c r="M72" i="8"/>
  <c r="L72" i="8"/>
  <c r="K72" i="8"/>
  <c r="H72" i="8"/>
  <c r="E72" i="8"/>
  <c r="N71" i="8"/>
  <c r="M71" i="8"/>
  <c r="L71" i="8"/>
  <c r="K71" i="8"/>
  <c r="H71" i="8"/>
  <c r="E71" i="8"/>
  <c r="N70" i="8"/>
  <c r="N74" i="8" s="1"/>
  <c r="M70" i="8"/>
  <c r="L70" i="8"/>
  <c r="L74" i="8" s="1"/>
  <c r="K70" i="8"/>
  <c r="H70" i="8"/>
  <c r="E70" i="8"/>
  <c r="N69" i="8"/>
  <c r="L69" i="8"/>
  <c r="J69" i="8"/>
  <c r="I69" i="8"/>
  <c r="K69" i="8" s="1"/>
  <c r="G69" i="8"/>
  <c r="F69" i="8"/>
  <c r="H69" i="8" s="1"/>
  <c r="D69" i="8"/>
  <c r="C69" i="8"/>
  <c r="E69" i="8" s="1"/>
  <c r="B69" i="8"/>
  <c r="N68" i="8"/>
  <c r="M68" i="8"/>
  <c r="L68" i="8"/>
  <c r="K68" i="8"/>
  <c r="H68" i="8"/>
  <c r="E68" i="8"/>
  <c r="N67" i="8"/>
  <c r="M67" i="8"/>
  <c r="L67" i="8"/>
  <c r="K67" i="8"/>
  <c r="H67" i="8"/>
  <c r="E67" i="8"/>
  <c r="N66" i="8"/>
  <c r="M66" i="8"/>
  <c r="L66" i="8"/>
  <c r="K66" i="8"/>
  <c r="H66" i="8"/>
  <c r="E66" i="8"/>
  <c r="N65" i="8"/>
  <c r="M65" i="8"/>
  <c r="M69" i="8" s="1"/>
  <c r="L65" i="8"/>
  <c r="K65" i="8"/>
  <c r="H65" i="8"/>
  <c r="E65" i="8"/>
  <c r="P58" i="8"/>
  <c r="T57" i="8"/>
  <c r="R57" i="8"/>
  <c r="P57" i="8"/>
  <c r="N57" i="8"/>
  <c r="N60" i="8" s="1"/>
  <c r="L57" i="8"/>
  <c r="L60" i="8" s="1"/>
  <c r="K57" i="8"/>
  <c r="K60" i="8" s="1"/>
  <c r="J57" i="8"/>
  <c r="J60" i="8" s="1"/>
  <c r="I57" i="8"/>
  <c r="H57" i="8"/>
  <c r="H60" i="8" s="1"/>
  <c r="G57" i="8"/>
  <c r="G60" i="8" s="1"/>
  <c r="F57" i="8"/>
  <c r="F60" i="8" s="1"/>
  <c r="D57" i="8"/>
  <c r="D60" i="8" s="1"/>
  <c r="C57" i="8"/>
  <c r="C60" i="8" s="1"/>
  <c r="T56" i="8"/>
  <c r="S56" i="8"/>
  <c r="S57" i="8" s="1"/>
  <c r="R56" i="8"/>
  <c r="Q56" i="8"/>
  <c r="Q57" i="8" s="1"/>
  <c r="P56" i="8"/>
  <c r="M56" i="8"/>
  <c r="M57" i="8" s="1"/>
  <c r="I56" i="8"/>
  <c r="E56" i="8"/>
  <c r="E57" i="8" s="1"/>
  <c r="Q55" i="8"/>
  <c r="P55" i="8"/>
  <c r="N55" i="8"/>
  <c r="L55" i="8"/>
  <c r="K55" i="8"/>
  <c r="J55" i="8"/>
  <c r="H55" i="8"/>
  <c r="G55" i="8"/>
  <c r="F55" i="8"/>
  <c r="D55" i="8"/>
  <c r="C55" i="8"/>
  <c r="T54" i="8"/>
  <c r="T55" i="8" s="1"/>
  <c r="R54" i="8"/>
  <c r="R55" i="8" s="1"/>
  <c r="Q54" i="8"/>
  <c r="P54" i="8"/>
  <c r="S54" i="8" s="1"/>
  <c r="S55" i="8" s="1"/>
  <c r="M54" i="8"/>
  <c r="M55" i="8" s="1"/>
  <c r="I54" i="8"/>
  <c r="I55" i="8" s="1"/>
  <c r="E54" i="8"/>
  <c r="E55" i="8" s="1"/>
  <c r="T53" i="8"/>
  <c r="R53" i="8"/>
  <c r="P53" i="8"/>
  <c r="N53" i="8"/>
  <c r="L53" i="8"/>
  <c r="K53" i="8"/>
  <c r="J53" i="8"/>
  <c r="I53" i="8"/>
  <c r="H53" i="8"/>
  <c r="G53" i="8"/>
  <c r="F53" i="8"/>
  <c r="D53" i="8"/>
  <c r="C53" i="8"/>
  <c r="T52" i="8"/>
  <c r="R52" i="8"/>
  <c r="Q52" i="8"/>
  <c r="Q53" i="8" s="1"/>
  <c r="P52" i="8"/>
  <c r="M52" i="8"/>
  <c r="M53" i="8" s="1"/>
  <c r="I52" i="8"/>
  <c r="E52" i="8"/>
  <c r="E53" i="8" s="1"/>
  <c r="K50" i="8"/>
  <c r="G50" i="8"/>
  <c r="C50" i="8"/>
  <c r="F43" i="8"/>
  <c r="F46" i="8" s="1"/>
  <c r="C43" i="8"/>
  <c r="C46" i="8" s="1"/>
  <c r="B43" i="8"/>
  <c r="B46" i="8" s="1"/>
  <c r="D42" i="8"/>
  <c r="C42" i="8"/>
  <c r="D41" i="8"/>
  <c r="C41" i="8"/>
  <c r="D40" i="8"/>
  <c r="D43" i="8" s="1"/>
  <c r="C40" i="8"/>
  <c r="F38" i="8"/>
  <c r="C38" i="8"/>
  <c r="B38" i="8"/>
  <c r="D37" i="8"/>
  <c r="C37" i="8"/>
  <c r="D36" i="8"/>
  <c r="C36" i="8"/>
  <c r="D35" i="8"/>
  <c r="C35" i="8"/>
  <c r="D34" i="8"/>
  <c r="D38" i="8" s="1"/>
  <c r="C34" i="8"/>
  <c r="F32" i="8"/>
  <c r="C32" i="8"/>
  <c r="B32" i="8"/>
  <c r="D31" i="8"/>
  <c r="C31" i="8"/>
  <c r="D30" i="8"/>
  <c r="C30" i="8"/>
  <c r="D29" i="8"/>
  <c r="C29" i="8"/>
  <c r="D28" i="8"/>
  <c r="D32" i="8" s="1"/>
  <c r="C28" i="8"/>
  <c r="Z26" i="8"/>
  <c r="Z25" i="8"/>
  <c r="AH22" i="8"/>
  <c r="AI19" i="8"/>
  <c r="T19" i="8"/>
  <c r="R19" i="8"/>
  <c r="P19" i="8"/>
  <c r="O19" i="8"/>
  <c r="O22" i="8" s="1"/>
  <c r="N19" i="8"/>
  <c r="M19" i="8"/>
  <c r="M22" i="8" s="1"/>
  <c r="K19" i="8"/>
  <c r="K22" i="8" s="1"/>
  <c r="I19" i="8"/>
  <c r="I22" i="8" s="1"/>
  <c r="H19" i="8"/>
  <c r="F19" i="8"/>
  <c r="D19" i="8"/>
  <c r="C19" i="8"/>
  <c r="C22" i="8" s="1"/>
  <c r="B19" i="8"/>
  <c r="X18" i="8"/>
  <c r="AB18" i="8" s="1"/>
  <c r="V18" i="8"/>
  <c r="U18" i="8"/>
  <c r="AA18" i="8" s="1"/>
  <c r="Q18" i="8"/>
  <c r="S18" i="8" s="1"/>
  <c r="J18" i="8"/>
  <c r="L18" i="8" s="1"/>
  <c r="E18" i="8"/>
  <c r="G18" i="8" s="1"/>
  <c r="X17" i="8"/>
  <c r="Y17" i="8" s="1"/>
  <c r="Z17" i="8" s="1"/>
  <c r="V17" i="8"/>
  <c r="AA17" i="8" s="1"/>
  <c r="U17" i="8"/>
  <c r="W17" i="8" s="1"/>
  <c r="S17" i="8"/>
  <c r="Q17" i="8"/>
  <c r="L17" i="8"/>
  <c r="J17" i="8"/>
  <c r="G17" i="8"/>
  <c r="E17" i="8"/>
  <c r="X16" i="8"/>
  <c r="X19" i="8" s="1"/>
  <c r="V16" i="8"/>
  <c r="V19" i="8" s="1"/>
  <c r="U16" i="8"/>
  <c r="AC16" i="8" s="1"/>
  <c r="Q16" i="8"/>
  <c r="S16" i="8" s="1"/>
  <c r="J16" i="8"/>
  <c r="L16" i="8" s="1"/>
  <c r="E16" i="8"/>
  <c r="G16" i="8" s="1"/>
  <c r="AI15" i="8"/>
  <c r="T15" i="8"/>
  <c r="T22" i="8" s="1"/>
  <c r="R15" i="8"/>
  <c r="R22" i="8" s="1"/>
  <c r="P15" i="8"/>
  <c r="P22" i="8" s="1"/>
  <c r="O15" i="8"/>
  <c r="N15" i="8"/>
  <c r="N22" i="8" s="1"/>
  <c r="M15" i="8"/>
  <c r="K15" i="8"/>
  <c r="I15" i="8"/>
  <c r="H15" i="8"/>
  <c r="H22" i="8" s="1"/>
  <c r="F15" i="8"/>
  <c r="F22" i="8" s="1"/>
  <c r="D15" i="8"/>
  <c r="D22" i="8" s="1"/>
  <c r="C15" i="8"/>
  <c r="B15" i="8"/>
  <c r="B22" i="8" s="1"/>
  <c r="X14" i="8"/>
  <c r="AB14" i="8" s="1"/>
  <c r="V14" i="8"/>
  <c r="U14" i="8"/>
  <c r="AA14" i="8" s="1"/>
  <c r="Q14" i="8"/>
  <c r="S14" i="8" s="1"/>
  <c r="J14" i="8"/>
  <c r="L14" i="8" s="1"/>
  <c r="E14" i="8"/>
  <c r="G14" i="8" s="1"/>
  <c r="X13" i="8"/>
  <c r="V13" i="8"/>
  <c r="AA13" i="8" s="1"/>
  <c r="U13" i="8"/>
  <c r="W13" i="8" s="1"/>
  <c r="S13" i="8"/>
  <c r="Q13" i="8"/>
  <c r="L13" i="8"/>
  <c r="J13" i="8"/>
  <c r="G13" i="8"/>
  <c r="E13" i="8"/>
  <c r="X12" i="8"/>
  <c r="AB12" i="8" s="1"/>
  <c r="V12" i="8"/>
  <c r="U12" i="8"/>
  <c r="AC12" i="8" s="1"/>
  <c r="Q12" i="8"/>
  <c r="S12" i="8" s="1"/>
  <c r="J12" i="8"/>
  <c r="L12" i="8" s="1"/>
  <c r="E12" i="8"/>
  <c r="G12" i="8" s="1"/>
  <c r="X11" i="8"/>
  <c r="X15" i="8" s="1"/>
  <c r="AJ15" i="8" s="1"/>
  <c r="V11" i="8"/>
  <c r="V15" i="8" s="1"/>
  <c r="U11" i="8"/>
  <c r="AC11" i="8" s="1"/>
  <c r="S11" i="8"/>
  <c r="Q11" i="8"/>
  <c r="L11" i="8"/>
  <c r="J11" i="8"/>
  <c r="J15" i="8" s="1"/>
  <c r="L15" i="8" s="1"/>
  <c r="G11" i="8"/>
  <c r="E11" i="8"/>
  <c r="AI10" i="8"/>
  <c r="AG10" i="8"/>
  <c r="AG22" i="8" s="1"/>
  <c r="T10" i="8"/>
  <c r="R10" i="8"/>
  <c r="P10" i="8"/>
  <c r="O10" i="8"/>
  <c r="N10" i="8"/>
  <c r="M10" i="8"/>
  <c r="K10" i="8"/>
  <c r="I10" i="8"/>
  <c r="H10" i="8"/>
  <c r="F10" i="8"/>
  <c r="D10" i="8"/>
  <c r="C10" i="8"/>
  <c r="B10" i="8"/>
  <c r="X9" i="8"/>
  <c r="AB9" i="8" s="1"/>
  <c r="V9" i="8"/>
  <c r="U9" i="8"/>
  <c r="AA9" i="8" s="1"/>
  <c r="Q9" i="8"/>
  <c r="S9" i="8" s="1"/>
  <c r="J9" i="8"/>
  <c r="L9" i="8" s="1"/>
  <c r="E9" i="8"/>
  <c r="G9" i="8" s="1"/>
  <c r="X8" i="8"/>
  <c r="Y8" i="8" s="1"/>
  <c r="Z8" i="8" s="1"/>
  <c r="V8" i="8"/>
  <c r="AA8" i="8" s="1"/>
  <c r="U8" i="8"/>
  <c r="W8" i="8" s="1"/>
  <c r="S8" i="8"/>
  <c r="Q8" i="8"/>
  <c r="L8" i="8"/>
  <c r="J8" i="8"/>
  <c r="G8" i="8"/>
  <c r="E8" i="8"/>
  <c r="X7" i="8"/>
  <c r="AB7" i="8" s="1"/>
  <c r="V7" i="8"/>
  <c r="U7" i="8"/>
  <c r="AC7" i="8" s="1"/>
  <c r="Q7" i="8"/>
  <c r="J7" i="8"/>
  <c r="L7" i="8" s="1"/>
  <c r="E7" i="8"/>
  <c r="X6" i="8"/>
  <c r="AB6" i="8" s="1"/>
  <c r="V6" i="8"/>
  <c r="U6" i="8"/>
  <c r="S6" i="8"/>
  <c r="Q6" i="8"/>
  <c r="L6" i="8"/>
  <c r="J6" i="8"/>
  <c r="G6" i="8"/>
  <c r="E6" i="8"/>
  <c r="K81" i="7"/>
  <c r="N78" i="7"/>
  <c r="K78" i="7"/>
  <c r="J78" i="7"/>
  <c r="L78" i="7" s="1"/>
  <c r="G78" i="7"/>
  <c r="F78" i="7"/>
  <c r="H78" i="7" s="1"/>
  <c r="D78" i="7"/>
  <c r="C78" i="7"/>
  <c r="E78" i="7" s="1"/>
  <c r="B78" i="7"/>
  <c r="O77" i="7"/>
  <c r="N77" i="7"/>
  <c r="M77" i="7"/>
  <c r="L77" i="7"/>
  <c r="H77" i="7"/>
  <c r="E77" i="7"/>
  <c r="O76" i="7"/>
  <c r="N76" i="7"/>
  <c r="M76" i="7"/>
  <c r="L76" i="7"/>
  <c r="H76" i="7"/>
  <c r="E76" i="7"/>
  <c r="O75" i="7"/>
  <c r="N75" i="7"/>
  <c r="M75" i="7"/>
  <c r="M78" i="7" s="1"/>
  <c r="L75" i="7"/>
  <c r="H75" i="7"/>
  <c r="E75" i="7"/>
  <c r="K74" i="7"/>
  <c r="J74" i="7"/>
  <c r="L74" i="7" s="1"/>
  <c r="H74" i="7"/>
  <c r="G74" i="7"/>
  <c r="F74" i="7"/>
  <c r="F81" i="7" s="1"/>
  <c r="D74" i="7"/>
  <c r="E74" i="7" s="1"/>
  <c r="C74" i="7"/>
  <c r="B74" i="7"/>
  <c r="O73" i="7"/>
  <c r="N73" i="7"/>
  <c r="M73" i="7"/>
  <c r="L73" i="7"/>
  <c r="H73" i="7"/>
  <c r="E73" i="7"/>
  <c r="O72" i="7"/>
  <c r="N72" i="7"/>
  <c r="M72" i="7"/>
  <c r="L72" i="7"/>
  <c r="H72" i="7"/>
  <c r="E72" i="7"/>
  <c r="O71" i="7"/>
  <c r="N71" i="7"/>
  <c r="M71" i="7"/>
  <c r="L71" i="7"/>
  <c r="H71" i="7"/>
  <c r="E71" i="7"/>
  <c r="O70" i="7"/>
  <c r="O74" i="7" s="1"/>
  <c r="N70" i="7"/>
  <c r="M70" i="7"/>
  <c r="M74" i="7" s="1"/>
  <c r="L70" i="7"/>
  <c r="H70" i="7"/>
  <c r="E70" i="7"/>
  <c r="N69" i="7"/>
  <c r="K69" i="7"/>
  <c r="J69" i="7"/>
  <c r="L69" i="7" s="1"/>
  <c r="H69" i="7"/>
  <c r="G69" i="7"/>
  <c r="F69" i="7"/>
  <c r="E69" i="7"/>
  <c r="D69" i="7"/>
  <c r="C69" i="7"/>
  <c r="B69" i="7"/>
  <c r="B81" i="7" s="1"/>
  <c r="O68" i="7"/>
  <c r="N68" i="7"/>
  <c r="M68" i="7"/>
  <c r="L68" i="7"/>
  <c r="H68" i="7"/>
  <c r="E68" i="7"/>
  <c r="O67" i="7"/>
  <c r="N67" i="7"/>
  <c r="M67" i="7"/>
  <c r="L67" i="7"/>
  <c r="H67" i="7"/>
  <c r="E67" i="7"/>
  <c r="O66" i="7"/>
  <c r="N66" i="7"/>
  <c r="M66" i="7"/>
  <c r="L66" i="7"/>
  <c r="H66" i="7"/>
  <c r="E66" i="7"/>
  <c r="O65" i="7"/>
  <c r="O69" i="7" s="1"/>
  <c r="N65" i="7"/>
  <c r="M65" i="7"/>
  <c r="M69" i="7" s="1"/>
  <c r="L65" i="7"/>
  <c r="H65" i="7"/>
  <c r="E65" i="7"/>
  <c r="Q58" i="7"/>
  <c r="U57" i="7"/>
  <c r="Q57" i="7"/>
  <c r="O57" i="7"/>
  <c r="O60" i="7" s="1"/>
  <c r="M57" i="7"/>
  <c r="M60" i="7" s="1"/>
  <c r="L57" i="7"/>
  <c r="L60" i="7" s="1"/>
  <c r="K57" i="7"/>
  <c r="K60" i="7" s="1"/>
  <c r="H57" i="7"/>
  <c r="H60" i="7" s="1"/>
  <c r="G57" i="7"/>
  <c r="G60" i="7" s="1"/>
  <c r="F57" i="7"/>
  <c r="F60" i="7" s="1"/>
  <c r="D57" i="7"/>
  <c r="D60" i="7" s="1"/>
  <c r="C57" i="7"/>
  <c r="C60" i="7" s="1"/>
  <c r="U56" i="7"/>
  <c r="S56" i="7"/>
  <c r="S57" i="7" s="1"/>
  <c r="R56" i="7"/>
  <c r="R57" i="7" s="1"/>
  <c r="R60" i="7" s="1"/>
  <c r="Q56" i="7"/>
  <c r="T56" i="7" s="1"/>
  <c r="T57" i="7" s="1"/>
  <c r="N56" i="7"/>
  <c r="N57" i="7" s="1"/>
  <c r="J56" i="7"/>
  <c r="J57" i="7" s="1"/>
  <c r="E56" i="7"/>
  <c r="E57" i="7" s="1"/>
  <c r="R55" i="7"/>
  <c r="Q55" i="7"/>
  <c r="O55" i="7"/>
  <c r="N55" i="7"/>
  <c r="M55" i="7"/>
  <c r="L55" i="7"/>
  <c r="K55" i="7"/>
  <c r="H55" i="7"/>
  <c r="G55" i="7"/>
  <c r="F55" i="7"/>
  <c r="D55" i="7"/>
  <c r="C55" i="7"/>
  <c r="U54" i="7"/>
  <c r="U55" i="7" s="1"/>
  <c r="S54" i="7"/>
  <c r="S55" i="7" s="1"/>
  <c r="R54" i="7"/>
  <c r="Q54" i="7"/>
  <c r="T54" i="7" s="1"/>
  <c r="T55" i="7" s="1"/>
  <c r="J54" i="7"/>
  <c r="J55" i="7" s="1"/>
  <c r="E54" i="7"/>
  <c r="E55" i="7" s="1"/>
  <c r="R53" i="7"/>
  <c r="Q53" i="7"/>
  <c r="O53" i="7"/>
  <c r="M53" i="7"/>
  <c r="L53" i="7"/>
  <c r="K53" i="7"/>
  <c r="H53" i="7"/>
  <c r="G53" i="7"/>
  <c r="F53" i="7"/>
  <c r="D53" i="7"/>
  <c r="C53" i="7"/>
  <c r="U52" i="7"/>
  <c r="U53" i="7" s="1"/>
  <c r="S52" i="7"/>
  <c r="S53" i="7" s="1"/>
  <c r="R52" i="7"/>
  <c r="Q52" i="7"/>
  <c r="T52" i="7" s="1"/>
  <c r="T53" i="7" s="1"/>
  <c r="N52" i="7"/>
  <c r="N53" i="7" s="1"/>
  <c r="J52" i="7"/>
  <c r="J53" i="7" s="1"/>
  <c r="E52" i="7"/>
  <c r="E53" i="7" s="1"/>
  <c r="L50" i="7"/>
  <c r="J63" i="7" s="1"/>
  <c r="G50" i="7"/>
  <c r="F63" i="7" s="1"/>
  <c r="C50" i="7"/>
  <c r="B63" i="7" s="1"/>
  <c r="O43" i="7"/>
  <c r="O46" i="7" s="1"/>
  <c r="N43" i="7"/>
  <c r="N46" i="7" s="1"/>
  <c r="M43" i="7"/>
  <c r="L43" i="7"/>
  <c r="L46" i="7" s="1"/>
  <c r="F43" i="7"/>
  <c r="F46" i="7" s="1"/>
  <c r="P42" i="7"/>
  <c r="D42" i="7"/>
  <c r="C42" i="7"/>
  <c r="B42" i="7"/>
  <c r="B43" i="7" s="1"/>
  <c r="P41" i="7"/>
  <c r="D41" i="7"/>
  <c r="C41" i="7"/>
  <c r="P40" i="7"/>
  <c r="P43" i="7" s="1"/>
  <c r="P46" i="7" s="1"/>
  <c r="C40" i="7"/>
  <c r="C43" i="7" s="1"/>
  <c r="O38" i="7"/>
  <c r="N38" i="7"/>
  <c r="M38" i="7"/>
  <c r="M46" i="7" s="1"/>
  <c r="L38" i="7"/>
  <c r="F38" i="7"/>
  <c r="P37" i="7"/>
  <c r="C37" i="7"/>
  <c r="C38" i="7" s="1"/>
  <c r="P36" i="7"/>
  <c r="D36" i="7"/>
  <c r="C36" i="7"/>
  <c r="P35" i="7"/>
  <c r="C35" i="7"/>
  <c r="D35" i="7" s="1"/>
  <c r="P34" i="7"/>
  <c r="P38" i="7" s="1"/>
  <c r="D34" i="7"/>
  <c r="C34" i="7"/>
  <c r="B34" i="7"/>
  <c r="B38" i="7" s="1"/>
  <c r="O32" i="7"/>
  <c r="N32" i="7"/>
  <c r="M32" i="7"/>
  <c r="L32" i="7"/>
  <c r="F32" i="7"/>
  <c r="P31" i="7"/>
  <c r="B31" i="7" s="1"/>
  <c r="C31" i="7"/>
  <c r="D31" i="7" s="1"/>
  <c r="P30" i="7"/>
  <c r="B30" i="7" s="1"/>
  <c r="C30" i="7"/>
  <c r="D30" i="7" s="1"/>
  <c r="P29" i="7"/>
  <c r="B29" i="7" s="1"/>
  <c r="C29" i="7"/>
  <c r="D29" i="7" s="1"/>
  <c r="P28" i="7"/>
  <c r="P32" i="7" s="1"/>
  <c r="C28" i="7"/>
  <c r="AA25" i="7"/>
  <c r="AA26" i="7" s="1"/>
  <c r="U19" i="7"/>
  <c r="U22" i="7" s="1"/>
  <c r="S19" i="7"/>
  <c r="S22" i="7" s="1"/>
  <c r="Q19" i="7"/>
  <c r="Q22" i="7" s="1"/>
  <c r="P19" i="7"/>
  <c r="O19" i="7"/>
  <c r="O22" i="7" s="1"/>
  <c r="N19" i="7"/>
  <c r="N22" i="7" s="1"/>
  <c r="L19" i="7"/>
  <c r="J19" i="7"/>
  <c r="J22" i="7" s="1"/>
  <c r="I19" i="7"/>
  <c r="I22" i="7" s="1"/>
  <c r="H19" i="7"/>
  <c r="F19" i="7"/>
  <c r="F22" i="7" s="1"/>
  <c r="D19" i="7"/>
  <c r="C19" i="7"/>
  <c r="C22" i="7" s="1"/>
  <c r="B19" i="7"/>
  <c r="B22" i="7" s="1"/>
  <c r="Y18" i="7"/>
  <c r="AC18" i="7" s="1"/>
  <c r="W18" i="7"/>
  <c r="AB18" i="7" s="1"/>
  <c r="V18" i="7"/>
  <c r="AD18" i="7" s="1"/>
  <c r="R18" i="7"/>
  <c r="T18" i="7" s="1"/>
  <c r="K18" i="7"/>
  <c r="M18" i="7" s="1"/>
  <c r="E18" i="7"/>
  <c r="G18" i="7" s="1"/>
  <c r="Y17" i="7"/>
  <c r="W17" i="7"/>
  <c r="AB17" i="7" s="1"/>
  <c r="V17" i="7"/>
  <c r="AD17" i="7" s="1"/>
  <c r="T17" i="7"/>
  <c r="R17" i="7"/>
  <c r="K17" i="7"/>
  <c r="M17" i="7" s="1"/>
  <c r="G17" i="7"/>
  <c r="E17" i="7"/>
  <c r="AB16" i="7"/>
  <c r="AB19" i="7" s="1"/>
  <c r="Y16" i="7"/>
  <c r="AC16" i="7" s="1"/>
  <c r="X16" i="7"/>
  <c r="W16" i="7"/>
  <c r="W19" i="7" s="1"/>
  <c r="V16" i="7"/>
  <c r="V19" i="7" s="1"/>
  <c r="R16" i="7"/>
  <c r="R19" i="7" s="1"/>
  <c r="K16" i="7"/>
  <c r="M16" i="7" s="1"/>
  <c r="E16" i="7"/>
  <c r="G16" i="7" s="1"/>
  <c r="U15" i="7"/>
  <c r="S15" i="7"/>
  <c r="Q15" i="7"/>
  <c r="P15" i="7"/>
  <c r="P22" i="7" s="1"/>
  <c r="O15" i="7"/>
  <c r="N15" i="7"/>
  <c r="L15" i="7"/>
  <c r="L22" i="7" s="1"/>
  <c r="J15" i="7"/>
  <c r="I15" i="7"/>
  <c r="H15" i="7"/>
  <c r="H22" i="7" s="1"/>
  <c r="F15" i="7"/>
  <c r="D15" i="7"/>
  <c r="D22" i="7" s="1"/>
  <c r="C15" i="7"/>
  <c r="B15" i="7"/>
  <c r="AB14" i="7"/>
  <c r="Y14" i="7"/>
  <c r="AC14" i="7" s="1"/>
  <c r="X14" i="7"/>
  <c r="W14" i="7"/>
  <c r="V14" i="7"/>
  <c r="AD14" i="7" s="1"/>
  <c r="R14" i="7"/>
  <c r="T14" i="7" s="1"/>
  <c r="K14" i="7"/>
  <c r="M14" i="7" s="1"/>
  <c r="E14" i="7"/>
  <c r="G14" i="7" s="1"/>
  <c r="Y13" i="7"/>
  <c r="W13" i="7"/>
  <c r="AB13" i="7" s="1"/>
  <c r="V13" i="7"/>
  <c r="AD13" i="7" s="1"/>
  <c r="R13" i="7"/>
  <c r="T13" i="7" s="1"/>
  <c r="M13" i="7"/>
  <c r="K13" i="7"/>
  <c r="E13" i="7"/>
  <c r="G13" i="7" s="1"/>
  <c r="Y12" i="7"/>
  <c r="AC12" i="7" s="1"/>
  <c r="W12" i="7"/>
  <c r="AB12" i="7" s="1"/>
  <c r="V12" i="7"/>
  <c r="AD12" i="7" s="1"/>
  <c r="R12" i="7"/>
  <c r="T12" i="7" s="1"/>
  <c r="K12" i="7"/>
  <c r="M12" i="7" s="1"/>
  <c r="E12" i="7"/>
  <c r="G12" i="7" s="1"/>
  <c r="Y11" i="7"/>
  <c r="W11" i="7"/>
  <c r="W15" i="7" s="1"/>
  <c r="V11" i="7"/>
  <c r="AD11" i="7" s="1"/>
  <c r="T11" i="7"/>
  <c r="R11" i="7"/>
  <c r="R15" i="7" s="1"/>
  <c r="T15" i="7" s="1"/>
  <c r="K11" i="7"/>
  <c r="K15" i="7" s="1"/>
  <c r="M15" i="7" s="1"/>
  <c r="G11" i="7"/>
  <c r="E11" i="7"/>
  <c r="E15" i="7" s="1"/>
  <c r="G15" i="7" s="1"/>
  <c r="U10" i="7"/>
  <c r="S10" i="7"/>
  <c r="Q10" i="7"/>
  <c r="P10" i="7"/>
  <c r="O10" i="7"/>
  <c r="N10" i="7"/>
  <c r="L10" i="7"/>
  <c r="J10" i="7"/>
  <c r="I10" i="7"/>
  <c r="H10" i="7"/>
  <c r="F10" i="7"/>
  <c r="D10" i="7"/>
  <c r="C10" i="7"/>
  <c r="B10" i="7"/>
  <c r="Y9" i="7"/>
  <c r="W9" i="7"/>
  <c r="AB9" i="7" s="1"/>
  <c r="V9" i="7"/>
  <c r="AD9" i="7" s="1"/>
  <c r="T9" i="7"/>
  <c r="R9" i="7"/>
  <c r="K9" i="7"/>
  <c r="M9" i="7" s="1"/>
  <c r="G9" i="7"/>
  <c r="E9" i="7"/>
  <c r="AB8" i="7"/>
  <c r="Y8" i="7"/>
  <c r="AC8" i="7" s="1"/>
  <c r="X8" i="7"/>
  <c r="W8" i="7"/>
  <c r="V8" i="7"/>
  <c r="AD8" i="7" s="1"/>
  <c r="R8" i="7"/>
  <c r="T8" i="7" s="1"/>
  <c r="K8" i="7"/>
  <c r="M8" i="7" s="1"/>
  <c r="E8" i="7"/>
  <c r="G8" i="7" s="1"/>
  <c r="Y7" i="7"/>
  <c r="W7" i="7"/>
  <c r="AB7" i="7" s="1"/>
  <c r="V7" i="7"/>
  <c r="AD7" i="7" s="1"/>
  <c r="R7" i="7"/>
  <c r="T7" i="7" s="1"/>
  <c r="M7" i="7"/>
  <c r="K7" i="7"/>
  <c r="E7" i="7"/>
  <c r="G7" i="7" s="1"/>
  <c r="Y6" i="7"/>
  <c r="Y10" i="7" s="1"/>
  <c r="W6" i="7"/>
  <c r="W10" i="7" s="1"/>
  <c r="V6" i="7"/>
  <c r="AD6" i="7" s="1"/>
  <c r="R6" i="7"/>
  <c r="T6" i="7" s="1"/>
  <c r="K6" i="7"/>
  <c r="M6" i="7" s="1"/>
  <c r="E6" i="7"/>
  <c r="E10" i="7" s="1"/>
  <c r="G10" i="7" s="1"/>
  <c r="K78" i="6"/>
  <c r="K81" i="6" s="1"/>
  <c r="J78" i="6"/>
  <c r="G78" i="6"/>
  <c r="G81" i="6" s="1"/>
  <c r="F78" i="6"/>
  <c r="F81" i="6" s="1"/>
  <c r="D78" i="6"/>
  <c r="D81" i="6" s="1"/>
  <c r="C78" i="6"/>
  <c r="E78" i="6" s="1"/>
  <c r="B78" i="6"/>
  <c r="B81" i="6" s="1"/>
  <c r="O77" i="6"/>
  <c r="N77" i="6"/>
  <c r="M77" i="6"/>
  <c r="L77" i="6"/>
  <c r="H77" i="6"/>
  <c r="E77" i="6"/>
  <c r="O76" i="6"/>
  <c r="N76" i="6"/>
  <c r="M76" i="6"/>
  <c r="L76" i="6"/>
  <c r="H76" i="6"/>
  <c r="E76" i="6"/>
  <c r="O75" i="6"/>
  <c r="O78" i="6" s="1"/>
  <c r="N75" i="6"/>
  <c r="N78" i="6" s="1"/>
  <c r="M75" i="6"/>
  <c r="M78" i="6" s="1"/>
  <c r="L75" i="6"/>
  <c r="H75" i="6"/>
  <c r="E75" i="6"/>
  <c r="K74" i="6"/>
  <c r="J74" i="6"/>
  <c r="J81" i="6" s="1"/>
  <c r="L81" i="6" s="1"/>
  <c r="G74" i="6"/>
  <c r="F74" i="6"/>
  <c r="H74" i="6" s="1"/>
  <c r="E74" i="6"/>
  <c r="D74" i="6"/>
  <c r="C74" i="6"/>
  <c r="B74" i="6"/>
  <c r="O73" i="6"/>
  <c r="N73" i="6"/>
  <c r="M73" i="6"/>
  <c r="L73" i="6"/>
  <c r="H73" i="6"/>
  <c r="E73" i="6"/>
  <c r="O72" i="6"/>
  <c r="N72" i="6"/>
  <c r="M72" i="6"/>
  <c r="L72" i="6"/>
  <c r="H72" i="6"/>
  <c r="E72" i="6"/>
  <c r="O71" i="6"/>
  <c r="N71" i="6"/>
  <c r="M71" i="6"/>
  <c r="L71" i="6"/>
  <c r="H71" i="6"/>
  <c r="E71" i="6"/>
  <c r="O70" i="6"/>
  <c r="O74" i="6" s="1"/>
  <c r="N70" i="6"/>
  <c r="N74" i="6" s="1"/>
  <c r="M70" i="6"/>
  <c r="M74" i="6" s="1"/>
  <c r="L70" i="6"/>
  <c r="H70" i="6"/>
  <c r="E70" i="6"/>
  <c r="K69" i="6"/>
  <c r="J69" i="6"/>
  <c r="L69" i="6" s="1"/>
  <c r="G69" i="6"/>
  <c r="F69" i="6"/>
  <c r="H69" i="6" s="1"/>
  <c r="D69" i="6"/>
  <c r="C69" i="6"/>
  <c r="E69" i="6" s="1"/>
  <c r="B69" i="6"/>
  <c r="O68" i="6"/>
  <c r="N68" i="6"/>
  <c r="M68" i="6"/>
  <c r="L68" i="6"/>
  <c r="H68" i="6"/>
  <c r="E68" i="6"/>
  <c r="O67" i="6"/>
  <c r="N67" i="6"/>
  <c r="M67" i="6"/>
  <c r="L67" i="6"/>
  <c r="H67" i="6"/>
  <c r="E67" i="6"/>
  <c r="O66" i="6"/>
  <c r="N66" i="6"/>
  <c r="M66" i="6"/>
  <c r="L66" i="6"/>
  <c r="H66" i="6"/>
  <c r="E66" i="6"/>
  <c r="O65" i="6"/>
  <c r="O69" i="6" s="1"/>
  <c r="N65" i="6"/>
  <c r="N69" i="6" s="1"/>
  <c r="M65" i="6"/>
  <c r="M69" i="6" s="1"/>
  <c r="L65" i="6"/>
  <c r="H65" i="6"/>
  <c r="E65" i="6"/>
  <c r="Q58" i="6"/>
  <c r="Q57" i="6"/>
  <c r="O57" i="6"/>
  <c r="O60" i="6" s="1"/>
  <c r="M57" i="6"/>
  <c r="M60" i="6" s="1"/>
  <c r="L57" i="6"/>
  <c r="L60" i="6" s="1"/>
  <c r="K57" i="6"/>
  <c r="K60" i="6" s="1"/>
  <c r="H57" i="6"/>
  <c r="H60" i="6" s="1"/>
  <c r="G57" i="6"/>
  <c r="G60" i="6" s="1"/>
  <c r="F57" i="6"/>
  <c r="F60" i="6" s="1"/>
  <c r="D57" i="6"/>
  <c r="D60" i="6" s="1"/>
  <c r="C57" i="6"/>
  <c r="C60" i="6" s="1"/>
  <c r="U56" i="6"/>
  <c r="U57" i="6" s="1"/>
  <c r="U60" i="6" s="1"/>
  <c r="S56" i="6"/>
  <c r="S57" i="6" s="1"/>
  <c r="R56" i="6"/>
  <c r="R57" i="6" s="1"/>
  <c r="Q56" i="6"/>
  <c r="T56" i="6" s="1"/>
  <c r="T57" i="6" s="1"/>
  <c r="T60" i="6" s="1"/>
  <c r="N56" i="6"/>
  <c r="N57" i="6" s="1"/>
  <c r="N60" i="6" s="1"/>
  <c r="J56" i="6"/>
  <c r="J57" i="6" s="1"/>
  <c r="E56" i="6"/>
  <c r="E57" i="6" s="1"/>
  <c r="Q55" i="6"/>
  <c r="O55" i="6"/>
  <c r="N55" i="6"/>
  <c r="M55" i="6"/>
  <c r="L55" i="6"/>
  <c r="K55" i="6"/>
  <c r="H55" i="6"/>
  <c r="G55" i="6"/>
  <c r="F55" i="6"/>
  <c r="D55" i="6"/>
  <c r="C55" i="6"/>
  <c r="U54" i="6"/>
  <c r="U55" i="6" s="1"/>
  <c r="S54" i="6"/>
  <c r="S55" i="6" s="1"/>
  <c r="R54" i="6"/>
  <c r="R55" i="6" s="1"/>
  <c r="Q54" i="6"/>
  <c r="T54" i="6" s="1"/>
  <c r="T55" i="6" s="1"/>
  <c r="J54" i="6"/>
  <c r="J55" i="6" s="1"/>
  <c r="E54" i="6"/>
  <c r="E55" i="6" s="1"/>
  <c r="Q53" i="6"/>
  <c r="O53" i="6"/>
  <c r="M53" i="6"/>
  <c r="L53" i="6"/>
  <c r="K53" i="6"/>
  <c r="H53" i="6"/>
  <c r="G53" i="6"/>
  <c r="F53" i="6"/>
  <c r="D53" i="6"/>
  <c r="C53" i="6"/>
  <c r="U52" i="6"/>
  <c r="U53" i="6" s="1"/>
  <c r="S52" i="6"/>
  <c r="S53" i="6" s="1"/>
  <c r="R52" i="6"/>
  <c r="R53" i="6" s="1"/>
  <c r="Q52" i="6"/>
  <c r="T52" i="6" s="1"/>
  <c r="T53" i="6" s="1"/>
  <c r="N52" i="6"/>
  <c r="N53" i="6" s="1"/>
  <c r="J52" i="6"/>
  <c r="J53" i="6" s="1"/>
  <c r="E52" i="6"/>
  <c r="E53" i="6" s="1"/>
  <c r="L50" i="6"/>
  <c r="J63" i="6" s="1"/>
  <c r="G50" i="6"/>
  <c r="F63" i="6" s="1"/>
  <c r="C50" i="6"/>
  <c r="B63" i="6" s="1"/>
  <c r="O43" i="6"/>
  <c r="O46" i="6" s="1"/>
  <c r="N43" i="6"/>
  <c r="N46" i="6" s="1"/>
  <c r="M43" i="6"/>
  <c r="M46" i="6" s="1"/>
  <c r="L43" i="6"/>
  <c r="L46" i="6" s="1"/>
  <c r="F43" i="6"/>
  <c r="F46" i="6" s="1"/>
  <c r="P42" i="6"/>
  <c r="C42" i="6"/>
  <c r="B42" i="6"/>
  <c r="B43" i="6" s="1"/>
  <c r="P41" i="6"/>
  <c r="D41" i="6"/>
  <c r="C41" i="6"/>
  <c r="P40" i="6"/>
  <c r="P43" i="6" s="1"/>
  <c r="P46" i="6" s="1"/>
  <c r="C40" i="6"/>
  <c r="D40" i="6" s="1"/>
  <c r="O38" i="6"/>
  <c r="N38" i="6"/>
  <c r="M38" i="6"/>
  <c r="L38" i="6"/>
  <c r="F38" i="6"/>
  <c r="P37" i="6"/>
  <c r="C37" i="6"/>
  <c r="D37" i="6" s="1"/>
  <c r="P36" i="6"/>
  <c r="C36" i="6"/>
  <c r="D36" i="6" s="1"/>
  <c r="P35" i="6"/>
  <c r="C35" i="6"/>
  <c r="D35" i="6" s="1"/>
  <c r="P34" i="6"/>
  <c r="P38" i="6" s="1"/>
  <c r="C34" i="6"/>
  <c r="C38" i="6" s="1"/>
  <c r="B34" i="6"/>
  <c r="D34" i="6" s="1"/>
  <c r="O32" i="6"/>
  <c r="N32" i="6"/>
  <c r="M32" i="6"/>
  <c r="L32" i="6"/>
  <c r="F32" i="6"/>
  <c r="P31" i="6"/>
  <c r="B31" i="6" s="1"/>
  <c r="C31" i="6"/>
  <c r="P30" i="6"/>
  <c r="B30" i="6" s="1"/>
  <c r="D30" i="6" s="1"/>
  <c r="C30" i="6"/>
  <c r="P29" i="6"/>
  <c r="B29" i="6" s="1"/>
  <c r="D29" i="6" s="1"/>
  <c r="C29" i="6"/>
  <c r="P28" i="6"/>
  <c r="P32" i="6" s="1"/>
  <c r="C28" i="6"/>
  <c r="C32" i="6" s="1"/>
  <c r="AA25" i="6"/>
  <c r="AA26" i="6" s="1"/>
  <c r="U19" i="6"/>
  <c r="U22" i="6" s="1"/>
  <c r="S19" i="6"/>
  <c r="S22" i="6" s="1"/>
  <c r="Q19" i="6"/>
  <c r="Q22" i="6" s="1"/>
  <c r="P19" i="6"/>
  <c r="P22" i="6" s="1"/>
  <c r="O19" i="6"/>
  <c r="O22" i="6" s="1"/>
  <c r="N19" i="6"/>
  <c r="N22" i="6" s="1"/>
  <c r="L19" i="6"/>
  <c r="L22" i="6" s="1"/>
  <c r="J19" i="6"/>
  <c r="J22" i="6" s="1"/>
  <c r="I19" i="6"/>
  <c r="I22" i="6" s="1"/>
  <c r="H19" i="6"/>
  <c r="H22" i="6" s="1"/>
  <c r="F19" i="6"/>
  <c r="F22" i="6" s="1"/>
  <c r="D19" i="6"/>
  <c r="D22" i="6" s="1"/>
  <c r="C19" i="6"/>
  <c r="C22" i="6" s="1"/>
  <c r="B19" i="6"/>
  <c r="B22" i="6" s="1"/>
  <c r="Y18" i="6"/>
  <c r="AC18" i="6" s="1"/>
  <c r="W18" i="6"/>
  <c r="AB18" i="6" s="1"/>
  <c r="V18" i="6"/>
  <c r="X18" i="6" s="1"/>
  <c r="Z18" i="6" s="1"/>
  <c r="R18" i="6"/>
  <c r="T18" i="6" s="1"/>
  <c r="K18" i="6"/>
  <c r="M18" i="6" s="1"/>
  <c r="E18" i="6"/>
  <c r="G18" i="6" s="1"/>
  <c r="Y17" i="6"/>
  <c r="W17" i="6"/>
  <c r="AB17" i="6" s="1"/>
  <c r="V17" i="6"/>
  <c r="X17" i="6" s="1"/>
  <c r="T17" i="6"/>
  <c r="R17" i="6"/>
  <c r="K17" i="6"/>
  <c r="M17" i="6" s="1"/>
  <c r="G17" i="6"/>
  <c r="E17" i="6"/>
  <c r="AB16" i="6"/>
  <c r="Y16" i="6"/>
  <c r="Z16" i="6" s="1"/>
  <c r="X16" i="6"/>
  <c r="X19" i="6" s="1"/>
  <c r="W16" i="6"/>
  <c r="W19" i="6" s="1"/>
  <c r="V16" i="6"/>
  <c r="AD16" i="6" s="1"/>
  <c r="R16" i="6"/>
  <c r="R19" i="6" s="1"/>
  <c r="K16" i="6"/>
  <c r="M16" i="6" s="1"/>
  <c r="E16" i="6"/>
  <c r="G16" i="6" s="1"/>
  <c r="U15" i="6"/>
  <c r="S15" i="6"/>
  <c r="Q15" i="6"/>
  <c r="P15" i="6"/>
  <c r="O15" i="6"/>
  <c r="N15" i="6"/>
  <c r="L15" i="6"/>
  <c r="J15" i="6"/>
  <c r="I15" i="6"/>
  <c r="H15" i="6"/>
  <c r="F15" i="6"/>
  <c r="D15" i="6"/>
  <c r="C15" i="6"/>
  <c r="B15" i="6"/>
  <c r="AB14" i="6"/>
  <c r="Y14" i="6"/>
  <c r="Z14" i="6" s="1"/>
  <c r="AA14" i="6" s="1"/>
  <c r="X14" i="6"/>
  <c r="W14" i="6"/>
  <c r="V14" i="6"/>
  <c r="AD14" i="6" s="1"/>
  <c r="R14" i="6"/>
  <c r="T14" i="6" s="1"/>
  <c r="K14" i="6"/>
  <c r="M14" i="6" s="1"/>
  <c r="E14" i="6"/>
  <c r="G14" i="6" s="1"/>
  <c r="Y13" i="6"/>
  <c r="W13" i="6"/>
  <c r="AB13" i="6" s="1"/>
  <c r="V13" i="6"/>
  <c r="AD13" i="6" s="1"/>
  <c r="R13" i="6"/>
  <c r="T13" i="6" s="1"/>
  <c r="M13" i="6"/>
  <c r="K13" i="6"/>
  <c r="E13" i="6"/>
  <c r="G13" i="6" s="1"/>
  <c r="Y12" i="6"/>
  <c r="AC12" i="6" s="1"/>
  <c r="W12" i="6"/>
  <c r="AB12" i="6" s="1"/>
  <c r="V12" i="6"/>
  <c r="X12" i="6" s="1"/>
  <c r="Z12" i="6" s="1"/>
  <c r="AA12" i="6" s="1"/>
  <c r="R12" i="6"/>
  <c r="T12" i="6" s="1"/>
  <c r="K12" i="6"/>
  <c r="M12" i="6" s="1"/>
  <c r="E12" i="6"/>
  <c r="G12" i="6" s="1"/>
  <c r="Y11" i="6"/>
  <c r="Y15" i="6" s="1"/>
  <c r="W11" i="6"/>
  <c r="AB11" i="6" s="1"/>
  <c r="V11" i="6"/>
  <c r="V15" i="6" s="1"/>
  <c r="T11" i="6"/>
  <c r="R11" i="6"/>
  <c r="R15" i="6" s="1"/>
  <c r="T15" i="6" s="1"/>
  <c r="K11" i="6"/>
  <c r="M11" i="6" s="1"/>
  <c r="G11" i="6"/>
  <c r="E11" i="6"/>
  <c r="E15" i="6" s="1"/>
  <c r="G15" i="6" s="1"/>
  <c r="U10" i="6"/>
  <c r="S10" i="6"/>
  <c r="Q10" i="6"/>
  <c r="P10" i="6"/>
  <c r="O10" i="6"/>
  <c r="N10" i="6"/>
  <c r="L10" i="6"/>
  <c r="J10" i="6"/>
  <c r="I10" i="6"/>
  <c r="H10" i="6"/>
  <c r="F10" i="6"/>
  <c r="D10" i="6"/>
  <c r="C10" i="6"/>
  <c r="B10" i="6"/>
  <c r="Y9" i="6"/>
  <c r="W9" i="6"/>
  <c r="AB9" i="6" s="1"/>
  <c r="V9" i="6"/>
  <c r="X9" i="6" s="1"/>
  <c r="T9" i="6"/>
  <c r="R9" i="6"/>
  <c r="K9" i="6"/>
  <c r="M9" i="6" s="1"/>
  <c r="G9" i="6"/>
  <c r="E9" i="6"/>
  <c r="Y8" i="6"/>
  <c r="Z8" i="6" s="1"/>
  <c r="AA8" i="6" s="1"/>
  <c r="X8" i="6"/>
  <c r="W8" i="6"/>
  <c r="V8" i="6"/>
  <c r="AD8" i="6" s="1"/>
  <c r="R8" i="6"/>
  <c r="T8" i="6" s="1"/>
  <c r="K8" i="6"/>
  <c r="M8" i="6" s="1"/>
  <c r="E8" i="6"/>
  <c r="G8" i="6" s="1"/>
  <c r="Y7" i="6"/>
  <c r="W7" i="6"/>
  <c r="AB7" i="6" s="1"/>
  <c r="V7" i="6"/>
  <c r="AD7" i="6" s="1"/>
  <c r="R7" i="6"/>
  <c r="T7" i="6" s="1"/>
  <c r="M7" i="6"/>
  <c r="K7" i="6"/>
  <c r="E7" i="6"/>
  <c r="G7" i="6" s="1"/>
  <c r="Y6" i="6"/>
  <c r="AC6" i="6" s="1"/>
  <c r="W6" i="6"/>
  <c r="W10" i="6" s="1"/>
  <c r="V6" i="6"/>
  <c r="V10" i="6" s="1"/>
  <c r="R6" i="6"/>
  <c r="T6" i="6" s="1"/>
  <c r="K6" i="6"/>
  <c r="K10" i="6" s="1"/>
  <c r="M10" i="6" s="1"/>
  <c r="E6" i="6"/>
  <c r="G6" i="6" s="1"/>
  <c r="J57" i="5"/>
  <c r="J60" i="5" s="1"/>
  <c r="I57" i="5"/>
  <c r="K57" i="5" s="1"/>
  <c r="G57" i="5"/>
  <c r="F57" i="5"/>
  <c r="F60" i="5" s="1"/>
  <c r="E57" i="5"/>
  <c r="E60" i="5" s="1"/>
  <c r="G60" i="5" s="1"/>
  <c r="C57" i="5"/>
  <c r="C60" i="5" s="1"/>
  <c r="B57" i="5"/>
  <c r="B60" i="5" s="1"/>
  <c r="M56" i="5"/>
  <c r="L56" i="5"/>
  <c r="K56" i="5"/>
  <c r="G56" i="5"/>
  <c r="D56" i="5"/>
  <c r="M55" i="5"/>
  <c r="L55" i="5"/>
  <c r="K55" i="5"/>
  <c r="G55" i="5"/>
  <c r="D55" i="5"/>
  <c r="M54" i="5"/>
  <c r="M57" i="5" s="1"/>
  <c r="M60" i="5" s="1"/>
  <c r="L54" i="5"/>
  <c r="L57" i="5" s="1"/>
  <c r="K54" i="5"/>
  <c r="G54" i="5"/>
  <c r="D54" i="5"/>
  <c r="J53" i="5"/>
  <c r="I53" i="5"/>
  <c r="K53" i="5" s="1"/>
  <c r="G53" i="5"/>
  <c r="F53" i="5"/>
  <c r="E53" i="5"/>
  <c r="C53" i="5"/>
  <c r="D53" i="5" s="1"/>
  <c r="B53" i="5"/>
  <c r="M52" i="5"/>
  <c r="L52" i="5"/>
  <c r="K52" i="5"/>
  <c r="G52" i="5"/>
  <c r="D52" i="5"/>
  <c r="M51" i="5"/>
  <c r="L51" i="5"/>
  <c r="K51" i="5"/>
  <c r="G51" i="5"/>
  <c r="D51" i="5"/>
  <c r="M50" i="5"/>
  <c r="L50" i="5"/>
  <c r="K50" i="5"/>
  <c r="G50" i="5"/>
  <c r="D50" i="5"/>
  <c r="M49" i="5"/>
  <c r="M53" i="5" s="1"/>
  <c r="L49" i="5"/>
  <c r="L53" i="5" s="1"/>
  <c r="K49" i="5"/>
  <c r="G49" i="5"/>
  <c r="D49" i="5"/>
  <c r="J48" i="5"/>
  <c r="I48" i="5"/>
  <c r="K48" i="5" s="1"/>
  <c r="F48" i="5"/>
  <c r="E48" i="5"/>
  <c r="G48" i="5" s="1"/>
  <c r="D48" i="5"/>
  <c r="C48" i="5"/>
  <c r="B48" i="5"/>
  <c r="M47" i="5"/>
  <c r="L47" i="5"/>
  <c r="K47" i="5"/>
  <c r="G47" i="5"/>
  <c r="D47" i="5"/>
  <c r="M46" i="5"/>
  <c r="L46" i="5"/>
  <c r="K46" i="5"/>
  <c r="G46" i="5"/>
  <c r="D46" i="5"/>
  <c r="M45" i="5"/>
  <c r="L45" i="5"/>
  <c r="K45" i="5"/>
  <c r="G45" i="5"/>
  <c r="D45" i="5"/>
  <c r="M44" i="5"/>
  <c r="M48" i="5" s="1"/>
  <c r="L44" i="5"/>
  <c r="L48" i="5" s="1"/>
  <c r="K44" i="5"/>
  <c r="G44" i="5"/>
  <c r="D44" i="5"/>
  <c r="M34" i="5"/>
  <c r="M37" i="5" s="1"/>
  <c r="K34" i="5"/>
  <c r="K37" i="5" s="1"/>
  <c r="J34" i="5"/>
  <c r="J37" i="5" s="1"/>
  <c r="I34" i="5"/>
  <c r="I37" i="5" s="1"/>
  <c r="G34" i="5"/>
  <c r="G37" i="5" s="1"/>
  <c r="F34" i="5"/>
  <c r="F37" i="5" s="1"/>
  <c r="E34" i="5"/>
  <c r="E37" i="5" s="1"/>
  <c r="C34" i="5"/>
  <c r="C37" i="5" s="1"/>
  <c r="B34" i="5"/>
  <c r="B37" i="5" s="1"/>
  <c r="R33" i="5"/>
  <c r="R34" i="5" s="1"/>
  <c r="P33" i="5"/>
  <c r="Q33" i="5" s="1"/>
  <c r="Q34" i="5" s="1"/>
  <c r="O33" i="5"/>
  <c r="O34" i="5" s="1"/>
  <c r="L33" i="5"/>
  <c r="L34" i="5" s="1"/>
  <c r="H33" i="5"/>
  <c r="H34" i="5" s="1"/>
  <c r="H37" i="5" s="1"/>
  <c r="D33" i="5"/>
  <c r="D34" i="5" s="1"/>
  <c r="M32" i="5"/>
  <c r="K32" i="5"/>
  <c r="J32" i="5"/>
  <c r="I32" i="5"/>
  <c r="H32" i="5"/>
  <c r="G32" i="5"/>
  <c r="F32" i="5"/>
  <c r="E32" i="5"/>
  <c r="C32" i="5"/>
  <c r="B32" i="5"/>
  <c r="R31" i="5"/>
  <c r="R32" i="5" s="1"/>
  <c r="P31" i="5"/>
  <c r="Q31" i="5" s="1"/>
  <c r="Q32" i="5" s="1"/>
  <c r="O31" i="5"/>
  <c r="O32" i="5" s="1"/>
  <c r="L31" i="5"/>
  <c r="L32" i="5" s="1"/>
  <c r="D31" i="5"/>
  <c r="D32" i="5" s="1"/>
  <c r="M30" i="5"/>
  <c r="L30" i="5"/>
  <c r="K30" i="5"/>
  <c r="J30" i="5"/>
  <c r="I30" i="5"/>
  <c r="G30" i="5"/>
  <c r="F30" i="5"/>
  <c r="E30" i="5"/>
  <c r="C30" i="5"/>
  <c r="B30" i="5"/>
  <c r="R29" i="5"/>
  <c r="R30" i="5" s="1"/>
  <c r="Q29" i="5"/>
  <c r="Q30" i="5" s="1"/>
  <c r="P29" i="5"/>
  <c r="P30" i="5" s="1"/>
  <c r="O29" i="5"/>
  <c r="O30" i="5" s="1"/>
  <c r="H29" i="5"/>
  <c r="H30" i="5" s="1"/>
  <c r="D29" i="5"/>
  <c r="D30" i="5" s="1"/>
  <c r="J27" i="5"/>
  <c r="I42" i="5" s="1"/>
  <c r="F27" i="5"/>
  <c r="E42" i="5" s="1"/>
  <c r="B27" i="5"/>
  <c r="X25" i="5"/>
  <c r="X26" i="5" s="1"/>
  <c r="AD21" i="5"/>
  <c r="AD20" i="5"/>
  <c r="AC19" i="5"/>
  <c r="AB19" i="5"/>
  <c r="AB22" i="5" s="1"/>
  <c r="AB23" i="5" s="1"/>
  <c r="R19" i="5"/>
  <c r="P19" i="5"/>
  <c r="N19" i="5"/>
  <c r="M19" i="5"/>
  <c r="M22" i="5" s="1"/>
  <c r="L19" i="5"/>
  <c r="K19" i="5"/>
  <c r="I19" i="5"/>
  <c r="I22" i="5" s="1"/>
  <c r="H19" i="5"/>
  <c r="G19" i="5"/>
  <c r="E19" i="5"/>
  <c r="E22" i="5" s="1"/>
  <c r="C19" i="5"/>
  <c r="B19" i="5"/>
  <c r="AD18" i="5"/>
  <c r="V18" i="5"/>
  <c r="Z18" i="5" s="1"/>
  <c r="T18" i="5"/>
  <c r="Y18" i="5" s="1"/>
  <c r="S18" i="5"/>
  <c r="AA18" i="5" s="1"/>
  <c r="O18" i="5"/>
  <c r="Q18" i="5" s="1"/>
  <c r="J18" i="5"/>
  <c r="F18" i="5"/>
  <c r="D18" i="5"/>
  <c r="AD17" i="5"/>
  <c r="V17" i="5"/>
  <c r="Z17" i="5" s="1"/>
  <c r="T17" i="5"/>
  <c r="Y17" i="5" s="1"/>
  <c r="S17" i="5"/>
  <c r="U17" i="5" s="1"/>
  <c r="W17" i="5" s="1"/>
  <c r="X17" i="5" s="1"/>
  <c r="Q17" i="5"/>
  <c r="O17" i="5"/>
  <c r="J17" i="5"/>
  <c r="F17" i="5"/>
  <c r="D17" i="5"/>
  <c r="D19" i="5" s="1"/>
  <c r="Y16" i="5"/>
  <c r="V16" i="5"/>
  <c r="U16" i="5"/>
  <c r="T16" i="5"/>
  <c r="T19" i="5" s="1"/>
  <c r="S16" i="5"/>
  <c r="S19" i="5" s="1"/>
  <c r="O16" i="5"/>
  <c r="O19" i="5" s="1"/>
  <c r="J16" i="5"/>
  <c r="J19" i="5" s="1"/>
  <c r="D16" i="5"/>
  <c r="F16" i="5" s="1"/>
  <c r="AC15" i="5"/>
  <c r="AB15" i="5"/>
  <c r="R15" i="5"/>
  <c r="P15" i="5"/>
  <c r="N15" i="5"/>
  <c r="M15" i="5"/>
  <c r="L15" i="5"/>
  <c r="K15" i="5"/>
  <c r="J15" i="5"/>
  <c r="I15" i="5"/>
  <c r="H15" i="5"/>
  <c r="G15" i="5"/>
  <c r="E15" i="5"/>
  <c r="C15" i="5"/>
  <c r="B15" i="5"/>
  <c r="AD14" i="5"/>
  <c r="Y14" i="5"/>
  <c r="V14" i="5"/>
  <c r="W14" i="5" s="1"/>
  <c r="X14" i="5" s="1"/>
  <c r="U14" i="5"/>
  <c r="T14" i="5"/>
  <c r="S14" i="5"/>
  <c r="AA14" i="5" s="1"/>
  <c r="O14" i="5"/>
  <c r="Q14" i="5" s="1"/>
  <c r="J14" i="5"/>
  <c r="F14" i="5"/>
  <c r="D14" i="5"/>
  <c r="AD13" i="5"/>
  <c r="AD15" i="5" s="1"/>
  <c r="V13" i="5"/>
  <c r="Z13" i="5" s="1"/>
  <c r="T13" i="5"/>
  <c r="AA13" i="5" s="1"/>
  <c r="Q13" i="5"/>
  <c r="O13" i="5"/>
  <c r="J13" i="5"/>
  <c r="F13" i="5"/>
  <c r="D13" i="5"/>
  <c r="AD12" i="5"/>
  <c r="Y12" i="5"/>
  <c r="V12" i="5"/>
  <c r="W12" i="5" s="1"/>
  <c r="X12" i="5" s="1"/>
  <c r="U12" i="5"/>
  <c r="T12" i="5"/>
  <c r="S12" i="5"/>
  <c r="AA12" i="5" s="1"/>
  <c r="Q12" i="5"/>
  <c r="O12" i="5"/>
  <c r="J12" i="5"/>
  <c r="D12" i="5"/>
  <c r="F12" i="5" s="1"/>
  <c r="AD11" i="5"/>
  <c r="Y11" i="5"/>
  <c r="V11" i="5"/>
  <c r="W11" i="5" s="1"/>
  <c r="U11" i="5"/>
  <c r="T11" i="5"/>
  <c r="T15" i="5" s="1"/>
  <c r="S11" i="5"/>
  <c r="AA11" i="5" s="1"/>
  <c r="O11" i="5"/>
  <c r="O15" i="5" s="1"/>
  <c r="Q15" i="5" s="1"/>
  <c r="J11" i="5"/>
  <c r="D11" i="5"/>
  <c r="D15" i="5" s="1"/>
  <c r="F15" i="5" s="1"/>
  <c r="AC10" i="5"/>
  <c r="AB10" i="5"/>
  <c r="R10" i="5"/>
  <c r="P10" i="5"/>
  <c r="N10" i="5"/>
  <c r="M10" i="5"/>
  <c r="L10" i="5"/>
  <c r="K10" i="5"/>
  <c r="I10" i="5"/>
  <c r="H10" i="5"/>
  <c r="G10" i="5"/>
  <c r="E10" i="5"/>
  <c r="C10" i="5"/>
  <c r="B10" i="5"/>
  <c r="AD9" i="5"/>
  <c r="Y9" i="5"/>
  <c r="V9" i="5"/>
  <c r="Z9" i="5" s="1"/>
  <c r="U9" i="5"/>
  <c r="W9" i="5" s="1"/>
  <c r="X9" i="5" s="1"/>
  <c r="T9" i="5"/>
  <c r="S9" i="5"/>
  <c r="AA9" i="5" s="1"/>
  <c r="O9" i="5"/>
  <c r="Q9" i="5" s="1"/>
  <c r="J9" i="5"/>
  <c r="F9" i="5"/>
  <c r="D9" i="5"/>
  <c r="AD8" i="5"/>
  <c r="AD10" i="5" s="1"/>
  <c r="V8" i="5"/>
  <c r="Z8" i="5" s="1"/>
  <c r="T8" i="5"/>
  <c r="Y8" i="5" s="1"/>
  <c r="S8" i="5"/>
  <c r="AA8" i="5" s="1"/>
  <c r="Q8" i="5"/>
  <c r="O8" i="5"/>
  <c r="J8" i="5"/>
  <c r="J10" i="5" s="1"/>
  <c r="F8" i="5"/>
  <c r="D8" i="5"/>
  <c r="AD7" i="5"/>
  <c r="V7" i="5"/>
  <c r="Z7" i="5" s="1"/>
  <c r="T7" i="5"/>
  <c r="S7" i="5"/>
  <c r="Y7" i="5" s="1"/>
  <c r="Q7" i="5"/>
  <c r="O7" i="5"/>
  <c r="J7" i="5"/>
  <c r="F7" i="5"/>
  <c r="D7" i="5"/>
  <c r="AD6" i="5"/>
  <c r="Y6" i="5"/>
  <c r="Y10" i="5" s="1"/>
  <c r="V6" i="5"/>
  <c r="W6" i="5" s="1"/>
  <c r="U6" i="5"/>
  <c r="T6" i="5"/>
  <c r="T10" i="5" s="1"/>
  <c r="S6" i="5"/>
  <c r="S10" i="5" s="1"/>
  <c r="Q6" i="5"/>
  <c r="O6" i="5"/>
  <c r="O10" i="5" s="1"/>
  <c r="Q10" i="5" s="1"/>
  <c r="J6" i="5"/>
  <c r="D6" i="5"/>
  <c r="D10" i="5" s="1"/>
  <c r="F10" i="5" s="1"/>
  <c r="I59" i="4"/>
  <c r="E59" i="4"/>
  <c r="K56" i="4"/>
  <c r="J56" i="4"/>
  <c r="I56" i="4"/>
  <c r="H56" i="4"/>
  <c r="G56" i="4"/>
  <c r="F56" i="4"/>
  <c r="F59" i="4" s="1"/>
  <c r="E56" i="4"/>
  <c r="C56" i="4"/>
  <c r="C59" i="4" s="1"/>
  <c r="B56" i="4"/>
  <c r="B59" i="4" s="1"/>
  <c r="L55" i="4"/>
  <c r="K55" i="4"/>
  <c r="J55" i="4"/>
  <c r="G55" i="4"/>
  <c r="D55" i="4"/>
  <c r="L54" i="4"/>
  <c r="K54" i="4"/>
  <c r="J54" i="4"/>
  <c r="G54" i="4"/>
  <c r="D54" i="4"/>
  <c r="L53" i="4"/>
  <c r="L56" i="4" s="1"/>
  <c r="K53" i="4"/>
  <c r="J53" i="4"/>
  <c r="G53" i="4"/>
  <c r="D53" i="4"/>
  <c r="J52" i="4"/>
  <c r="I52" i="4"/>
  <c r="H52" i="4"/>
  <c r="G52" i="4"/>
  <c r="F52" i="4"/>
  <c r="E52" i="4"/>
  <c r="C52" i="4"/>
  <c r="B52" i="4"/>
  <c r="D52" i="4" s="1"/>
  <c r="L51" i="4"/>
  <c r="K51" i="4"/>
  <c r="J51" i="4"/>
  <c r="G51" i="4"/>
  <c r="D51" i="4"/>
  <c r="L50" i="4"/>
  <c r="K50" i="4"/>
  <c r="J50" i="4"/>
  <c r="G50" i="4"/>
  <c r="D50" i="4"/>
  <c r="L49" i="4"/>
  <c r="K49" i="4"/>
  <c r="J49" i="4"/>
  <c r="G49" i="4"/>
  <c r="D49" i="4"/>
  <c r="L48" i="4"/>
  <c r="L52" i="4" s="1"/>
  <c r="K48" i="4"/>
  <c r="K52" i="4" s="1"/>
  <c r="J48" i="4"/>
  <c r="G48" i="4"/>
  <c r="D48" i="4"/>
  <c r="I47" i="4"/>
  <c r="H47" i="4"/>
  <c r="H59" i="4" s="1"/>
  <c r="J59" i="4" s="1"/>
  <c r="G47" i="4"/>
  <c r="F47" i="4"/>
  <c r="E47" i="4"/>
  <c r="D47" i="4"/>
  <c r="C47" i="4"/>
  <c r="B47" i="4"/>
  <c r="L46" i="4"/>
  <c r="K46" i="4"/>
  <c r="J46" i="4"/>
  <c r="G46" i="4"/>
  <c r="D46" i="4"/>
  <c r="L45" i="4"/>
  <c r="K45" i="4"/>
  <c r="J45" i="4"/>
  <c r="G45" i="4"/>
  <c r="D45" i="4"/>
  <c r="L44" i="4"/>
  <c r="K44" i="4"/>
  <c r="J44" i="4"/>
  <c r="G44" i="4"/>
  <c r="D44" i="4"/>
  <c r="L43" i="4"/>
  <c r="L47" i="4" s="1"/>
  <c r="K43" i="4"/>
  <c r="K47" i="4" s="1"/>
  <c r="J43" i="4"/>
  <c r="G43" i="4"/>
  <c r="D43" i="4"/>
  <c r="M33" i="4"/>
  <c r="M36" i="4" s="1"/>
  <c r="K33" i="4"/>
  <c r="K36" i="4" s="1"/>
  <c r="J33" i="4"/>
  <c r="J36" i="4" s="1"/>
  <c r="I33" i="4"/>
  <c r="I36" i="4" s="1"/>
  <c r="G33" i="4"/>
  <c r="G36" i="4" s="1"/>
  <c r="F33" i="4"/>
  <c r="F36" i="4" s="1"/>
  <c r="E33" i="4"/>
  <c r="E36" i="4" s="1"/>
  <c r="C33" i="4"/>
  <c r="C36" i="4" s="1"/>
  <c r="B33" i="4"/>
  <c r="B36" i="4" s="1"/>
  <c r="R32" i="4"/>
  <c r="R33" i="4" s="1"/>
  <c r="R36" i="4" s="1"/>
  <c r="P32" i="4"/>
  <c r="Q32" i="4" s="1"/>
  <c r="Q33" i="4" s="1"/>
  <c r="O32" i="4"/>
  <c r="O33" i="4" s="1"/>
  <c r="L32" i="4"/>
  <c r="L33" i="4" s="1"/>
  <c r="H32" i="4"/>
  <c r="H33" i="4" s="1"/>
  <c r="H36" i="4" s="1"/>
  <c r="D32" i="4"/>
  <c r="D33" i="4" s="1"/>
  <c r="M31" i="4"/>
  <c r="K31" i="4"/>
  <c r="J31" i="4"/>
  <c r="I31" i="4"/>
  <c r="G31" i="4"/>
  <c r="F31" i="4"/>
  <c r="E31" i="4"/>
  <c r="C31" i="4"/>
  <c r="B31" i="4"/>
  <c r="R30" i="4"/>
  <c r="R31" i="4" s="1"/>
  <c r="P30" i="4"/>
  <c r="Q30" i="4" s="1"/>
  <c r="Q31" i="4" s="1"/>
  <c r="O30" i="4"/>
  <c r="O31" i="4" s="1"/>
  <c r="L30" i="4"/>
  <c r="L31" i="4" s="1"/>
  <c r="H30" i="4"/>
  <c r="H31" i="4" s="1"/>
  <c r="D30" i="4"/>
  <c r="D31" i="4" s="1"/>
  <c r="M29" i="4"/>
  <c r="L29" i="4"/>
  <c r="K29" i="4"/>
  <c r="J29" i="4"/>
  <c r="I29" i="4"/>
  <c r="G29" i="4"/>
  <c r="F29" i="4"/>
  <c r="E29" i="4"/>
  <c r="C29" i="4"/>
  <c r="B29" i="4"/>
  <c r="R28" i="4"/>
  <c r="R29" i="4" s="1"/>
  <c r="Q28" i="4"/>
  <c r="Q29" i="4" s="1"/>
  <c r="P28" i="4"/>
  <c r="P29" i="4" s="1"/>
  <c r="O28" i="4"/>
  <c r="O29" i="4" s="1"/>
  <c r="H28" i="4"/>
  <c r="H29" i="4" s="1"/>
  <c r="D28" i="4"/>
  <c r="D29" i="4" s="1"/>
  <c r="Y25" i="4"/>
  <c r="Y26" i="4" s="1"/>
  <c r="Q22" i="4"/>
  <c r="M22" i="4"/>
  <c r="I22" i="4"/>
  <c r="E22" i="4"/>
  <c r="T19" i="4"/>
  <c r="S19" i="4"/>
  <c r="S22" i="4" s="1"/>
  <c r="Q19" i="4"/>
  <c r="O19" i="4"/>
  <c r="O22" i="4" s="1"/>
  <c r="N19" i="4"/>
  <c r="N22" i="4" s="1"/>
  <c r="M19" i="4"/>
  <c r="K19" i="4"/>
  <c r="K22" i="4" s="1"/>
  <c r="I19" i="4"/>
  <c r="H19" i="4"/>
  <c r="H22" i="4" s="1"/>
  <c r="G19" i="4"/>
  <c r="G22" i="4" s="1"/>
  <c r="E19" i="4"/>
  <c r="C19" i="4"/>
  <c r="C22" i="4" s="1"/>
  <c r="B19" i="4"/>
  <c r="B22" i="4" s="1"/>
  <c r="Z18" i="4"/>
  <c r="W18" i="4"/>
  <c r="X18" i="4" s="1"/>
  <c r="Y18" i="4" s="1"/>
  <c r="V18" i="4"/>
  <c r="U18" i="4"/>
  <c r="T18" i="4"/>
  <c r="AB18" i="4" s="1"/>
  <c r="R18" i="4"/>
  <c r="P18" i="4"/>
  <c r="J18" i="4"/>
  <c r="L18" i="4" s="1"/>
  <c r="F18" i="4"/>
  <c r="D18" i="4"/>
  <c r="Z17" i="4"/>
  <c r="W17" i="4"/>
  <c r="X17" i="4" s="1"/>
  <c r="Y17" i="4" s="1"/>
  <c r="V17" i="4"/>
  <c r="U17" i="4"/>
  <c r="T17" i="4"/>
  <c r="AB17" i="4" s="1"/>
  <c r="P17" i="4"/>
  <c r="R17" i="4" s="1"/>
  <c r="L17" i="4"/>
  <c r="J17" i="4"/>
  <c r="D17" i="4"/>
  <c r="F17" i="4" s="1"/>
  <c r="W16" i="4"/>
  <c r="W19" i="4" s="1"/>
  <c r="U16" i="4"/>
  <c r="U19" i="4" s="1"/>
  <c r="T16" i="4"/>
  <c r="AB16" i="4" s="1"/>
  <c r="P16" i="4"/>
  <c r="R16" i="4" s="1"/>
  <c r="L16" i="4"/>
  <c r="J16" i="4"/>
  <c r="J19" i="4" s="1"/>
  <c r="D16" i="4"/>
  <c r="F16" i="4" s="1"/>
  <c r="S15" i="4"/>
  <c r="Q15" i="4"/>
  <c r="O15" i="4"/>
  <c r="N15" i="4"/>
  <c r="M15" i="4"/>
  <c r="K15" i="4"/>
  <c r="I15" i="4"/>
  <c r="H15" i="4"/>
  <c r="G15" i="4"/>
  <c r="E15" i="4"/>
  <c r="C15" i="4"/>
  <c r="B15" i="4"/>
  <c r="Z14" i="4"/>
  <c r="W14" i="4"/>
  <c r="X14" i="4" s="1"/>
  <c r="Y14" i="4" s="1"/>
  <c r="V14" i="4"/>
  <c r="U14" i="4"/>
  <c r="T14" i="4"/>
  <c r="AB14" i="4" s="1"/>
  <c r="R14" i="4"/>
  <c r="P14" i="4"/>
  <c r="J14" i="4"/>
  <c r="L14" i="4" s="1"/>
  <c r="F14" i="4"/>
  <c r="D14" i="4"/>
  <c r="Z13" i="4"/>
  <c r="W13" i="4"/>
  <c r="X13" i="4" s="1"/>
  <c r="Y13" i="4" s="1"/>
  <c r="V13" i="4"/>
  <c r="U13" i="4"/>
  <c r="T13" i="4"/>
  <c r="AB13" i="4" s="1"/>
  <c r="P13" i="4"/>
  <c r="R13" i="4" s="1"/>
  <c r="L13" i="4"/>
  <c r="J13" i="4"/>
  <c r="D13" i="4"/>
  <c r="F13" i="4" s="1"/>
  <c r="W12" i="4"/>
  <c r="AA12" i="4" s="1"/>
  <c r="U12" i="4"/>
  <c r="Z12" i="4" s="1"/>
  <c r="T12" i="4"/>
  <c r="AB12" i="4" s="1"/>
  <c r="P12" i="4"/>
  <c r="R12" i="4" s="1"/>
  <c r="L12" i="4"/>
  <c r="J12" i="4"/>
  <c r="D12" i="4"/>
  <c r="F12" i="4" s="1"/>
  <c r="W11" i="4"/>
  <c r="W15" i="4" s="1"/>
  <c r="U11" i="4"/>
  <c r="Z11" i="4" s="1"/>
  <c r="Z15" i="4" s="1"/>
  <c r="T11" i="4"/>
  <c r="V11" i="4" s="1"/>
  <c r="R11" i="4"/>
  <c r="P11" i="4"/>
  <c r="J11" i="4"/>
  <c r="J15" i="4" s="1"/>
  <c r="L15" i="4" s="1"/>
  <c r="F11" i="4"/>
  <c r="D11" i="4"/>
  <c r="S10" i="4"/>
  <c r="Q10" i="4"/>
  <c r="O10" i="4"/>
  <c r="N10" i="4"/>
  <c r="M10" i="4"/>
  <c r="K10" i="4"/>
  <c r="I10" i="4"/>
  <c r="H10" i="4"/>
  <c r="G10" i="4"/>
  <c r="E10" i="4"/>
  <c r="C10" i="4"/>
  <c r="B10" i="4"/>
  <c r="Z9" i="4"/>
  <c r="W9" i="4"/>
  <c r="X9" i="4" s="1"/>
  <c r="Y9" i="4" s="1"/>
  <c r="V9" i="4"/>
  <c r="U9" i="4"/>
  <c r="T9" i="4"/>
  <c r="AB9" i="4" s="1"/>
  <c r="P9" i="4"/>
  <c r="R9" i="4" s="1"/>
  <c r="L9" i="4"/>
  <c r="J9" i="4"/>
  <c r="D9" i="4"/>
  <c r="F9" i="4" s="1"/>
  <c r="W8" i="4"/>
  <c r="AA8" i="4" s="1"/>
  <c r="U8" i="4"/>
  <c r="Z8" i="4" s="1"/>
  <c r="T8" i="4"/>
  <c r="AB8" i="4" s="1"/>
  <c r="P8" i="4"/>
  <c r="R8" i="4" s="1"/>
  <c r="L8" i="4"/>
  <c r="J8" i="4"/>
  <c r="D8" i="4"/>
  <c r="F8" i="4" s="1"/>
  <c r="W7" i="4"/>
  <c r="AA7" i="4" s="1"/>
  <c r="U7" i="4"/>
  <c r="Z7" i="4" s="1"/>
  <c r="T7" i="4"/>
  <c r="V7" i="4" s="1"/>
  <c r="X7" i="4" s="1"/>
  <c r="Y7" i="4" s="1"/>
  <c r="R7" i="4"/>
  <c r="P7" i="4"/>
  <c r="J7" i="4"/>
  <c r="L7" i="4" s="1"/>
  <c r="F7" i="4"/>
  <c r="D7" i="4"/>
  <c r="Z6" i="4"/>
  <c r="W6" i="4"/>
  <c r="X6" i="4" s="1"/>
  <c r="V6" i="4"/>
  <c r="U6" i="4"/>
  <c r="U10" i="4" s="1"/>
  <c r="T6" i="4"/>
  <c r="T10" i="4" s="1"/>
  <c r="R6" i="4"/>
  <c r="P6" i="4"/>
  <c r="P10" i="4" s="1"/>
  <c r="R10" i="4" s="1"/>
  <c r="J6" i="4"/>
  <c r="J10" i="4" s="1"/>
  <c r="L10" i="4" s="1"/>
  <c r="F6" i="4"/>
  <c r="D6" i="4"/>
  <c r="D10" i="4" s="1"/>
  <c r="F10" i="4" s="1"/>
  <c r="F79" i="3"/>
  <c r="C79" i="3"/>
  <c r="C82" i="3" s="1"/>
  <c r="B79" i="3"/>
  <c r="D79" i="3" s="1"/>
  <c r="D78" i="3"/>
  <c r="D77" i="3"/>
  <c r="D76" i="3"/>
  <c r="F75" i="3"/>
  <c r="C75" i="3"/>
  <c r="B75" i="3"/>
  <c r="D75" i="3" s="1"/>
  <c r="D74" i="3"/>
  <c r="D73" i="3"/>
  <c r="D72" i="3"/>
  <c r="D71" i="3"/>
  <c r="F70" i="3"/>
  <c r="F82" i="3" s="1"/>
  <c r="C70" i="3"/>
  <c r="B70" i="3"/>
  <c r="B82" i="3" s="1"/>
  <c r="D82" i="3" s="1"/>
  <c r="D69" i="3"/>
  <c r="D68" i="3"/>
  <c r="D67" i="3"/>
  <c r="D66" i="3"/>
  <c r="I57" i="3"/>
  <c r="I60" i="3" s="1"/>
  <c r="H57" i="3"/>
  <c r="H60" i="3" s="1"/>
  <c r="J60" i="3" s="1"/>
  <c r="F57" i="3"/>
  <c r="E57" i="3"/>
  <c r="E60" i="3" s="1"/>
  <c r="D57" i="3"/>
  <c r="C57" i="3"/>
  <c r="C60" i="3" s="1"/>
  <c r="B57" i="3"/>
  <c r="L56" i="3"/>
  <c r="K56" i="3"/>
  <c r="J56" i="3"/>
  <c r="G56" i="3"/>
  <c r="D56" i="3"/>
  <c r="L55" i="3"/>
  <c r="L57" i="3" s="1"/>
  <c r="K55" i="3"/>
  <c r="J55" i="3"/>
  <c r="G55" i="3"/>
  <c r="D55" i="3"/>
  <c r="L54" i="3"/>
  <c r="K54" i="3"/>
  <c r="K57" i="3" s="1"/>
  <c r="J54" i="3"/>
  <c r="G54" i="3"/>
  <c r="D54" i="3"/>
  <c r="J53" i="3"/>
  <c r="I53" i="3"/>
  <c r="H53" i="3"/>
  <c r="G53" i="3"/>
  <c r="F53" i="3"/>
  <c r="E53" i="3"/>
  <c r="C53" i="3"/>
  <c r="B53" i="3"/>
  <c r="D53" i="3" s="1"/>
  <c r="L52" i="3"/>
  <c r="K52" i="3"/>
  <c r="J52" i="3"/>
  <c r="G52" i="3"/>
  <c r="D52" i="3"/>
  <c r="L51" i="3"/>
  <c r="K51" i="3"/>
  <c r="K53" i="3" s="1"/>
  <c r="J51" i="3"/>
  <c r="G51" i="3"/>
  <c r="D51" i="3"/>
  <c r="L50" i="3"/>
  <c r="K50" i="3"/>
  <c r="J50" i="3"/>
  <c r="G50" i="3"/>
  <c r="D50" i="3"/>
  <c r="L49" i="3"/>
  <c r="L53" i="3" s="1"/>
  <c r="K49" i="3"/>
  <c r="J49" i="3"/>
  <c r="G49" i="3"/>
  <c r="D49" i="3"/>
  <c r="J48" i="3"/>
  <c r="I48" i="3"/>
  <c r="H48" i="3"/>
  <c r="F48" i="3"/>
  <c r="F60" i="3" s="1"/>
  <c r="E48" i="3"/>
  <c r="G48" i="3" s="1"/>
  <c r="C48" i="3"/>
  <c r="B48" i="3"/>
  <c r="D48" i="3" s="1"/>
  <c r="L47" i="3"/>
  <c r="K47" i="3"/>
  <c r="J47" i="3"/>
  <c r="G47" i="3"/>
  <c r="D47" i="3"/>
  <c r="L46" i="3"/>
  <c r="K46" i="3"/>
  <c r="J46" i="3"/>
  <c r="G46" i="3"/>
  <c r="D46" i="3"/>
  <c r="L45" i="3"/>
  <c r="K45" i="3"/>
  <c r="J45" i="3"/>
  <c r="G45" i="3"/>
  <c r="D45" i="3"/>
  <c r="L44" i="3"/>
  <c r="L48" i="3" s="1"/>
  <c r="K44" i="3"/>
  <c r="K48" i="3" s="1"/>
  <c r="J44" i="3"/>
  <c r="G44" i="3"/>
  <c r="D44" i="3"/>
  <c r="M34" i="3"/>
  <c r="M37" i="3" s="1"/>
  <c r="K34" i="3"/>
  <c r="K37" i="3" s="1"/>
  <c r="J34" i="3"/>
  <c r="J37" i="3" s="1"/>
  <c r="I34" i="3"/>
  <c r="I37" i="3" s="1"/>
  <c r="G34" i="3"/>
  <c r="G37" i="3" s="1"/>
  <c r="F34" i="3"/>
  <c r="F37" i="3" s="1"/>
  <c r="E34" i="3"/>
  <c r="E37" i="3" s="1"/>
  <c r="C34" i="3"/>
  <c r="C37" i="3" s="1"/>
  <c r="B34" i="3"/>
  <c r="B37" i="3" s="1"/>
  <c r="R33" i="3"/>
  <c r="P33" i="3"/>
  <c r="Q33" i="3" s="1"/>
  <c r="O33" i="3"/>
  <c r="L33" i="3"/>
  <c r="H33" i="3"/>
  <c r="D33" i="3"/>
  <c r="R32" i="3"/>
  <c r="R34" i="3" s="1"/>
  <c r="P32" i="3"/>
  <c r="O32" i="3"/>
  <c r="O34" i="3" s="1"/>
  <c r="L32" i="3"/>
  <c r="L34" i="3" s="1"/>
  <c r="H32" i="3"/>
  <c r="H34" i="3" s="1"/>
  <c r="D32" i="3"/>
  <c r="D34" i="3" s="1"/>
  <c r="P31" i="3"/>
  <c r="O31" i="3"/>
  <c r="M31" i="3"/>
  <c r="K31" i="3"/>
  <c r="J31" i="3"/>
  <c r="I31" i="3"/>
  <c r="H31" i="3"/>
  <c r="G31" i="3"/>
  <c r="F31" i="3"/>
  <c r="E31" i="3"/>
  <c r="C31" i="3"/>
  <c r="B31" i="3"/>
  <c r="R30" i="3"/>
  <c r="R31" i="3" s="1"/>
  <c r="Q30" i="3"/>
  <c r="Q31" i="3" s="1"/>
  <c r="L30" i="3"/>
  <c r="L31" i="3" s="1"/>
  <c r="H30" i="3"/>
  <c r="D30" i="3"/>
  <c r="D31" i="3" s="1"/>
  <c r="M29" i="3"/>
  <c r="K29" i="3"/>
  <c r="J29" i="3"/>
  <c r="I29" i="3"/>
  <c r="G29" i="3"/>
  <c r="F29" i="3"/>
  <c r="E29" i="3"/>
  <c r="C29" i="3"/>
  <c r="B29" i="3"/>
  <c r="R28" i="3"/>
  <c r="R29" i="3" s="1"/>
  <c r="P28" i="3"/>
  <c r="P29" i="3" s="1"/>
  <c r="O28" i="3"/>
  <c r="Q28" i="3" s="1"/>
  <c r="Q29" i="3" s="1"/>
  <c r="L28" i="3"/>
  <c r="L29" i="3" s="1"/>
  <c r="H28" i="3"/>
  <c r="H29" i="3" s="1"/>
  <c r="D28" i="3"/>
  <c r="D29" i="3" s="1"/>
  <c r="Y24" i="3"/>
  <c r="Y23" i="3"/>
  <c r="AG19" i="3"/>
  <c r="AG18" i="3"/>
  <c r="AF17" i="3"/>
  <c r="AF20" i="3" s="1"/>
  <c r="AF21" i="3" s="1"/>
  <c r="AE17" i="3"/>
  <c r="AE20" i="3" s="1"/>
  <c r="AE21" i="3" s="1"/>
  <c r="R17" i="3"/>
  <c r="Q17" i="3"/>
  <c r="S17" i="3" s="1"/>
  <c r="P17" i="3"/>
  <c r="O17" i="3"/>
  <c r="N17" i="3"/>
  <c r="L17" i="3"/>
  <c r="J17" i="3"/>
  <c r="I17" i="3"/>
  <c r="H17" i="3"/>
  <c r="F17" i="3"/>
  <c r="E17" i="3"/>
  <c r="G17" i="3" s="1"/>
  <c r="D17" i="3"/>
  <c r="C17" i="3"/>
  <c r="B17" i="3"/>
  <c r="AG16" i="3"/>
  <c r="W16" i="3"/>
  <c r="AA16" i="3" s="1"/>
  <c r="U16" i="3"/>
  <c r="T16" i="3"/>
  <c r="V16" i="3" s="1"/>
  <c r="Q16" i="3"/>
  <c r="S16" i="3" s="1"/>
  <c r="M16" i="3"/>
  <c r="K16" i="3"/>
  <c r="E16" i="3"/>
  <c r="G16" i="3" s="1"/>
  <c r="AG15" i="3"/>
  <c r="W15" i="3"/>
  <c r="AA15" i="3" s="1"/>
  <c r="U15" i="3"/>
  <c r="T15" i="3"/>
  <c r="V15" i="3" s="1"/>
  <c r="Q15" i="3"/>
  <c r="S15" i="3" s="1"/>
  <c r="M15" i="3"/>
  <c r="K15" i="3"/>
  <c r="E15" i="3"/>
  <c r="G15" i="3" s="1"/>
  <c r="AG14" i="3"/>
  <c r="AG17" i="3" s="1"/>
  <c r="W14" i="3"/>
  <c r="W17" i="3" s="1"/>
  <c r="U14" i="3"/>
  <c r="U17" i="3" s="1"/>
  <c r="T14" i="3"/>
  <c r="T17" i="3" s="1"/>
  <c r="Q14" i="3"/>
  <c r="S14" i="3" s="1"/>
  <c r="M14" i="3"/>
  <c r="K14" i="3"/>
  <c r="K17" i="3" s="1"/>
  <c r="M17" i="3" s="1"/>
  <c r="E14" i="3"/>
  <c r="G14" i="3" s="1"/>
  <c r="AG13" i="3"/>
  <c r="AF13" i="3"/>
  <c r="AE13" i="3"/>
  <c r="R13" i="3"/>
  <c r="P13" i="3"/>
  <c r="O13" i="3"/>
  <c r="N13" i="3"/>
  <c r="L13" i="3"/>
  <c r="K13" i="3"/>
  <c r="M13" i="3" s="1"/>
  <c r="J13" i="3"/>
  <c r="I13" i="3"/>
  <c r="H13" i="3"/>
  <c r="F13" i="3"/>
  <c r="D13" i="3"/>
  <c r="C13" i="3"/>
  <c r="B13" i="3"/>
  <c r="AG12" i="3"/>
  <c r="W12" i="3"/>
  <c r="X12" i="3" s="1"/>
  <c r="Y12" i="3" s="1"/>
  <c r="V12" i="3"/>
  <c r="Z12" i="3" s="1"/>
  <c r="U12" i="3"/>
  <c r="T12" i="3"/>
  <c r="S12" i="3"/>
  <c r="Q12" i="3"/>
  <c r="K12" i="3"/>
  <c r="M12" i="3" s="1"/>
  <c r="G12" i="3"/>
  <c r="E12" i="3"/>
  <c r="AG11" i="3"/>
  <c r="W11" i="3"/>
  <c r="X11" i="3" s="1"/>
  <c r="Y11" i="3" s="1"/>
  <c r="V11" i="3"/>
  <c r="Z11" i="3" s="1"/>
  <c r="U11" i="3"/>
  <c r="T11" i="3"/>
  <c r="S11" i="3"/>
  <c r="Q11" i="3"/>
  <c r="K11" i="3"/>
  <c r="M11" i="3" s="1"/>
  <c r="G11" i="3"/>
  <c r="E11" i="3"/>
  <c r="AG10" i="3"/>
  <c r="W10" i="3"/>
  <c r="X10" i="3" s="1"/>
  <c r="Y10" i="3" s="1"/>
  <c r="V10" i="3"/>
  <c r="Z10" i="3" s="1"/>
  <c r="U10" i="3"/>
  <c r="T10" i="3"/>
  <c r="S10" i="3"/>
  <c r="Q10" i="3"/>
  <c r="K10" i="3"/>
  <c r="M10" i="3" s="1"/>
  <c r="G10" i="3"/>
  <c r="E10" i="3"/>
  <c r="AG9" i="3"/>
  <c r="W9" i="3"/>
  <c r="X9" i="3" s="1"/>
  <c r="V9" i="3"/>
  <c r="V13" i="3" s="1"/>
  <c r="U9" i="3"/>
  <c r="U13" i="3" s="1"/>
  <c r="T9" i="3"/>
  <c r="T13" i="3" s="1"/>
  <c r="S9" i="3"/>
  <c r="Q9" i="3"/>
  <c r="Q13" i="3" s="1"/>
  <c r="S13" i="3" s="1"/>
  <c r="K9" i="3"/>
  <c r="M9" i="3" s="1"/>
  <c r="G9" i="3"/>
  <c r="E9" i="3"/>
  <c r="E13" i="3" s="1"/>
  <c r="G13" i="3" s="1"/>
  <c r="AF8" i="3"/>
  <c r="AE8" i="3"/>
  <c r="R8" i="3"/>
  <c r="R20" i="3" s="1"/>
  <c r="Q8" i="3"/>
  <c r="S8" i="3" s="1"/>
  <c r="P8" i="3"/>
  <c r="P20" i="3" s="1"/>
  <c r="O8" i="3"/>
  <c r="O20" i="3" s="1"/>
  <c r="N8" i="3"/>
  <c r="N20" i="3" s="1"/>
  <c r="L8" i="3"/>
  <c r="L20" i="3" s="1"/>
  <c r="J8" i="3"/>
  <c r="J20" i="3" s="1"/>
  <c r="I8" i="3"/>
  <c r="I20" i="3" s="1"/>
  <c r="H8" i="3"/>
  <c r="H20" i="3" s="1"/>
  <c r="F8" i="3"/>
  <c r="F20" i="3" s="1"/>
  <c r="E8" i="3"/>
  <c r="G8" i="3" s="1"/>
  <c r="D8" i="3"/>
  <c r="D20" i="3" s="1"/>
  <c r="C8" i="3"/>
  <c r="C20" i="3" s="1"/>
  <c r="B8" i="3"/>
  <c r="B20" i="3" s="1"/>
  <c r="AG7" i="3"/>
  <c r="W7" i="3"/>
  <c r="AA7" i="3" s="1"/>
  <c r="U7" i="3"/>
  <c r="T7" i="3"/>
  <c r="V7" i="3" s="1"/>
  <c r="Q7" i="3"/>
  <c r="S7" i="3" s="1"/>
  <c r="M7" i="3"/>
  <c r="K7" i="3"/>
  <c r="E7" i="3"/>
  <c r="G7" i="3" s="1"/>
  <c r="AG6" i="3"/>
  <c r="W6" i="3"/>
  <c r="AA6" i="3" s="1"/>
  <c r="U6" i="3"/>
  <c r="T6" i="3"/>
  <c r="V6" i="3" s="1"/>
  <c r="Q6" i="3"/>
  <c r="S6" i="3" s="1"/>
  <c r="M6" i="3"/>
  <c r="K6" i="3"/>
  <c r="E6" i="3"/>
  <c r="G6" i="3" s="1"/>
  <c r="AG5" i="3"/>
  <c r="W5" i="3"/>
  <c r="AA5" i="3" s="1"/>
  <c r="U5" i="3"/>
  <c r="T5" i="3"/>
  <c r="V5" i="3" s="1"/>
  <c r="Q5" i="3"/>
  <c r="S5" i="3" s="1"/>
  <c r="M5" i="3"/>
  <c r="K5" i="3"/>
  <c r="E5" i="3"/>
  <c r="G5" i="3" s="1"/>
  <c r="AG4" i="3"/>
  <c r="AG8" i="3" s="1"/>
  <c r="W4" i="3"/>
  <c r="W8" i="3" s="1"/>
  <c r="U4" i="3"/>
  <c r="U8" i="3" s="1"/>
  <c r="T4" i="3"/>
  <c r="T8" i="3" s="1"/>
  <c r="T20" i="3" s="1"/>
  <c r="Q4" i="3"/>
  <c r="S4" i="3" s="1"/>
  <c r="M4" i="3"/>
  <c r="K4" i="3"/>
  <c r="K8" i="3" s="1"/>
  <c r="E4" i="3"/>
  <c r="G4" i="3" s="1"/>
  <c r="F79" i="2"/>
  <c r="F82" i="2" s="1"/>
  <c r="D79" i="2"/>
  <c r="C79" i="2"/>
  <c r="C82" i="2" s="1"/>
  <c r="B79" i="2"/>
  <c r="D78" i="2"/>
  <c r="D77" i="2"/>
  <c r="D76" i="2"/>
  <c r="F75" i="2"/>
  <c r="D75" i="2"/>
  <c r="C75" i="2"/>
  <c r="B75" i="2"/>
  <c r="D74" i="2"/>
  <c r="D73" i="2"/>
  <c r="D72" i="2"/>
  <c r="D71" i="2"/>
  <c r="F70" i="2"/>
  <c r="D70" i="2"/>
  <c r="C70" i="2"/>
  <c r="B70" i="2"/>
  <c r="B82" i="2" s="1"/>
  <c r="D82" i="2" s="1"/>
  <c r="D69" i="2"/>
  <c r="D68" i="2"/>
  <c r="D67" i="2"/>
  <c r="D66" i="2"/>
  <c r="J57" i="2"/>
  <c r="I57" i="2"/>
  <c r="I60" i="2" s="1"/>
  <c r="H57" i="2"/>
  <c r="H60" i="2" s="1"/>
  <c r="J60" i="2" s="1"/>
  <c r="F57" i="2"/>
  <c r="F60" i="2" s="1"/>
  <c r="E57" i="2"/>
  <c r="E60" i="2" s="1"/>
  <c r="G60" i="2" s="1"/>
  <c r="C57" i="2"/>
  <c r="B57" i="2"/>
  <c r="B60" i="2" s="1"/>
  <c r="L56" i="2"/>
  <c r="K56" i="2"/>
  <c r="J56" i="2"/>
  <c r="G56" i="2"/>
  <c r="D56" i="2"/>
  <c r="L55" i="2"/>
  <c r="K55" i="2"/>
  <c r="J55" i="2"/>
  <c r="G55" i="2"/>
  <c r="D55" i="2"/>
  <c r="L54" i="2"/>
  <c r="L57" i="2" s="1"/>
  <c r="K54" i="2"/>
  <c r="K57" i="2" s="1"/>
  <c r="J54" i="2"/>
  <c r="G54" i="2"/>
  <c r="D54" i="2"/>
  <c r="I53" i="2"/>
  <c r="H53" i="2"/>
  <c r="J53" i="2" s="1"/>
  <c r="G53" i="2"/>
  <c r="F53" i="2"/>
  <c r="E53" i="2"/>
  <c r="D53" i="2"/>
  <c r="C53" i="2"/>
  <c r="B53" i="2"/>
  <c r="L52" i="2"/>
  <c r="K52" i="2"/>
  <c r="J52" i="2"/>
  <c r="G52" i="2"/>
  <c r="D52" i="2"/>
  <c r="L51" i="2"/>
  <c r="L53" i="2" s="1"/>
  <c r="K51" i="2"/>
  <c r="J51" i="2"/>
  <c r="G51" i="2"/>
  <c r="D51" i="2"/>
  <c r="L50" i="2"/>
  <c r="K50" i="2"/>
  <c r="J50" i="2"/>
  <c r="G50" i="2"/>
  <c r="D50" i="2"/>
  <c r="L49" i="2"/>
  <c r="K49" i="2"/>
  <c r="K53" i="2" s="1"/>
  <c r="J49" i="2"/>
  <c r="G49" i="2"/>
  <c r="D49" i="2"/>
  <c r="J48" i="2"/>
  <c r="I48" i="2"/>
  <c r="H48" i="2"/>
  <c r="G48" i="2"/>
  <c r="F48" i="2"/>
  <c r="E48" i="2"/>
  <c r="C48" i="2"/>
  <c r="C60" i="2" s="1"/>
  <c r="B48" i="2"/>
  <c r="D48" i="2" s="1"/>
  <c r="L47" i="2"/>
  <c r="K47" i="2"/>
  <c r="J47" i="2"/>
  <c r="G47" i="2"/>
  <c r="D47" i="2"/>
  <c r="L46" i="2"/>
  <c r="K46" i="2"/>
  <c r="K48" i="2" s="1"/>
  <c r="J46" i="2"/>
  <c r="G46" i="2"/>
  <c r="D46" i="2"/>
  <c r="L45" i="2"/>
  <c r="K45" i="2"/>
  <c r="J45" i="2"/>
  <c r="G45" i="2"/>
  <c r="D45" i="2"/>
  <c r="L44" i="2"/>
  <c r="L48" i="2" s="1"/>
  <c r="K44" i="2"/>
  <c r="J44" i="2"/>
  <c r="G44" i="2"/>
  <c r="D44" i="2"/>
  <c r="M34" i="2"/>
  <c r="M37" i="2" s="1"/>
  <c r="L34" i="2"/>
  <c r="K34" i="2"/>
  <c r="K37" i="2" s="1"/>
  <c r="J34" i="2"/>
  <c r="J37" i="2" s="1"/>
  <c r="I34" i="2"/>
  <c r="I37" i="2" s="1"/>
  <c r="G34" i="2"/>
  <c r="G37" i="2" s="1"/>
  <c r="F34" i="2"/>
  <c r="F37" i="2" s="1"/>
  <c r="E34" i="2"/>
  <c r="E37" i="2" s="1"/>
  <c r="C34" i="2"/>
  <c r="C37" i="2" s="1"/>
  <c r="B34" i="2"/>
  <c r="B37" i="2" s="1"/>
  <c r="R33" i="2"/>
  <c r="Q33" i="2"/>
  <c r="P33" i="2"/>
  <c r="O33" i="2"/>
  <c r="L33" i="2"/>
  <c r="H33" i="2"/>
  <c r="H34" i="2" s="1"/>
  <c r="D33" i="2"/>
  <c r="R32" i="2"/>
  <c r="R34" i="2" s="1"/>
  <c r="P32" i="2"/>
  <c r="P34" i="2" s="1"/>
  <c r="O32" i="2"/>
  <c r="O34" i="2" s="1"/>
  <c r="L32" i="2"/>
  <c r="H32" i="2"/>
  <c r="D32" i="2"/>
  <c r="D34" i="2" s="1"/>
  <c r="D37" i="2" s="1"/>
  <c r="M31" i="2"/>
  <c r="K31" i="2"/>
  <c r="J31" i="2"/>
  <c r="I31" i="2"/>
  <c r="G31" i="2"/>
  <c r="F31" i="2"/>
  <c r="E31" i="2"/>
  <c r="C31" i="2"/>
  <c r="B31" i="2"/>
  <c r="R30" i="2"/>
  <c r="R31" i="2" s="1"/>
  <c r="P30" i="2"/>
  <c r="Q30" i="2" s="1"/>
  <c r="Q31" i="2" s="1"/>
  <c r="O30" i="2"/>
  <c r="O31" i="2" s="1"/>
  <c r="L30" i="2"/>
  <c r="L31" i="2" s="1"/>
  <c r="H30" i="2"/>
  <c r="H31" i="2" s="1"/>
  <c r="D30" i="2"/>
  <c r="D31" i="2" s="1"/>
  <c r="M29" i="2"/>
  <c r="K29" i="2"/>
  <c r="J29" i="2"/>
  <c r="I29" i="2"/>
  <c r="G29" i="2"/>
  <c r="F29" i="2"/>
  <c r="E29" i="2"/>
  <c r="D29" i="2"/>
  <c r="C29" i="2"/>
  <c r="B29" i="2"/>
  <c r="R28" i="2"/>
  <c r="R29" i="2" s="1"/>
  <c r="Q28" i="2"/>
  <c r="Q29" i="2" s="1"/>
  <c r="P28" i="2"/>
  <c r="P29" i="2" s="1"/>
  <c r="O28" i="2"/>
  <c r="O29" i="2" s="1"/>
  <c r="L28" i="2"/>
  <c r="L29" i="2" s="1"/>
  <c r="H28" i="2"/>
  <c r="H29" i="2" s="1"/>
  <c r="D28" i="2"/>
  <c r="Y23" i="2"/>
  <c r="Y24" i="2" s="1"/>
  <c r="U17" i="2"/>
  <c r="R17" i="2"/>
  <c r="P17" i="2"/>
  <c r="O17" i="2"/>
  <c r="N17" i="2"/>
  <c r="L17" i="2"/>
  <c r="J17" i="2"/>
  <c r="I17" i="2"/>
  <c r="H17" i="2"/>
  <c r="F17" i="2"/>
  <c r="D17" i="2"/>
  <c r="C17" i="2"/>
  <c r="B17" i="2"/>
  <c r="W16" i="2"/>
  <c r="AA16" i="2" s="1"/>
  <c r="U16" i="2"/>
  <c r="T16" i="2"/>
  <c r="V16" i="2" s="1"/>
  <c r="S16" i="2"/>
  <c r="Q16" i="2"/>
  <c r="K16" i="2"/>
  <c r="M16" i="2" s="1"/>
  <c r="G16" i="2"/>
  <c r="E16" i="2"/>
  <c r="W15" i="2"/>
  <c r="U15" i="2"/>
  <c r="T15" i="2"/>
  <c r="V15" i="2" s="1"/>
  <c r="Z15" i="2" s="1"/>
  <c r="S15" i="2"/>
  <c r="Q15" i="2"/>
  <c r="K15" i="2"/>
  <c r="M15" i="2" s="1"/>
  <c r="G15" i="2"/>
  <c r="E15" i="2"/>
  <c r="W14" i="2"/>
  <c r="W17" i="2" s="1"/>
  <c r="V14" i="2"/>
  <c r="V17" i="2" s="1"/>
  <c r="U14" i="2"/>
  <c r="T14" i="2"/>
  <c r="T17" i="2" s="1"/>
  <c r="Q14" i="2"/>
  <c r="S14" i="2" s="1"/>
  <c r="M14" i="2"/>
  <c r="K14" i="2"/>
  <c r="K17" i="2" s="1"/>
  <c r="M17" i="2" s="1"/>
  <c r="E14" i="2"/>
  <c r="G14" i="2" s="1"/>
  <c r="R13" i="2"/>
  <c r="P13" i="2"/>
  <c r="O13" i="2"/>
  <c r="N13" i="2"/>
  <c r="L13" i="2"/>
  <c r="J13" i="2"/>
  <c r="I13" i="2"/>
  <c r="H13" i="2"/>
  <c r="F13" i="2"/>
  <c r="D13" i="2"/>
  <c r="C13" i="2"/>
  <c r="B13" i="2"/>
  <c r="W12" i="2"/>
  <c r="AA12" i="2" s="1"/>
  <c r="U12" i="2"/>
  <c r="T12" i="2"/>
  <c r="V12" i="2" s="1"/>
  <c r="S12" i="2"/>
  <c r="Q12" i="2"/>
  <c r="K12" i="2"/>
  <c r="M12" i="2" s="1"/>
  <c r="G12" i="2"/>
  <c r="E12" i="2"/>
  <c r="W11" i="2"/>
  <c r="X11" i="2" s="1"/>
  <c r="Y11" i="2" s="1"/>
  <c r="V11" i="2"/>
  <c r="Z11" i="2" s="1"/>
  <c r="U11" i="2"/>
  <c r="T11" i="2"/>
  <c r="S11" i="2"/>
  <c r="Q11" i="2"/>
  <c r="K11" i="2"/>
  <c r="M11" i="2" s="1"/>
  <c r="G11" i="2"/>
  <c r="E11" i="2"/>
  <c r="W10" i="2"/>
  <c r="X10" i="2" s="1"/>
  <c r="Y10" i="2" s="1"/>
  <c r="V10" i="2"/>
  <c r="Z10" i="2" s="1"/>
  <c r="U10" i="2"/>
  <c r="T10" i="2"/>
  <c r="Q10" i="2"/>
  <c r="S10" i="2" s="1"/>
  <c r="M10" i="2"/>
  <c r="K10" i="2"/>
  <c r="E10" i="2"/>
  <c r="G10" i="2" s="1"/>
  <c r="W9" i="2"/>
  <c r="W13" i="2" s="1"/>
  <c r="U9" i="2"/>
  <c r="U13" i="2" s="1"/>
  <c r="T9" i="2"/>
  <c r="T13" i="2" s="1"/>
  <c r="Q9" i="2"/>
  <c r="S9" i="2" s="1"/>
  <c r="M9" i="2"/>
  <c r="K9" i="2"/>
  <c r="K13" i="2" s="1"/>
  <c r="M13" i="2" s="1"/>
  <c r="E9" i="2"/>
  <c r="G9" i="2" s="1"/>
  <c r="R8" i="2"/>
  <c r="R20" i="2" s="1"/>
  <c r="P8" i="2"/>
  <c r="P20" i="2" s="1"/>
  <c r="O8" i="2"/>
  <c r="O20" i="2" s="1"/>
  <c r="N8" i="2"/>
  <c r="N20" i="2" s="1"/>
  <c r="L8" i="2"/>
  <c r="L20" i="2" s="1"/>
  <c r="J8" i="2"/>
  <c r="J20" i="2" s="1"/>
  <c r="I8" i="2"/>
  <c r="I20" i="2" s="1"/>
  <c r="H8" i="2"/>
  <c r="H20" i="2" s="1"/>
  <c r="F8" i="2"/>
  <c r="F20" i="2" s="1"/>
  <c r="D8" i="2"/>
  <c r="D20" i="2" s="1"/>
  <c r="C8" i="2"/>
  <c r="C20" i="2" s="1"/>
  <c r="B8" i="2"/>
  <c r="B20" i="2" s="1"/>
  <c r="W7" i="2"/>
  <c r="X7" i="2" s="1"/>
  <c r="Y7" i="2" s="1"/>
  <c r="V7" i="2"/>
  <c r="Z7" i="2" s="1"/>
  <c r="U7" i="2"/>
  <c r="T7" i="2"/>
  <c r="S7" i="2"/>
  <c r="Q7" i="2"/>
  <c r="K7" i="2"/>
  <c r="M7" i="2" s="1"/>
  <c r="G7" i="2"/>
  <c r="E7" i="2"/>
  <c r="W6" i="2"/>
  <c r="X6" i="2" s="1"/>
  <c r="Y6" i="2" s="1"/>
  <c r="V6" i="2"/>
  <c r="Z6" i="2" s="1"/>
  <c r="U6" i="2"/>
  <c r="T6" i="2"/>
  <c r="Q6" i="2"/>
  <c r="S6" i="2" s="1"/>
  <c r="M6" i="2"/>
  <c r="K6" i="2"/>
  <c r="E6" i="2"/>
  <c r="G6" i="2" s="1"/>
  <c r="W5" i="2"/>
  <c r="AA5" i="2" s="1"/>
  <c r="U5" i="2"/>
  <c r="T5" i="2"/>
  <c r="V5" i="2" s="1"/>
  <c r="Q5" i="2"/>
  <c r="S5" i="2" s="1"/>
  <c r="M5" i="2"/>
  <c r="K5" i="2"/>
  <c r="E5" i="2"/>
  <c r="G5" i="2" s="1"/>
  <c r="W4" i="2"/>
  <c r="W8" i="2" s="1"/>
  <c r="U4" i="2"/>
  <c r="U8" i="2" s="1"/>
  <c r="U20" i="2" s="1"/>
  <c r="T4" i="2"/>
  <c r="V4" i="2" s="1"/>
  <c r="S4" i="2"/>
  <c r="Q4" i="2"/>
  <c r="Q8" i="2" s="1"/>
  <c r="K4" i="2"/>
  <c r="K8" i="2" s="1"/>
  <c r="G4" i="2"/>
  <c r="E4" i="2"/>
  <c r="E8" i="2" s="1"/>
  <c r="AB22" i="1"/>
  <c r="AA22" i="1"/>
  <c r="Y22" i="1"/>
  <c r="Y24" i="1" s="1"/>
  <c r="X22" i="1"/>
  <c r="X24" i="1" s="1"/>
  <c r="W22" i="1"/>
  <c r="W24" i="1" s="1"/>
  <c r="V22" i="1"/>
  <c r="V24" i="1" s="1"/>
  <c r="U22" i="1"/>
  <c r="U24" i="1" s="1"/>
  <c r="T22" i="1"/>
  <c r="T24" i="1" s="1"/>
  <c r="S22" i="1"/>
  <c r="S24" i="1" s="1"/>
  <c r="R22" i="1"/>
  <c r="R24" i="1" s="1"/>
  <c r="Q22" i="1"/>
  <c r="Q24" i="1" s="1"/>
  <c r="P22" i="1"/>
  <c r="P24" i="1" s="1"/>
  <c r="O22" i="1"/>
  <c r="O24" i="1" s="1"/>
  <c r="N22" i="1"/>
  <c r="N24" i="1" s="1"/>
  <c r="M22" i="1"/>
  <c r="M24" i="1" s="1"/>
  <c r="C19" i="1"/>
  <c r="B19" i="1"/>
  <c r="B22" i="1" s="1"/>
  <c r="J18" i="1"/>
  <c r="F18" i="1"/>
  <c r="D18" i="1"/>
  <c r="E18" i="1" s="1"/>
  <c r="G18" i="1" s="1"/>
  <c r="F17" i="1"/>
  <c r="D17" i="1"/>
  <c r="E17" i="1" s="1"/>
  <c r="G17" i="1" s="1"/>
  <c r="F16" i="1"/>
  <c r="F19" i="1" s="1"/>
  <c r="D16" i="1"/>
  <c r="D19" i="1" s="1"/>
  <c r="D22" i="1" s="1"/>
  <c r="C15" i="1"/>
  <c r="C22" i="1" s="1"/>
  <c r="B15" i="1"/>
  <c r="F14" i="1"/>
  <c r="G14" i="1" s="1"/>
  <c r="E14" i="1"/>
  <c r="D14" i="1"/>
  <c r="J13" i="1"/>
  <c r="F13" i="1"/>
  <c r="G13" i="1" s="1"/>
  <c r="E13" i="1"/>
  <c r="D13" i="1"/>
  <c r="F12" i="1"/>
  <c r="G12" i="1" s="1"/>
  <c r="E12" i="1"/>
  <c r="D12" i="1"/>
  <c r="F11" i="1"/>
  <c r="F15" i="1" s="1"/>
  <c r="E11" i="1"/>
  <c r="E15" i="1" s="1"/>
  <c r="D11" i="1"/>
  <c r="D15" i="1" s="1"/>
  <c r="C10" i="1"/>
  <c r="B10" i="1"/>
  <c r="J9" i="1"/>
  <c r="F9" i="1"/>
  <c r="D9" i="1"/>
  <c r="E9" i="1" s="1"/>
  <c r="G9" i="1" s="1"/>
  <c r="F8" i="1"/>
  <c r="D8" i="1"/>
  <c r="E8" i="1" s="1"/>
  <c r="G8" i="1" s="1"/>
  <c r="J7" i="1"/>
  <c r="F7" i="1"/>
  <c r="D7" i="1"/>
  <c r="E7" i="1" s="1"/>
  <c r="G7" i="1" s="1"/>
  <c r="F6" i="1"/>
  <c r="F10" i="1" s="1"/>
  <c r="D6" i="1"/>
  <c r="D10" i="1" s="1"/>
  <c r="E2" i="1"/>
  <c r="D2" i="1"/>
  <c r="F22" i="1" l="1"/>
  <c r="V8" i="2"/>
  <c r="Z4" i="2"/>
  <c r="X4" i="2"/>
  <c r="Z12" i="2"/>
  <c r="AB12" i="2" s="1"/>
  <c r="X12" i="2"/>
  <c r="Y12" i="2" s="1"/>
  <c r="Z16" i="2"/>
  <c r="AB16" i="2" s="1"/>
  <c r="X16" i="2"/>
  <c r="Y16" i="2" s="1"/>
  <c r="O37" i="2"/>
  <c r="H37" i="2"/>
  <c r="L60" i="2"/>
  <c r="AG20" i="3"/>
  <c r="AG21" i="3" s="1"/>
  <c r="K60" i="3"/>
  <c r="Z10" i="4"/>
  <c r="J22" i="4"/>
  <c r="L22" i="4" s="1"/>
  <c r="L19" i="4"/>
  <c r="L36" i="4"/>
  <c r="Q46" i="4"/>
  <c r="O46" i="4"/>
  <c r="Q51" i="4"/>
  <c r="O51" i="4"/>
  <c r="D59" i="4"/>
  <c r="K59" i="4"/>
  <c r="J22" i="5"/>
  <c r="K20" i="2"/>
  <c r="M20" i="2" s="1"/>
  <c r="M8" i="2"/>
  <c r="X5" i="3"/>
  <c r="Y5" i="3" s="1"/>
  <c r="Z5" i="3"/>
  <c r="AB5" i="3" s="1"/>
  <c r="X6" i="3"/>
  <c r="Y6" i="3" s="1"/>
  <c r="Z6" i="3"/>
  <c r="AB6" i="3" s="1"/>
  <c r="X7" i="3"/>
  <c r="Y7" i="3" s="1"/>
  <c r="Z7" i="3"/>
  <c r="AB7" i="3" s="1"/>
  <c r="Y9" i="3"/>
  <c r="X13" i="3"/>
  <c r="Y13" i="3" s="1"/>
  <c r="X15" i="3"/>
  <c r="Y15" i="3" s="1"/>
  <c r="Z15" i="3"/>
  <c r="AB15" i="3" s="1"/>
  <c r="X16" i="3"/>
  <c r="Y16" i="3" s="1"/>
  <c r="Z16" i="3"/>
  <c r="AB16" i="3" s="1"/>
  <c r="D37" i="3"/>
  <c r="O36" i="4"/>
  <c r="L59" i="4"/>
  <c r="Q58" i="4" s="1"/>
  <c r="R58" i="4" s="1"/>
  <c r="G59" i="4"/>
  <c r="X11" i="5"/>
  <c r="O22" i="5"/>
  <c r="Q19" i="5"/>
  <c r="C24" i="1"/>
  <c r="S8" i="2"/>
  <c r="W20" i="2"/>
  <c r="X15" i="2"/>
  <c r="Y15" i="2" s="1"/>
  <c r="R37" i="2"/>
  <c r="L37" i="2"/>
  <c r="K20" i="3"/>
  <c r="M20" i="3" s="1"/>
  <c r="M8" i="3"/>
  <c r="U20" i="3"/>
  <c r="H37" i="3"/>
  <c r="R37" i="3"/>
  <c r="L60" i="3"/>
  <c r="X11" i="4"/>
  <c r="D36" i="4"/>
  <c r="Q36" i="4"/>
  <c r="R38" i="4" s="1"/>
  <c r="X6" i="5"/>
  <c r="G8" i="2"/>
  <c r="X5" i="2"/>
  <c r="Y5" i="2" s="1"/>
  <c r="Z5" i="2"/>
  <c r="AB5" i="2" s="1"/>
  <c r="K60" i="2"/>
  <c r="D60" i="2"/>
  <c r="L37" i="3"/>
  <c r="G60" i="3"/>
  <c r="Y6" i="4"/>
  <c r="T22" i="5"/>
  <c r="D22" i="5"/>
  <c r="F22" i="5" s="1"/>
  <c r="F19" i="5"/>
  <c r="AA7" i="2"/>
  <c r="AB7" i="2" s="1"/>
  <c r="T8" i="2"/>
  <c r="T20" i="2" s="1"/>
  <c r="AA11" i="2"/>
  <c r="AB11" i="2" s="1"/>
  <c r="E13" i="2"/>
  <c r="G13" i="2" s="1"/>
  <c r="Q13" i="2"/>
  <c r="S13" i="2" s="1"/>
  <c r="Z14" i="2"/>
  <c r="AA15" i="2"/>
  <c r="AB15" i="2" s="1"/>
  <c r="E17" i="2"/>
  <c r="G17" i="2" s="1"/>
  <c r="Q17" i="2"/>
  <c r="S17" i="2" s="1"/>
  <c r="AA9" i="3"/>
  <c r="AA13" i="3" s="1"/>
  <c r="AA10" i="3"/>
  <c r="AB10" i="3" s="1"/>
  <c r="AA11" i="3"/>
  <c r="AB11" i="3" s="1"/>
  <c r="AA12" i="3"/>
  <c r="AB12" i="3" s="1"/>
  <c r="W13" i="3"/>
  <c r="W20" i="3" s="1"/>
  <c r="E20" i="3"/>
  <c r="G20" i="3" s="1"/>
  <c r="Q20" i="3"/>
  <c r="S20" i="3" s="1"/>
  <c r="O29" i="3"/>
  <c r="O37" i="3" s="1"/>
  <c r="P34" i="3"/>
  <c r="P37" i="3" s="1"/>
  <c r="B60" i="3"/>
  <c r="D60" i="3" s="1"/>
  <c r="AA6" i="4"/>
  <c r="AA10" i="4" s="1"/>
  <c r="AB7" i="4"/>
  <c r="W10" i="4"/>
  <c r="W22" i="4" s="1"/>
  <c r="AB11" i="4"/>
  <c r="AA14" i="4"/>
  <c r="D15" i="4"/>
  <c r="F15" i="4" s="1"/>
  <c r="P15" i="4"/>
  <c r="R15" i="4" s="1"/>
  <c r="T15" i="4"/>
  <c r="T22" i="4" s="1"/>
  <c r="AA18" i="4"/>
  <c r="D19" i="4"/>
  <c r="P19" i="4"/>
  <c r="P33" i="4"/>
  <c r="Z6" i="5"/>
  <c r="Z10" i="5" s="1"/>
  <c r="AA10" i="5" s="1"/>
  <c r="AA7" i="5"/>
  <c r="V10" i="5"/>
  <c r="Z12" i="5"/>
  <c r="V15" i="5"/>
  <c r="Y19" i="5"/>
  <c r="AA17" i="5"/>
  <c r="R37" i="5"/>
  <c r="P53" i="5"/>
  <c r="N53" i="5"/>
  <c r="E60" i="7"/>
  <c r="M81" i="7"/>
  <c r="M4" i="2"/>
  <c r="AA6" i="2"/>
  <c r="AB6" i="2" s="1"/>
  <c r="V9" i="2"/>
  <c r="AA10" i="2"/>
  <c r="AB10" i="2" s="1"/>
  <c r="AA14" i="2"/>
  <c r="AA17" i="2" s="1"/>
  <c r="P31" i="2"/>
  <c r="P37" i="2" s="1"/>
  <c r="Q32" i="2"/>
  <c r="Q34" i="2" s="1"/>
  <c r="Q37" i="2" s="1"/>
  <c r="R39" i="2" s="1"/>
  <c r="G57" i="2"/>
  <c r="V4" i="3"/>
  <c r="V14" i="3"/>
  <c r="J57" i="3"/>
  <c r="AB6" i="4"/>
  <c r="V8" i="4"/>
  <c r="X8" i="4" s="1"/>
  <c r="Y8" i="4" s="1"/>
  <c r="AA9" i="4"/>
  <c r="L11" i="4"/>
  <c r="V12" i="4"/>
  <c r="X12" i="4" s="1"/>
  <c r="Y12" i="4" s="1"/>
  <c r="AA13" i="4"/>
  <c r="U15" i="4"/>
  <c r="U22" i="4" s="1"/>
  <c r="V16" i="4"/>
  <c r="Z16" i="4"/>
  <c r="Z19" i="4" s="1"/>
  <c r="AA17" i="4"/>
  <c r="P31" i="4"/>
  <c r="O55" i="4"/>
  <c r="D56" i="4"/>
  <c r="F6" i="5"/>
  <c r="AA6" i="5"/>
  <c r="U8" i="5"/>
  <c r="W8" i="5" s="1"/>
  <c r="X8" i="5" s="1"/>
  <c r="Q11" i="5"/>
  <c r="Z11" i="5"/>
  <c r="Z15" i="5" s="1"/>
  <c r="U13" i="5"/>
  <c r="W13" i="5" s="1"/>
  <c r="X13" i="5" s="1"/>
  <c r="Y13" i="5"/>
  <c r="Y15" i="5" s="1"/>
  <c r="AA15" i="5" s="1"/>
  <c r="Z14" i="5"/>
  <c r="S15" i="5"/>
  <c r="S22" i="5" s="1"/>
  <c r="AA22" i="5" s="1"/>
  <c r="Q16" i="5"/>
  <c r="V19" i="5"/>
  <c r="V22" i="5" s="1"/>
  <c r="Z16" i="5"/>
  <c r="Z19" i="5" s="1"/>
  <c r="AD19" i="5"/>
  <c r="AD22" i="5" s="1"/>
  <c r="AD23" i="5" s="1"/>
  <c r="U18" i="5"/>
  <c r="W18" i="5" s="1"/>
  <c r="X18" i="5" s="1"/>
  <c r="B22" i="5"/>
  <c r="N22" i="5"/>
  <c r="R22" i="5"/>
  <c r="AC22" i="5"/>
  <c r="AC23" i="5" s="1"/>
  <c r="L37" i="5"/>
  <c r="P48" i="5"/>
  <c r="N48" i="5"/>
  <c r="Z9" i="6"/>
  <c r="AA9" i="6" s="1"/>
  <c r="T19" i="6"/>
  <c r="AA16" i="6"/>
  <c r="D38" i="6"/>
  <c r="E60" i="6"/>
  <c r="R60" i="6"/>
  <c r="M81" i="6"/>
  <c r="W22" i="7"/>
  <c r="J60" i="7"/>
  <c r="S60" i="7"/>
  <c r="U60" i="7"/>
  <c r="E6" i="1"/>
  <c r="G11" i="1"/>
  <c r="E16" i="1"/>
  <c r="AA9" i="2"/>
  <c r="AA13" i="2" s="1"/>
  <c r="X14" i="2"/>
  <c r="D57" i="2"/>
  <c r="AA4" i="3"/>
  <c r="AA8" i="3" s="1"/>
  <c r="AA20" i="3" s="1"/>
  <c r="AA14" i="3"/>
  <c r="AA17" i="3" s="1"/>
  <c r="Q32" i="3"/>
  <c r="Q34" i="3" s="1"/>
  <c r="Q37" i="3" s="1"/>
  <c r="R39" i="3" s="1"/>
  <c r="G57" i="3"/>
  <c r="D70" i="3"/>
  <c r="L6" i="4"/>
  <c r="AA16" i="4"/>
  <c r="AA19" i="4" s="1"/>
  <c r="AA22" i="4" s="1"/>
  <c r="J47" i="4"/>
  <c r="Q55" i="4"/>
  <c r="U7" i="5"/>
  <c r="W7" i="5" s="1"/>
  <c r="X7" i="5" s="1"/>
  <c r="F11" i="5"/>
  <c r="W16" i="5"/>
  <c r="AA16" i="5"/>
  <c r="C22" i="5"/>
  <c r="G22" i="5"/>
  <c r="K22" i="5"/>
  <c r="O37" i="5"/>
  <c r="AB15" i="6"/>
  <c r="AB19" i="6"/>
  <c r="Z17" i="6"/>
  <c r="AA17" i="6" s="1"/>
  <c r="AA18" i="6"/>
  <c r="D31" i="6"/>
  <c r="J60" i="6"/>
  <c r="S60" i="6"/>
  <c r="N81" i="6"/>
  <c r="N60" i="7"/>
  <c r="AA4" i="2"/>
  <c r="AA8" i="2" s="1"/>
  <c r="AA20" i="2" s="1"/>
  <c r="Z9" i="3"/>
  <c r="AA11" i="4"/>
  <c r="AA15" i="4" s="1"/>
  <c r="AB15" i="4" s="1"/>
  <c r="H22" i="5"/>
  <c r="L22" i="5"/>
  <c r="P22" i="5"/>
  <c r="D37" i="5"/>
  <c r="Q37" i="5"/>
  <c r="P57" i="5"/>
  <c r="N57" i="5"/>
  <c r="L60" i="5"/>
  <c r="N60" i="5" s="1"/>
  <c r="D60" i="5"/>
  <c r="W22" i="6"/>
  <c r="O81" i="6"/>
  <c r="H81" i="6"/>
  <c r="T19" i="7"/>
  <c r="T60" i="7"/>
  <c r="AD6" i="6"/>
  <c r="AB8" i="6"/>
  <c r="AC9" i="6"/>
  <c r="AC11" i="6"/>
  <c r="AD12" i="6"/>
  <c r="K15" i="6"/>
  <c r="M15" i="6" s="1"/>
  <c r="W15" i="6"/>
  <c r="AC17" i="6"/>
  <c r="AD18" i="6"/>
  <c r="E19" i="6"/>
  <c r="Y19" i="6"/>
  <c r="B38" i="6"/>
  <c r="C43" i="6"/>
  <c r="C46" i="6" s="1"/>
  <c r="L74" i="6"/>
  <c r="H78" i="6"/>
  <c r="C81" i="6"/>
  <c r="E81" i="6" s="1"/>
  <c r="X6" i="7"/>
  <c r="AB6" i="7"/>
  <c r="AB10" i="7" s="1"/>
  <c r="AC7" i="7"/>
  <c r="Z8" i="7"/>
  <c r="AA8" i="7" s="1"/>
  <c r="R10" i="7"/>
  <c r="T10" i="7" s="1"/>
  <c r="V10" i="7"/>
  <c r="M11" i="7"/>
  <c r="X12" i="7"/>
  <c r="Z12" i="7" s="1"/>
  <c r="AA12" i="7" s="1"/>
  <c r="AC13" i="7"/>
  <c r="Z14" i="7"/>
  <c r="AA14" i="7" s="1"/>
  <c r="Y15" i="7"/>
  <c r="Z16" i="7"/>
  <c r="AD16" i="7"/>
  <c r="X18" i="7"/>
  <c r="Z18" i="7" s="1"/>
  <c r="AA18" i="7" s="1"/>
  <c r="K19" i="7"/>
  <c r="B28" i="7"/>
  <c r="B32" i="7" s="1"/>
  <c r="B46" i="7" s="1"/>
  <c r="D37" i="7"/>
  <c r="D38" i="7" s="1"/>
  <c r="D40" i="7"/>
  <c r="D43" i="7" s="1"/>
  <c r="O78" i="7"/>
  <c r="O81" i="7" s="1"/>
  <c r="D81" i="7"/>
  <c r="J10" i="8"/>
  <c r="L10" i="8" s="1"/>
  <c r="AC6" i="8"/>
  <c r="Y13" i="8"/>
  <c r="Z13" i="8" s="1"/>
  <c r="I60" i="8"/>
  <c r="N81" i="8"/>
  <c r="T22" i="9"/>
  <c r="M60" i="9"/>
  <c r="T60" i="9"/>
  <c r="P34" i="5"/>
  <c r="P37" i="5" s="1"/>
  <c r="D57" i="5"/>
  <c r="M6" i="6"/>
  <c r="X7" i="6"/>
  <c r="Z7" i="6" s="1"/>
  <c r="AA7" i="6" s="1"/>
  <c r="AC8" i="6"/>
  <c r="AD9" i="6"/>
  <c r="E10" i="6"/>
  <c r="G10" i="6" s="1"/>
  <c r="Y10" i="6"/>
  <c r="AD11" i="6"/>
  <c r="X13" i="6"/>
  <c r="Z13" i="6" s="1"/>
  <c r="AA13" i="6" s="1"/>
  <c r="AC14" i="6"/>
  <c r="T16" i="6"/>
  <c r="AC16" i="6"/>
  <c r="AC19" i="6" s="1"/>
  <c r="AD17" i="6"/>
  <c r="V19" i="6"/>
  <c r="V22" i="6" s="1"/>
  <c r="D42" i="6"/>
  <c r="D43" i="6" s="1"/>
  <c r="G6" i="7"/>
  <c r="AC6" i="7"/>
  <c r="X9" i="7"/>
  <c r="Z9" i="7" s="1"/>
  <c r="AA9" i="7" s="1"/>
  <c r="K10" i="7"/>
  <c r="M10" i="7" s="1"/>
  <c r="X11" i="7"/>
  <c r="Z11" i="7" s="1"/>
  <c r="AB11" i="7"/>
  <c r="AB15" i="7" s="1"/>
  <c r="AD15" i="7" s="1"/>
  <c r="V15" i="7"/>
  <c r="V22" i="7" s="1"/>
  <c r="AD22" i="7" s="1"/>
  <c r="X17" i="7"/>
  <c r="X19" i="7" s="1"/>
  <c r="C32" i="7"/>
  <c r="C46" i="7" s="1"/>
  <c r="N74" i="7"/>
  <c r="N81" i="7" s="1"/>
  <c r="V10" i="8"/>
  <c r="AA6" i="8"/>
  <c r="G7" i="8"/>
  <c r="E10" i="8"/>
  <c r="G10" i="8" s="1"/>
  <c r="V22" i="8"/>
  <c r="M60" i="8"/>
  <c r="S60" i="9"/>
  <c r="K29" i="11"/>
  <c r="G36" i="11"/>
  <c r="F36" i="11"/>
  <c r="D36" i="11"/>
  <c r="L19" i="11"/>
  <c r="J22" i="11"/>
  <c r="L22" i="11" s="1"/>
  <c r="T22" i="11"/>
  <c r="P32" i="5"/>
  <c r="I60" i="5"/>
  <c r="K60" i="5" s="1"/>
  <c r="X6" i="6"/>
  <c r="AB6" i="6"/>
  <c r="AB10" i="6" s="1"/>
  <c r="AC7" i="6"/>
  <c r="AC10" i="6" s="1"/>
  <c r="R10" i="6"/>
  <c r="T10" i="6" s="1"/>
  <c r="AC13" i="6"/>
  <c r="K19" i="6"/>
  <c r="B28" i="6"/>
  <c r="AC9" i="7"/>
  <c r="AC11" i="7"/>
  <c r="AC15" i="7" s="1"/>
  <c r="AC17" i="7"/>
  <c r="AC19" i="7" s="1"/>
  <c r="E19" i="7"/>
  <c r="Y19" i="7"/>
  <c r="Y22" i="7" s="1"/>
  <c r="C81" i="7"/>
  <c r="E81" i="7" s="1"/>
  <c r="G81" i="7"/>
  <c r="H81" i="7" s="1"/>
  <c r="X10" i="8"/>
  <c r="AJ10" i="8" s="1"/>
  <c r="X22" i="8"/>
  <c r="AI23" i="8" s="1"/>
  <c r="AJ19" i="8"/>
  <c r="D46" i="8"/>
  <c r="R60" i="8"/>
  <c r="M81" i="8"/>
  <c r="Y15" i="9"/>
  <c r="Y22" i="9" s="1"/>
  <c r="X19" i="9"/>
  <c r="J22" i="9"/>
  <c r="L22" i="9" s="1"/>
  <c r="D46" i="9"/>
  <c r="E60" i="9"/>
  <c r="L81" i="9"/>
  <c r="Q19" i="11"/>
  <c r="X11" i="6"/>
  <c r="X15" i="6" s="1"/>
  <c r="L78" i="6"/>
  <c r="X7" i="7"/>
  <c r="Z7" i="7" s="1"/>
  <c r="AA7" i="7" s="1"/>
  <c r="X13" i="7"/>
  <c r="Z13" i="7" s="1"/>
  <c r="AA13" i="7" s="1"/>
  <c r="T16" i="7"/>
  <c r="J81" i="7"/>
  <c r="L81" i="7" s="1"/>
  <c r="S7" i="8"/>
  <c r="Q10" i="8"/>
  <c r="S10" i="8" s="1"/>
  <c r="E60" i="8"/>
  <c r="Q60" i="8"/>
  <c r="T60" i="8"/>
  <c r="H81" i="8"/>
  <c r="L81" i="8"/>
  <c r="G19" i="9"/>
  <c r="Q19" i="9"/>
  <c r="I60" i="9"/>
  <c r="R60" i="9"/>
  <c r="Q60" i="9"/>
  <c r="H81" i="9"/>
  <c r="M81" i="9"/>
  <c r="J30" i="11"/>
  <c r="G31" i="11"/>
  <c r="F31" i="11"/>
  <c r="W7" i="8"/>
  <c r="Y7" i="8" s="1"/>
  <c r="Z7" i="8" s="1"/>
  <c r="AA7" i="8"/>
  <c r="AB8" i="8"/>
  <c r="AB10" i="8" s="1"/>
  <c r="AC9" i="8"/>
  <c r="U10" i="8"/>
  <c r="W12" i="8"/>
  <c r="Y12" i="8" s="1"/>
  <c r="Z12" i="8" s="1"/>
  <c r="AA12" i="8"/>
  <c r="AB13" i="8"/>
  <c r="AC14" i="8"/>
  <c r="E15" i="8"/>
  <c r="G15" i="8" s="1"/>
  <c r="Q15" i="8"/>
  <c r="S15" i="8" s="1"/>
  <c r="U15" i="8"/>
  <c r="W16" i="8"/>
  <c r="AA16" i="8"/>
  <c r="AA19" i="8" s="1"/>
  <c r="AB17" i="8"/>
  <c r="AC18" i="8"/>
  <c r="E19" i="8"/>
  <c r="Q19" i="8"/>
  <c r="U19" i="8"/>
  <c r="S52" i="8"/>
  <c r="S53" i="8" s="1"/>
  <c r="S60" i="8" s="1"/>
  <c r="K74" i="8"/>
  <c r="H78" i="8"/>
  <c r="C81" i="8"/>
  <c r="E81" i="8" s="1"/>
  <c r="Z11" i="9"/>
  <c r="Z12" i="9"/>
  <c r="Z13" i="9"/>
  <c r="Z14" i="9"/>
  <c r="E15" i="9"/>
  <c r="G15" i="9" s="1"/>
  <c r="S65" i="9"/>
  <c r="S69" i="9" s="1"/>
  <c r="S81" i="9" s="1"/>
  <c r="H74" i="9"/>
  <c r="K78" i="9"/>
  <c r="X6" i="11"/>
  <c r="X10" i="11" s="1"/>
  <c r="O10" i="11"/>
  <c r="Q10" i="11" s="1"/>
  <c r="K36" i="11"/>
  <c r="Z16" i="11"/>
  <c r="F42" i="11"/>
  <c r="D42" i="11"/>
  <c r="Z17" i="11"/>
  <c r="Z18" i="11"/>
  <c r="G30" i="11"/>
  <c r="K30" i="11" s="1"/>
  <c r="J36" i="11"/>
  <c r="J42" i="11"/>
  <c r="M94" i="11"/>
  <c r="X6" i="13"/>
  <c r="R10" i="13"/>
  <c r="AM10" i="13"/>
  <c r="AQ6" i="13"/>
  <c r="I22" i="13"/>
  <c r="AS19" i="13"/>
  <c r="W6" i="8"/>
  <c r="AC8" i="8"/>
  <c r="W11" i="8"/>
  <c r="W15" i="8" s="1"/>
  <c r="AK15" i="8" s="1"/>
  <c r="AA11" i="8"/>
  <c r="AA15" i="8" s="1"/>
  <c r="AC13" i="8"/>
  <c r="AB16" i="8"/>
  <c r="AB19" i="8" s="1"/>
  <c r="AC17" i="8"/>
  <c r="J19" i="8"/>
  <c r="S10" i="9"/>
  <c r="S22" i="9" s="1"/>
  <c r="L11" i="9"/>
  <c r="V15" i="9"/>
  <c r="V22" i="9" s="1"/>
  <c r="Z16" i="9"/>
  <c r="G6" i="11"/>
  <c r="Y6" i="11"/>
  <c r="Y7" i="11"/>
  <c r="Y8" i="11"/>
  <c r="Y9" i="11"/>
  <c r="X11" i="11"/>
  <c r="X15" i="11" s="1"/>
  <c r="O15" i="11"/>
  <c r="Q15" i="11" s="1"/>
  <c r="S15" i="11"/>
  <c r="L16" i="11"/>
  <c r="B44" i="11"/>
  <c r="V19" i="11"/>
  <c r="E22" i="11"/>
  <c r="G22" i="11" s="1"/>
  <c r="B37" i="11"/>
  <c r="G42" i="11"/>
  <c r="K42" i="11" s="1"/>
  <c r="C87" i="11"/>
  <c r="C94" i="11" s="1"/>
  <c r="Q85" i="11"/>
  <c r="S85" i="11" s="1"/>
  <c r="E85" i="11"/>
  <c r="E87" i="11" s="1"/>
  <c r="E94" i="11" s="1"/>
  <c r="S88" i="11"/>
  <c r="E10" i="13"/>
  <c r="E22" i="13" s="1"/>
  <c r="M10" i="13"/>
  <c r="T10" i="13"/>
  <c r="AE10" i="13"/>
  <c r="V7" i="13"/>
  <c r="AS10" i="13"/>
  <c r="J22" i="13"/>
  <c r="AJ22" i="13"/>
  <c r="W9" i="8"/>
  <c r="Y9" i="8" s="1"/>
  <c r="Z9" i="8" s="1"/>
  <c r="AB11" i="8"/>
  <c r="AB15" i="8" s="1"/>
  <c r="W14" i="8"/>
  <c r="Y14" i="8" s="1"/>
  <c r="Z14" i="8" s="1"/>
  <c r="W18" i="8"/>
  <c r="Y18" i="8" s="1"/>
  <c r="Z18" i="8" s="1"/>
  <c r="AI22" i="8"/>
  <c r="AJ22" i="8" s="1"/>
  <c r="X11" i="9"/>
  <c r="X15" i="9" s="1"/>
  <c r="Z15" i="9" s="1"/>
  <c r="O15" i="9"/>
  <c r="Q15" i="9" s="1"/>
  <c r="F29" i="11"/>
  <c r="J29" i="11" s="1"/>
  <c r="C33" i="11"/>
  <c r="Z6" i="11"/>
  <c r="Z7" i="11"/>
  <c r="Z9" i="11"/>
  <c r="G11" i="11"/>
  <c r="Y11" i="11"/>
  <c r="Y15" i="11" s="1"/>
  <c r="Y12" i="11"/>
  <c r="Y13" i="11"/>
  <c r="Y14" i="11"/>
  <c r="X16" i="11"/>
  <c r="X19" i="11" s="1"/>
  <c r="S19" i="11"/>
  <c r="C41" i="11"/>
  <c r="V6" i="13"/>
  <c r="V10" i="13" s="1"/>
  <c r="AP10" i="13"/>
  <c r="AP22" i="13" s="1"/>
  <c r="T11" i="13"/>
  <c r="W12" i="13"/>
  <c r="W13" i="13"/>
  <c r="W14" i="13"/>
  <c r="M22" i="13"/>
  <c r="H22" i="13"/>
  <c r="Y11" i="8"/>
  <c r="L6" i="11"/>
  <c r="B31" i="11"/>
  <c r="V10" i="11"/>
  <c r="C39" i="11"/>
  <c r="G35" i="11"/>
  <c r="K35" i="11" s="1"/>
  <c r="F35" i="11"/>
  <c r="J35" i="11" s="1"/>
  <c r="Z11" i="11"/>
  <c r="Z12" i="11"/>
  <c r="F37" i="11"/>
  <c r="D37" i="11"/>
  <c r="D39" i="11" s="1"/>
  <c r="D38" i="11"/>
  <c r="Z14" i="11"/>
  <c r="Y17" i="11"/>
  <c r="Y19" i="11" s="1"/>
  <c r="Y18" i="11"/>
  <c r="D29" i="11"/>
  <c r="D30" i="11"/>
  <c r="F43" i="11"/>
  <c r="J43" i="11" s="1"/>
  <c r="D64" i="11"/>
  <c r="B69" i="11"/>
  <c r="B72" i="11" s="1"/>
  <c r="D67" i="11"/>
  <c r="D69" i="11" s="1"/>
  <c r="D72" i="11" s="1"/>
  <c r="S83" i="11"/>
  <c r="I94" i="11"/>
  <c r="R91" i="11"/>
  <c r="R94" i="11" s="1"/>
  <c r="AQ7" i="13"/>
  <c r="AR7" i="13" s="1"/>
  <c r="AT7" i="13" s="1"/>
  <c r="T9" i="13"/>
  <c r="AR9" i="13"/>
  <c r="AT9" i="13" s="1"/>
  <c r="X12" i="13"/>
  <c r="X13" i="13"/>
  <c r="X14" i="13"/>
  <c r="T19" i="13"/>
  <c r="W16" i="13"/>
  <c r="W17" i="13"/>
  <c r="W18" i="13"/>
  <c r="D22" i="13"/>
  <c r="J22" i="16"/>
  <c r="AI22" i="13"/>
  <c r="F22" i="13"/>
  <c r="N22" i="13"/>
  <c r="P6" i="15"/>
  <c r="P10" i="15" s="1"/>
  <c r="N10" i="15"/>
  <c r="T66" i="15"/>
  <c r="U66" i="15"/>
  <c r="E110" i="15"/>
  <c r="I110" i="15"/>
  <c r="M110" i="15"/>
  <c r="AP10" i="16"/>
  <c r="W7" i="16"/>
  <c r="AD32" i="16"/>
  <c r="AM11" i="16"/>
  <c r="AM15" i="16" s="1"/>
  <c r="AB15" i="16"/>
  <c r="Q17" i="17"/>
  <c r="G40" i="17"/>
  <c r="I37" i="17"/>
  <c r="I40" i="17" s="1"/>
  <c r="Q90" i="11"/>
  <c r="Q91" i="11" s="1"/>
  <c r="K91" i="11"/>
  <c r="K94" i="11" s="1"/>
  <c r="W6" i="13"/>
  <c r="W7" i="13"/>
  <c r="W8" i="13"/>
  <c r="AQ11" i="13"/>
  <c r="R22" i="13"/>
  <c r="V16" i="13"/>
  <c r="V19" i="13" s="1"/>
  <c r="AD22" i="13"/>
  <c r="AD24" i="13" s="1"/>
  <c r="AM22" i="13"/>
  <c r="AR16" i="13"/>
  <c r="AR19" i="13" s="1"/>
  <c r="C22" i="13"/>
  <c r="G22" i="13"/>
  <c r="K22" i="13"/>
  <c r="AB19" i="13"/>
  <c r="AB22" i="13" s="1"/>
  <c r="AB24" i="13" s="1"/>
  <c r="F22" i="15"/>
  <c r="M22" i="15"/>
  <c r="D44" i="15"/>
  <c r="H44" i="15"/>
  <c r="P54" i="15"/>
  <c r="P66" i="15" s="1"/>
  <c r="P59" i="15"/>
  <c r="N59" i="15"/>
  <c r="N66" i="15" s="1"/>
  <c r="Q66" i="15" s="1"/>
  <c r="V74" i="15"/>
  <c r="V82" i="15"/>
  <c r="D88" i="15"/>
  <c r="H88" i="15"/>
  <c r="L88" i="15"/>
  <c r="D98" i="15"/>
  <c r="H98" i="15"/>
  <c r="H110" i="15" s="1"/>
  <c r="L98" i="15"/>
  <c r="L110" i="15" s="1"/>
  <c r="F103" i="15"/>
  <c r="J103" i="15"/>
  <c r="F107" i="15"/>
  <c r="F110" i="15" s="1"/>
  <c r="J107" i="15"/>
  <c r="J110" i="15" s="1"/>
  <c r="N104" i="15"/>
  <c r="D107" i="15"/>
  <c r="D110" i="15" s="1"/>
  <c r="X7" i="16"/>
  <c r="V9" i="16"/>
  <c r="AN9" i="16"/>
  <c r="Q15" i="16"/>
  <c r="T12" i="16"/>
  <c r="AQ12" i="16"/>
  <c r="V13" i="16"/>
  <c r="T14" i="16"/>
  <c r="F22" i="16"/>
  <c r="N19" i="16"/>
  <c r="T16" i="16"/>
  <c r="D22" i="16"/>
  <c r="AI22" i="16"/>
  <c r="Q86" i="11"/>
  <c r="S86" i="11" s="1"/>
  <c r="G87" i="11"/>
  <c r="G94" i="11" s="1"/>
  <c r="V11" i="13"/>
  <c r="V15" i="13" s="1"/>
  <c r="AN15" i="13"/>
  <c r="AN22" i="13" s="1"/>
  <c r="AE22" i="13"/>
  <c r="Q19" i="13"/>
  <c r="Q22" i="13" s="1"/>
  <c r="AC22" i="13"/>
  <c r="AK22" i="13"/>
  <c r="Q31" i="13"/>
  <c r="S27" i="13"/>
  <c r="S31" i="13" s="1"/>
  <c r="J43" i="13"/>
  <c r="P22" i="15"/>
  <c r="P81" i="15"/>
  <c r="P88" i="15" s="1"/>
  <c r="V88" i="15" s="1"/>
  <c r="Q88" i="15"/>
  <c r="C110" i="15"/>
  <c r="G110" i="15"/>
  <c r="K110" i="15"/>
  <c r="O110" i="15"/>
  <c r="T6" i="16"/>
  <c r="X6" i="16" s="1"/>
  <c r="AD27" i="16"/>
  <c r="AB10" i="16"/>
  <c r="W9" i="16"/>
  <c r="AN15" i="16"/>
  <c r="AO11" i="16"/>
  <c r="AO15" i="16" s="1"/>
  <c r="X12" i="16"/>
  <c r="X14" i="16"/>
  <c r="AQ14" i="16"/>
  <c r="AK19" i="16"/>
  <c r="AP16" i="16"/>
  <c r="D12" i="18"/>
  <c r="F12" i="18" s="1"/>
  <c r="F8" i="18"/>
  <c r="G8" i="18" s="1"/>
  <c r="K11" i="17"/>
  <c r="S11" i="13"/>
  <c r="AH22" i="13"/>
  <c r="AH24" i="13" s="1"/>
  <c r="AL22" i="13"/>
  <c r="G36" i="13"/>
  <c r="G43" i="13" s="1"/>
  <c r="I32" i="13"/>
  <c r="I36" i="13" s="1"/>
  <c r="I43" i="13" s="1"/>
  <c r="T36" i="13"/>
  <c r="T43" i="13" s="1"/>
  <c r="Q34" i="13"/>
  <c r="S34" i="13" s="1"/>
  <c r="M34" i="13"/>
  <c r="M36" i="13" s="1"/>
  <c r="M40" i="13"/>
  <c r="F43" i="13"/>
  <c r="P15" i="15"/>
  <c r="N15" i="15"/>
  <c r="N22" i="15" s="1"/>
  <c r="P32" i="15"/>
  <c r="F66" i="15"/>
  <c r="M66" i="15"/>
  <c r="V72" i="15"/>
  <c r="V84" i="15"/>
  <c r="N94" i="15"/>
  <c r="Q10" i="16"/>
  <c r="Q22" i="16" s="1"/>
  <c r="AJ10" i="16"/>
  <c r="T8" i="16"/>
  <c r="N10" i="16"/>
  <c r="AG15" i="16"/>
  <c r="AG22" i="16" s="1"/>
  <c r="V12" i="16"/>
  <c r="AQ13" i="16"/>
  <c r="W18" i="16"/>
  <c r="E32" i="16"/>
  <c r="E36" i="16" s="1"/>
  <c r="E43" i="16" s="1"/>
  <c r="C36" i="16"/>
  <c r="C43" i="16" s="1"/>
  <c r="C45" i="16" s="1"/>
  <c r="C48" i="16" s="1"/>
  <c r="R43" i="16"/>
  <c r="AN8" i="17"/>
  <c r="K13" i="17"/>
  <c r="Q32" i="13"/>
  <c r="S32" i="13" s="1"/>
  <c r="S36" i="13" s="1"/>
  <c r="Q35" i="13"/>
  <c r="S35" i="13" s="1"/>
  <c r="C36" i="13"/>
  <c r="K36" i="13"/>
  <c r="Q39" i="13"/>
  <c r="S39" i="13" s="1"/>
  <c r="S40" i="13" s="1"/>
  <c r="S43" i="13" s="1"/>
  <c r="C40" i="13"/>
  <c r="K40" i="13"/>
  <c r="K43" i="13" s="1"/>
  <c r="K45" i="13" s="1"/>
  <c r="O94" i="15"/>
  <c r="O98" i="15" s="1"/>
  <c r="V6" i="16"/>
  <c r="V10" i="16" s="1"/>
  <c r="AN6" i="16"/>
  <c r="AM7" i="16"/>
  <c r="AM10" i="16" s="1"/>
  <c r="V11" i="16"/>
  <c r="V14" i="16"/>
  <c r="AF22" i="16"/>
  <c r="I22" i="16"/>
  <c r="K22" i="16"/>
  <c r="T43" i="16"/>
  <c r="AM7" i="17"/>
  <c r="AL11" i="17"/>
  <c r="AB11" i="17"/>
  <c r="J22" i="17"/>
  <c r="AB18" i="17"/>
  <c r="AL18" i="17"/>
  <c r="AM18" i="17" s="1"/>
  <c r="R34" i="18"/>
  <c r="R35" i="18" s="1"/>
  <c r="R42" i="18" s="1"/>
  <c r="AA14" i="17"/>
  <c r="N37" i="15"/>
  <c r="N44" i="15" s="1"/>
  <c r="P38" i="15"/>
  <c r="P41" i="15" s="1"/>
  <c r="P44" i="15" s="1"/>
  <c r="N99" i="15"/>
  <c r="AD6" i="16"/>
  <c r="AD10" i="16" s="1"/>
  <c r="AN7" i="16"/>
  <c r="AO7" i="16" s="1"/>
  <c r="AQ7" i="16" s="1"/>
  <c r="AM8" i="16"/>
  <c r="AO8" i="16" s="1"/>
  <c r="AQ8" i="16" s="1"/>
  <c r="AK10" i="16"/>
  <c r="AD11" i="16"/>
  <c r="AD15" i="16" s="1"/>
  <c r="AP11" i="16"/>
  <c r="V19" i="16"/>
  <c r="AC22" i="16"/>
  <c r="G22" i="16"/>
  <c r="L22" i="16"/>
  <c r="Q32" i="16"/>
  <c r="Q36" i="16" s="1"/>
  <c r="M32" i="16"/>
  <c r="M36" i="16" s="1"/>
  <c r="M43" i="16" s="1"/>
  <c r="AJ36" i="16"/>
  <c r="AI40" i="16"/>
  <c r="AJ37" i="16"/>
  <c r="AJ40" i="16" s="1"/>
  <c r="AJ43" i="16" s="1"/>
  <c r="AC10" i="17"/>
  <c r="AI10" i="17"/>
  <c r="AN6" i="17"/>
  <c r="AK12" i="17"/>
  <c r="Z22" i="17"/>
  <c r="AK16" i="17"/>
  <c r="AK19" i="17" s="1"/>
  <c r="E38" i="13"/>
  <c r="E40" i="13" s="1"/>
  <c r="E43" i="13" s="1"/>
  <c r="AD30" i="16"/>
  <c r="AM9" i="16"/>
  <c r="T11" i="16"/>
  <c r="AE15" i="16"/>
  <c r="AE22" i="16" s="1"/>
  <c r="E19" i="16"/>
  <c r="E22" i="16" s="1"/>
  <c r="M19" i="16"/>
  <c r="M22" i="16" s="1"/>
  <c r="R19" i="16"/>
  <c r="R22" i="16" s="1"/>
  <c r="AD19" i="16"/>
  <c r="AD22" i="16" s="1"/>
  <c r="AJ19" i="16"/>
  <c r="AJ22" i="16" s="1"/>
  <c r="T17" i="16"/>
  <c r="AQ17" i="16"/>
  <c r="X18" i="16"/>
  <c r="C22" i="16"/>
  <c r="H22" i="16"/>
  <c r="S32" i="16"/>
  <c r="S36" i="16" s="1"/>
  <c r="AP36" i="16"/>
  <c r="S33" i="16"/>
  <c r="K36" i="16"/>
  <c r="K43" i="16" s="1"/>
  <c r="K45" i="16" s="1"/>
  <c r="AI36" i="16"/>
  <c r="S37" i="16"/>
  <c r="AP43" i="16"/>
  <c r="AP44" i="16" s="1"/>
  <c r="AG43" i="16"/>
  <c r="P10" i="17"/>
  <c r="AM9" i="17"/>
  <c r="AL13" i="17"/>
  <c r="AM13" i="17" s="1"/>
  <c r="AB13" i="17"/>
  <c r="AA19" i="17"/>
  <c r="AL17" i="17"/>
  <c r="AM17" i="17" s="1"/>
  <c r="AO17" i="17" s="1"/>
  <c r="AB17" i="17"/>
  <c r="AM16" i="16"/>
  <c r="AM19" i="16" s="1"/>
  <c r="AB19" i="16"/>
  <c r="AB22" i="16" s="1"/>
  <c r="AH43" i="16"/>
  <c r="H10" i="17"/>
  <c r="L10" i="17"/>
  <c r="AK6" i="17"/>
  <c r="AK10" i="17" s="1"/>
  <c r="M7" i="17"/>
  <c r="Q7" i="17"/>
  <c r="M9" i="17"/>
  <c r="M10" i="17" s="1"/>
  <c r="Q9" i="17"/>
  <c r="S9" i="17" s="1"/>
  <c r="U9" i="17" s="1"/>
  <c r="B9" i="16" s="1"/>
  <c r="G15" i="17"/>
  <c r="I11" i="17"/>
  <c r="R11" i="17"/>
  <c r="AM12" i="17"/>
  <c r="AO12" i="17" s="1"/>
  <c r="I13" i="17"/>
  <c r="R13" i="17"/>
  <c r="T14" i="17"/>
  <c r="L15" i="17"/>
  <c r="E22" i="17"/>
  <c r="I19" i="17"/>
  <c r="AM16" i="17"/>
  <c r="AM19" i="17" s="1"/>
  <c r="AN16" i="17"/>
  <c r="I17" i="17"/>
  <c r="R17" i="17"/>
  <c r="R19" i="17" s="1"/>
  <c r="E38" i="17"/>
  <c r="E40" i="17" s="1"/>
  <c r="E43" i="17" s="1"/>
  <c r="C40" i="17"/>
  <c r="C43" i="17" s="1"/>
  <c r="G3" i="18"/>
  <c r="E19" i="18"/>
  <c r="AN16" i="16"/>
  <c r="Q27" i="16"/>
  <c r="G31" i="16"/>
  <c r="Q39" i="16"/>
  <c r="S39" i="16" s="1"/>
  <c r="AD39" i="16"/>
  <c r="G40" i="16"/>
  <c r="AM43" i="16"/>
  <c r="AI63" i="16"/>
  <c r="AM6" i="17"/>
  <c r="AL10" i="17"/>
  <c r="I7" i="17"/>
  <c r="R7" i="17"/>
  <c r="R10" i="17" s="1"/>
  <c r="AM8" i="17"/>
  <c r="I9" i="17"/>
  <c r="I10" i="17" s="1"/>
  <c r="R9" i="17"/>
  <c r="G10" i="17"/>
  <c r="AI15" i="17"/>
  <c r="AI22" i="17" s="1"/>
  <c r="T12" i="17"/>
  <c r="AN13" i="17"/>
  <c r="F22" i="17"/>
  <c r="T16" i="17"/>
  <c r="B22" i="17"/>
  <c r="N19" i="17"/>
  <c r="N22" i="17" s="1"/>
  <c r="I34" i="17"/>
  <c r="G36" i="17"/>
  <c r="F11" i="18"/>
  <c r="G11" i="18" s="1"/>
  <c r="K14" i="17"/>
  <c r="D43" i="16"/>
  <c r="H43" i="16"/>
  <c r="L43" i="16"/>
  <c r="AN43" i="16"/>
  <c r="AP63" i="16"/>
  <c r="AM63" i="16"/>
  <c r="T6" i="17"/>
  <c r="AO7" i="17"/>
  <c r="T8" i="17"/>
  <c r="AO9" i="17"/>
  <c r="P15" i="17"/>
  <c r="AK15" i="17"/>
  <c r="AE15" i="17"/>
  <c r="AE22" i="17" s="1"/>
  <c r="AC22" i="17"/>
  <c r="S17" i="17"/>
  <c r="U17" i="17" s="1"/>
  <c r="B17" i="16" s="1"/>
  <c r="C22" i="17"/>
  <c r="AD22" i="17"/>
  <c r="Q29" i="17"/>
  <c r="S29" i="17" s="1"/>
  <c r="M29" i="17"/>
  <c r="C31" i="17"/>
  <c r="Q35" i="18"/>
  <c r="D42" i="18"/>
  <c r="F35" i="18"/>
  <c r="V62" i="18"/>
  <c r="X59" i="18"/>
  <c r="F64" i="18"/>
  <c r="O21" i="20"/>
  <c r="AN11" i="17"/>
  <c r="G19" i="17"/>
  <c r="G22" i="17" s="1"/>
  <c r="K19" i="17"/>
  <c r="P19" i="17"/>
  <c r="P22" i="17" s="1"/>
  <c r="AF19" i="17"/>
  <c r="AF22" i="17" s="1"/>
  <c r="AN18" i="17"/>
  <c r="AO18" i="17" s="1"/>
  <c r="G31" i="17"/>
  <c r="L43" i="17"/>
  <c r="D16" i="18"/>
  <c r="F13" i="18"/>
  <c r="G13" i="18" s="1"/>
  <c r="H13" i="18" s="1"/>
  <c r="Q30" i="18"/>
  <c r="P30" i="18"/>
  <c r="Q39" i="18"/>
  <c r="Q42" i="18" s="1"/>
  <c r="Z21" i="21"/>
  <c r="AA18" i="21"/>
  <c r="H3" i="18"/>
  <c r="H5" i="18"/>
  <c r="H9" i="18"/>
  <c r="H19" i="17"/>
  <c r="H22" i="17" s="1"/>
  <c r="L19" i="17"/>
  <c r="L22" i="17" s="1"/>
  <c r="AB19" i="17"/>
  <c r="AH22" i="17"/>
  <c r="M18" i="17"/>
  <c r="M19" i="17" s="1"/>
  <c r="Q18" i="17"/>
  <c r="Q27" i="17"/>
  <c r="S27" i="17" s="1"/>
  <c r="S31" i="17" s="1"/>
  <c r="K31" i="17"/>
  <c r="M27" i="17"/>
  <c r="M31" i="17" s="1"/>
  <c r="I36" i="17"/>
  <c r="S32" i="17"/>
  <c r="S37" i="17"/>
  <c r="Q38" i="17"/>
  <c r="S38" i="17" s="1"/>
  <c r="M38" i="17"/>
  <c r="M40" i="17" s="1"/>
  <c r="M43" i="17" s="1"/>
  <c r="P35" i="18"/>
  <c r="E42" i="18"/>
  <c r="F39" i="18"/>
  <c r="V42" i="18"/>
  <c r="X42" i="18" s="1"/>
  <c r="X39" i="18"/>
  <c r="T9" i="20"/>
  <c r="Z9" i="20"/>
  <c r="J21" i="20"/>
  <c r="R43" i="20"/>
  <c r="M21" i="21"/>
  <c r="AA21" i="21" s="1"/>
  <c r="AA14" i="21"/>
  <c r="Q28" i="17"/>
  <c r="S28" i="17" s="1"/>
  <c r="Q30" i="17"/>
  <c r="S30" i="17" s="1"/>
  <c r="Q34" i="17"/>
  <c r="Q36" i="17" s="1"/>
  <c r="Q37" i="17"/>
  <c r="Q39" i="17"/>
  <c r="S39" i="17" s="1"/>
  <c r="P39" i="18"/>
  <c r="P42" i="18" s="1"/>
  <c r="P44" i="18" s="1"/>
  <c r="F57" i="18"/>
  <c r="Z44" i="19"/>
  <c r="R5" i="20"/>
  <c r="I9" i="20"/>
  <c r="E18" i="20"/>
  <c r="E21" i="20" s="1"/>
  <c r="P18" i="20"/>
  <c r="P21" i="20" s="1"/>
  <c r="W23" i="20"/>
  <c r="M34" i="20"/>
  <c r="O30" i="20"/>
  <c r="O34" i="20" s="1"/>
  <c r="G39" i="20"/>
  <c r="M39" i="20"/>
  <c r="O35" i="20"/>
  <c r="O39" i="20" s="1"/>
  <c r="K43" i="20"/>
  <c r="K46" i="20" s="1"/>
  <c r="M40" i="20"/>
  <c r="C46" i="20"/>
  <c r="H46" i="20"/>
  <c r="P9" i="21"/>
  <c r="P21" i="21" s="1"/>
  <c r="O21" i="21"/>
  <c r="K40" i="17"/>
  <c r="K43" i="17" s="1"/>
  <c r="I42" i="18"/>
  <c r="M42" i="18"/>
  <c r="V53" i="18"/>
  <c r="X53" i="18" s="1"/>
  <c r="X50" i="18"/>
  <c r="V88" i="18"/>
  <c r="X88" i="18" s="1"/>
  <c r="X90" i="18" s="1"/>
  <c r="X85" i="18"/>
  <c r="Z48" i="19"/>
  <c r="AB9" i="20"/>
  <c r="AB21" i="20" s="1"/>
  <c r="X7" i="20"/>
  <c r="T7" i="20"/>
  <c r="R8" i="20"/>
  <c r="Q14" i="20"/>
  <c r="Q21" i="20" s="1"/>
  <c r="I21" i="20"/>
  <c r="AD18" i="20"/>
  <c r="AD21" i="20" s="1"/>
  <c r="J39" i="20"/>
  <c r="J46" i="20" s="1"/>
  <c r="R46" i="20" s="1"/>
  <c r="R38" i="20"/>
  <c r="D46" i="20"/>
  <c r="Q46" i="20"/>
  <c r="I14" i="21"/>
  <c r="I21" i="21" s="1"/>
  <c r="Q21" i="21"/>
  <c r="K21" i="21"/>
  <c r="W21" i="21"/>
  <c r="H21" i="22"/>
  <c r="I27" i="17"/>
  <c r="I31" i="17" s="1"/>
  <c r="J42" i="18"/>
  <c r="N42" i="18"/>
  <c r="Z49" i="19"/>
  <c r="Z55" i="19"/>
  <c r="Q9" i="20"/>
  <c r="O9" i="20"/>
  <c r="X10" i="20"/>
  <c r="T10" i="20"/>
  <c r="T14" i="20" s="1"/>
  <c r="T21" i="20" s="1"/>
  <c r="R11" i="20"/>
  <c r="R14" i="20" s="1"/>
  <c r="R16" i="20"/>
  <c r="G46" i="20"/>
  <c r="L46" i="20"/>
  <c r="R8" i="21"/>
  <c r="R9" i="21" s="1"/>
  <c r="AA9" i="21"/>
  <c r="R12" i="21"/>
  <c r="G21" i="21"/>
  <c r="K21" i="22"/>
  <c r="O21" i="22"/>
  <c r="G21" i="22"/>
  <c r="X6" i="20"/>
  <c r="R15" i="20"/>
  <c r="R18" i="20" s="1"/>
  <c r="M18" i="20"/>
  <c r="K21" i="20"/>
  <c r="R10" i="21"/>
  <c r="AA11" i="21"/>
  <c r="AA15" i="21"/>
  <c r="R16" i="21"/>
  <c r="R18" i="21" s="1"/>
  <c r="Z15" i="7" l="1"/>
  <c r="AA15" i="7" s="1"/>
  <c r="AA11" i="7"/>
  <c r="AD19" i="7"/>
  <c r="P9" i="16"/>
  <c r="S9" i="16" s="1"/>
  <c r="U9" i="16" s="1"/>
  <c r="B9" i="13" s="1"/>
  <c r="P9" i="13" s="1"/>
  <c r="S9" i="13" s="1"/>
  <c r="H9" i="1"/>
  <c r="I9" i="1" s="1"/>
  <c r="K9" i="1" s="1"/>
  <c r="Z22" i="9"/>
  <c r="AB22" i="4"/>
  <c r="M21" i="20"/>
  <c r="X21" i="20" s="1"/>
  <c r="X18" i="20"/>
  <c r="R14" i="21"/>
  <c r="R21" i="21" s="1"/>
  <c r="Q40" i="17"/>
  <c r="Z21" i="20"/>
  <c r="S34" i="17"/>
  <c r="AN15" i="17"/>
  <c r="V65" i="18"/>
  <c r="X65" i="18" s="1"/>
  <c r="X62" i="18"/>
  <c r="AO13" i="17"/>
  <c r="G43" i="16"/>
  <c r="G45" i="16" s="1"/>
  <c r="G48" i="16" s="1"/>
  <c r="Q31" i="16"/>
  <c r="S27" i="16"/>
  <c r="S31" i="16" s="1"/>
  <c r="AM22" i="16"/>
  <c r="S40" i="16"/>
  <c r="V15" i="16"/>
  <c r="N22" i="16"/>
  <c r="AO9" i="16"/>
  <c r="AQ9" i="16" s="1"/>
  <c r="N107" i="15"/>
  <c r="P104" i="15"/>
  <c r="P107" i="15" s="1"/>
  <c r="Q40" i="13"/>
  <c r="AR11" i="13"/>
  <c r="AQ15" i="13"/>
  <c r="H14" i="18"/>
  <c r="V17" i="17"/>
  <c r="U9" i="13"/>
  <c r="B9" i="11" s="1"/>
  <c r="R9" i="11" s="1"/>
  <c r="U9" i="11" s="1"/>
  <c r="W9" i="13"/>
  <c r="G39" i="11"/>
  <c r="F39" i="11"/>
  <c r="K31" i="11"/>
  <c r="J31" i="11"/>
  <c r="Y15" i="8"/>
  <c r="Z15" i="8" s="1"/>
  <c r="Z11" i="8"/>
  <c r="S22" i="11"/>
  <c r="W10" i="8"/>
  <c r="AK10" i="8" s="1"/>
  <c r="AS22" i="13"/>
  <c r="X9" i="13"/>
  <c r="E22" i="8"/>
  <c r="G22" i="8" s="1"/>
  <c r="G19" i="8"/>
  <c r="W19" i="8"/>
  <c r="Y16" i="8"/>
  <c r="D31" i="11"/>
  <c r="O22" i="11"/>
  <c r="Q22" i="11" s="1"/>
  <c r="E22" i="7"/>
  <c r="G22" i="7" s="1"/>
  <c r="G19" i="7"/>
  <c r="B32" i="6"/>
  <c r="B46" i="6" s="1"/>
  <c r="D28" i="6"/>
  <c r="D32" i="6" s="1"/>
  <c r="D46" i="6" s="1"/>
  <c r="B33" i="11"/>
  <c r="M19" i="7"/>
  <c r="K22" i="7"/>
  <c r="M22" i="7" s="1"/>
  <c r="Y22" i="6"/>
  <c r="AD22" i="6" s="1"/>
  <c r="R22" i="6"/>
  <c r="T22" i="6" s="1"/>
  <c r="Z22" i="5"/>
  <c r="Z22" i="4"/>
  <c r="AB19" i="4"/>
  <c r="P60" i="5"/>
  <c r="Q60" i="5" s="1"/>
  <c r="P36" i="4"/>
  <c r="X10" i="4"/>
  <c r="Y10" i="4" s="1"/>
  <c r="V10" i="4"/>
  <c r="W15" i="5"/>
  <c r="X15" i="5" s="1"/>
  <c r="Y4" i="2"/>
  <c r="X8" i="2"/>
  <c r="S36" i="17"/>
  <c r="V18" i="17"/>
  <c r="H15" i="18"/>
  <c r="Q19" i="17"/>
  <c r="Z22" i="21"/>
  <c r="U6" i="17"/>
  <c r="V6" i="17"/>
  <c r="T10" i="17"/>
  <c r="U12" i="17"/>
  <c r="B12" i="16" s="1"/>
  <c r="V12" i="17"/>
  <c r="AO16" i="16"/>
  <c r="AO19" i="16" s="1"/>
  <c r="AN19" i="16"/>
  <c r="AN19" i="17"/>
  <c r="AO16" i="17"/>
  <c r="AO19" i="17" s="1"/>
  <c r="T15" i="17"/>
  <c r="V9" i="17"/>
  <c r="H6" i="18"/>
  <c r="S7" i="17"/>
  <c r="T15" i="16"/>
  <c r="W11" i="16"/>
  <c r="J11" i="1"/>
  <c r="AO6" i="17"/>
  <c r="AN10" i="17"/>
  <c r="N103" i="15"/>
  <c r="P99" i="15"/>
  <c r="P103" i="15" s="1"/>
  <c r="AB14" i="17"/>
  <c r="AB15" i="17" s="1"/>
  <c r="AB22" i="17" s="1"/>
  <c r="AL14" i="17"/>
  <c r="AM14" i="17" s="1"/>
  <c r="AO14" i="17" s="1"/>
  <c r="X8" i="16"/>
  <c r="W8" i="16"/>
  <c r="J8" i="1"/>
  <c r="P94" i="15"/>
  <c r="P98" i="15" s="1"/>
  <c r="N98" i="15"/>
  <c r="K15" i="17"/>
  <c r="M11" i="17"/>
  <c r="Q11" i="17"/>
  <c r="AP19" i="16"/>
  <c r="X15" i="13"/>
  <c r="W12" i="16"/>
  <c r="J12" i="1"/>
  <c r="S87" i="11"/>
  <c r="D33" i="11"/>
  <c r="W11" i="13"/>
  <c r="W15" i="13" s="1"/>
  <c r="T15" i="13"/>
  <c r="U11" i="13"/>
  <c r="X11" i="13"/>
  <c r="Z19" i="11"/>
  <c r="X22" i="11"/>
  <c r="K37" i="11"/>
  <c r="J37" i="11"/>
  <c r="L19" i="8"/>
  <c r="J22" i="8"/>
  <c r="L22" i="8" s="1"/>
  <c r="AC15" i="8"/>
  <c r="AT16" i="13"/>
  <c r="AT19" i="13" s="1"/>
  <c r="O22" i="9"/>
  <c r="Q22" i="9" s="1"/>
  <c r="K22" i="6"/>
  <c r="M22" i="6" s="1"/>
  <c r="M19" i="6"/>
  <c r="AD10" i="6"/>
  <c r="AC10" i="7"/>
  <c r="AC22" i="7" s="1"/>
  <c r="AC24" i="7" s="1"/>
  <c r="G19" i="6"/>
  <c r="E22" i="6"/>
  <c r="G22" i="6" s="1"/>
  <c r="Z13" i="3"/>
  <c r="AB13" i="3" s="1"/>
  <c r="AB9" i="3"/>
  <c r="D28" i="7"/>
  <c r="D32" i="7" s="1"/>
  <c r="D46" i="7" s="1"/>
  <c r="E19" i="1"/>
  <c r="G16" i="1"/>
  <c r="X16" i="4"/>
  <c r="V19" i="4"/>
  <c r="X9" i="2"/>
  <c r="V13" i="2"/>
  <c r="Z9" i="2"/>
  <c r="Z17" i="7"/>
  <c r="AA17" i="7" s="1"/>
  <c r="Y22" i="5"/>
  <c r="AA19" i="5"/>
  <c r="P22" i="4"/>
  <c r="R22" i="4" s="1"/>
  <c r="R19" i="4"/>
  <c r="AB14" i="2"/>
  <c r="Z17" i="2"/>
  <c r="AB10" i="4"/>
  <c r="Z8" i="2"/>
  <c r="AB4" i="2"/>
  <c r="D19" i="18"/>
  <c r="F19" i="18" s="1"/>
  <c r="G19" i="18" s="1"/>
  <c r="F16" i="18"/>
  <c r="G16" i="18" s="1"/>
  <c r="K22" i="17"/>
  <c r="F42" i="18"/>
  <c r="P17" i="16"/>
  <c r="S17" i="16" s="1"/>
  <c r="U17" i="16" s="1"/>
  <c r="B17" i="13" s="1"/>
  <c r="P17" i="13" s="1"/>
  <c r="S17" i="13" s="1"/>
  <c r="U17" i="13" s="1"/>
  <c r="B17" i="11" s="1"/>
  <c r="R17" i="11" s="1"/>
  <c r="U17" i="11" s="1"/>
  <c r="H17" i="1"/>
  <c r="I17" i="1" s="1"/>
  <c r="K17" i="1" s="1"/>
  <c r="Q14" i="17"/>
  <c r="M14" i="17"/>
  <c r="T19" i="17"/>
  <c r="T22" i="17" s="1"/>
  <c r="U16" i="17"/>
  <c r="V16" i="17"/>
  <c r="AM10" i="17"/>
  <c r="AM22" i="17"/>
  <c r="R15" i="17"/>
  <c r="R22" i="17" s="1"/>
  <c r="Q10" i="17"/>
  <c r="H7" i="18" s="1"/>
  <c r="W17" i="16"/>
  <c r="J17" i="1"/>
  <c r="AK22" i="17"/>
  <c r="V22" i="16"/>
  <c r="AL15" i="17"/>
  <c r="AM11" i="17"/>
  <c r="AM15" i="17" s="1"/>
  <c r="AO6" i="16"/>
  <c r="AN10" i="16"/>
  <c r="C43" i="13"/>
  <c r="M13" i="17"/>
  <c r="Q13" i="17"/>
  <c r="Q40" i="16"/>
  <c r="Q43" i="16" s="1"/>
  <c r="AK22" i="16"/>
  <c r="W6" i="16"/>
  <c r="W10" i="16" s="1"/>
  <c r="T10" i="16"/>
  <c r="J6" i="1"/>
  <c r="J10" i="1" s="1"/>
  <c r="W14" i="16"/>
  <c r="J14" i="1"/>
  <c r="V22" i="13"/>
  <c r="W25" i="13" s="1"/>
  <c r="I43" i="17"/>
  <c r="W19" i="13"/>
  <c r="Q87" i="11"/>
  <c r="Q94" i="11" s="1"/>
  <c r="C44" i="11"/>
  <c r="G41" i="11"/>
  <c r="K41" i="11" s="1"/>
  <c r="D41" i="11"/>
  <c r="D44" i="11" s="1"/>
  <c r="D47" i="11" s="1"/>
  <c r="F33" i="11"/>
  <c r="G33" i="11"/>
  <c r="B39" i="11"/>
  <c r="U22" i="8"/>
  <c r="AC22" i="8" s="1"/>
  <c r="Y6" i="8"/>
  <c r="X10" i="6"/>
  <c r="X22" i="6" s="1"/>
  <c r="Z6" i="6"/>
  <c r="X15" i="7"/>
  <c r="X22" i="7" s="1"/>
  <c r="X10" i="7"/>
  <c r="Z6" i="7"/>
  <c r="R22" i="7"/>
  <c r="T22" i="7" s="1"/>
  <c r="AD19" i="6"/>
  <c r="AB22" i="6"/>
  <c r="W19" i="5"/>
  <c r="X16" i="5"/>
  <c r="G15" i="1"/>
  <c r="Z19" i="6"/>
  <c r="X14" i="3"/>
  <c r="V17" i="3"/>
  <c r="Z14" i="3"/>
  <c r="AB22" i="7"/>
  <c r="U19" i="5"/>
  <c r="D22" i="4"/>
  <c r="F22" i="4" s="1"/>
  <c r="F19" i="4"/>
  <c r="E20" i="2"/>
  <c r="G20" i="2" s="1"/>
  <c r="W10" i="5"/>
  <c r="X10" i="5" s="1"/>
  <c r="Y11" i="4"/>
  <c r="X15" i="4"/>
  <c r="Y15" i="4" s="1"/>
  <c r="Q20" i="2"/>
  <c r="S20" i="2" s="1"/>
  <c r="U10" i="5"/>
  <c r="U15" i="5"/>
  <c r="M60" i="3"/>
  <c r="V20" i="2"/>
  <c r="O40" i="20"/>
  <c r="O43" i="20" s="1"/>
  <c r="O46" i="20" s="1"/>
  <c r="M43" i="20"/>
  <c r="M46" i="20" s="1"/>
  <c r="R9" i="20"/>
  <c r="R21" i="20" s="1"/>
  <c r="S40" i="17"/>
  <c r="S43" i="17" s="1"/>
  <c r="Q31" i="17"/>
  <c r="S18" i="17"/>
  <c r="U18" i="17" s="1"/>
  <c r="B18" i="16" s="1"/>
  <c r="U8" i="17"/>
  <c r="B8" i="16" s="1"/>
  <c r="V8" i="17"/>
  <c r="AL19" i="17"/>
  <c r="AL22" i="17" s="1"/>
  <c r="I15" i="17"/>
  <c r="I22" i="17" s="1"/>
  <c r="V7" i="17"/>
  <c r="H4" i="18"/>
  <c r="X17" i="16"/>
  <c r="AI43" i="16"/>
  <c r="AI44" i="16" s="1"/>
  <c r="AQ11" i="16"/>
  <c r="AQ15" i="16" s="1"/>
  <c r="AP15" i="16"/>
  <c r="AA15" i="17"/>
  <c r="AA22" i="17" s="1"/>
  <c r="Q36" i="13"/>
  <c r="AO8" i="17"/>
  <c r="M43" i="13"/>
  <c r="G12" i="18"/>
  <c r="T19" i="16"/>
  <c r="T22" i="16" s="1"/>
  <c r="X22" i="16" s="1"/>
  <c r="W16" i="16"/>
  <c r="W19" i="16" s="1"/>
  <c r="X16" i="16"/>
  <c r="J16" i="1"/>
  <c r="J19" i="1" s="1"/>
  <c r="X11" i="16"/>
  <c r="AI24" i="13"/>
  <c r="W10" i="13"/>
  <c r="X10" i="13" s="1"/>
  <c r="G43" i="17"/>
  <c r="T22" i="13"/>
  <c r="X22" i="13" s="1"/>
  <c r="V22" i="11"/>
  <c r="B47" i="11"/>
  <c r="Z15" i="11"/>
  <c r="Y10" i="11"/>
  <c r="Z10" i="11" s="1"/>
  <c r="AB22" i="8"/>
  <c r="AQ10" i="13"/>
  <c r="AR6" i="13"/>
  <c r="S90" i="11"/>
  <c r="S91" i="11" s="1"/>
  <c r="S94" i="11" s="1"/>
  <c r="Q22" i="8"/>
  <c r="S22" i="8" s="1"/>
  <c r="S19" i="8"/>
  <c r="AA22" i="8"/>
  <c r="AC19" i="8"/>
  <c r="E22" i="9"/>
  <c r="G22" i="9" s="1"/>
  <c r="Z19" i="9"/>
  <c r="X22" i="9"/>
  <c r="Y24" i="9" s="1"/>
  <c r="AA10" i="8"/>
  <c r="AC10" i="8" s="1"/>
  <c r="Z11" i="6"/>
  <c r="Z19" i="7"/>
  <c r="AA16" i="7"/>
  <c r="AC15" i="6"/>
  <c r="AC22" i="6" s="1"/>
  <c r="AC24" i="6" s="1"/>
  <c r="AD15" i="6"/>
  <c r="AA24" i="4"/>
  <c r="X17" i="2"/>
  <c r="Y17" i="2" s="1"/>
  <c r="Y14" i="2"/>
  <c r="E10" i="1"/>
  <c r="G6" i="1"/>
  <c r="X4" i="3"/>
  <c r="V8" i="3"/>
  <c r="V20" i="3" s="1"/>
  <c r="Z4" i="3"/>
  <c r="V15" i="4"/>
  <c r="Q22" i="5"/>
  <c r="O58" i="4"/>
  <c r="B17" i="9" l="1"/>
  <c r="R17" i="9" s="1"/>
  <c r="U17" i="9" s="1"/>
  <c r="W17" i="9" s="1"/>
  <c r="W17" i="11"/>
  <c r="AB24" i="8"/>
  <c r="P8" i="16"/>
  <c r="S8" i="16" s="1"/>
  <c r="U8" i="16" s="1"/>
  <c r="B8" i="13" s="1"/>
  <c r="P8" i="13" s="1"/>
  <c r="S8" i="13" s="1"/>
  <c r="U8" i="13" s="1"/>
  <c r="B8" i="11" s="1"/>
  <c r="R8" i="11" s="1"/>
  <c r="U8" i="11" s="1"/>
  <c r="H8" i="1"/>
  <c r="I8" i="1" s="1"/>
  <c r="K8" i="1" s="1"/>
  <c r="AA19" i="6"/>
  <c r="X19" i="5"/>
  <c r="W22" i="5"/>
  <c r="X22" i="5" s="1"/>
  <c r="AA6" i="7"/>
  <c r="Z10" i="7"/>
  <c r="AA10" i="7" s="1"/>
  <c r="Z10" i="6"/>
  <c r="AA10" i="6" s="1"/>
  <c r="AA6" i="6"/>
  <c r="H11" i="18"/>
  <c r="V14" i="17"/>
  <c r="S14" i="17"/>
  <c r="U14" i="17" s="1"/>
  <c r="B14" i="16" s="1"/>
  <c r="AB8" i="2"/>
  <c r="AA22" i="2"/>
  <c r="AB17" i="2"/>
  <c r="G19" i="1"/>
  <c r="AQ16" i="16"/>
  <c r="AQ19" i="16" s="1"/>
  <c r="W15" i="16"/>
  <c r="AN22" i="17"/>
  <c r="P12" i="16"/>
  <c r="S12" i="16" s="1"/>
  <c r="U12" i="16" s="1"/>
  <c r="B12" i="13" s="1"/>
  <c r="P12" i="13" s="1"/>
  <c r="H12" i="1"/>
  <c r="I12" i="1" s="1"/>
  <c r="K12" i="1" s="1"/>
  <c r="U10" i="17"/>
  <c r="B6" i="16"/>
  <c r="Z24" i="5"/>
  <c r="Z22" i="11"/>
  <c r="AQ22" i="13"/>
  <c r="N110" i="15"/>
  <c r="Q110" i="15" s="1"/>
  <c r="S43" i="16"/>
  <c r="X8" i="3"/>
  <c r="Y4" i="3"/>
  <c r="W22" i="16"/>
  <c r="P18" i="16"/>
  <c r="S18" i="16" s="1"/>
  <c r="U18" i="16" s="1"/>
  <c r="B18" i="13" s="1"/>
  <c r="P18" i="13" s="1"/>
  <c r="S18" i="13" s="1"/>
  <c r="U18" i="13" s="1"/>
  <c r="B18" i="11" s="1"/>
  <c r="R18" i="11" s="1"/>
  <c r="U18" i="11" s="1"/>
  <c r="H18" i="1"/>
  <c r="I18" i="1" s="1"/>
  <c r="K18" i="1" s="1"/>
  <c r="AB14" i="3"/>
  <c r="Z17" i="3"/>
  <c r="G34" i="11"/>
  <c r="Y31" i="11"/>
  <c r="G32" i="11"/>
  <c r="K32" i="11" s="1"/>
  <c r="K33" i="11" s="1"/>
  <c r="K34" i="11" s="1"/>
  <c r="G44" i="11"/>
  <c r="F44" i="11"/>
  <c r="C47" i="11"/>
  <c r="U19" i="17"/>
  <c r="B16" i="16"/>
  <c r="X13" i="2"/>
  <c r="Y13" i="2" s="1"/>
  <c r="Y9" i="2"/>
  <c r="E22" i="1"/>
  <c r="AP22" i="16"/>
  <c r="AO10" i="17"/>
  <c r="AN22" i="16"/>
  <c r="S19" i="17"/>
  <c r="Z16" i="8"/>
  <c r="Y19" i="8"/>
  <c r="B9" i="9"/>
  <c r="R9" i="9" s="1"/>
  <c r="U9" i="9" s="1"/>
  <c r="W9" i="9" s="1"/>
  <c r="W9" i="11"/>
  <c r="AR15" i="13"/>
  <c r="AR22" i="13" s="1"/>
  <c r="AR33" i="13" s="1"/>
  <c r="AS33" i="13" s="1"/>
  <c r="AT11" i="13"/>
  <c r="AT15" i="13" s="1"/>
  <c r="AO11" i="17"/>
  <c r="AO15" i="17" s="1"/>
  <c r="Q43" i="17"/>
  <c r="Y22" i="11"/>
  <c r="Y10" i="8"/>
  <c r="Z10" i="8" s="1"/>
  <c r="Z6" i="8"/>
  <c r="F34" i="11"/>
  <c r="F32" i="11"/>
  <c r="J32" i="11" s="1"/>
  <c r="J33" i="11" s="1"/>
  <c r="J34" i="11" s="1"/>
  <c r="Y30" i="11"/>
  <c r="H10" i="18"/>
  <c r="V13" i="17"/>
  <c r="S13" i="17"/>
  <c r="U13" i="17" s="1"/>
  <c r="B13" i="16" s="1"/>
  <c r="AO10" i="16"/>
  <c r="AQ6" i="16"/>
  <c r="AQ10" i="16" s="1"/>
  <c r="AI65" i="16"/>
  <c r="V22" i="4"/>
  <c r="B11" i="11"/>
  <c r="H8" i="18"/>
  <c r="V11" i="17"/>
  <c r="Q15" i="17"/>
  <c r="H12" i="18" s="1"/>
  <c r="S11" i="17"/>
  <c r="J15" i="1"/>
  <c r="U7" i="17"/>
  <c r="B7" i="16" s="1"/>
  <c r="S10" i="17"/>
  <c r="AO22" i="16"/>
  <c r="H16" i="18"/>
  <c r="X44" i="18"/>
  <c r="O33" i="11"/>
  <c r="N30" i="11" s="1"/>
  <c r="AK19" i="8"/>
  <c r="W22" i="8"/>
  <c r="F40" i="11"/>
  <c r="Y36" i="11"/>
  <c r="O39" i="11" s="1"/>
  <c r="F38" i="11"/>
  <c r="J38" i="11" s="1"/>
  <c r="J39" i="11" s="1"/>
  <c r="J40" i="11" s="1"/>
  <c r="Q43" i="13"/>
  <c r="G10" i="1"/>
  <c r="Z22" i="7"/>
  <c r="AA22" i="7" s="1"/>
  <c r="AA19" i="7"/>
  <c r="AR10" i="13"/>
  <c r="AT6" i="13"/>
  <c r="AT10" i="13" s="1"/>
  <c r="AT22" i="13" s="1"/>
  <c r="AB4" i="3"/>
  <c r="Z8" i="3"/>
  <c r="Z15" i="6"/>
  <c r="AA15" i="6" s="1"/>
  <c r="AA11" i="6"/>
  <c r="J22" i="1"/>
  <c r="U22" i="5"/>
  <c r="X17" i="3"/>
  <c r="Y17" i="3" s="1"/>
  <c r="Y14" i="3"/>
  <c r="W22" i="13"/>
  <c r="X19" i="13"/>
  <c r="AB9" i="2"/>
  <c r="Z13" i="2"/>
  <c r="AB13" i="2" s="1"/>
  <c r="X19" i="4"/>
  <c r="Y16" i="4"/>
  <c r="AD10" i="7"/>
  <c r="Y23" i="11"/>
  <c r="M15" i="17"/>
  <c r="M22" i="17" s="1"/>
  <c r="AO22" i="17"/>
  <c r="X20" i="2"/>
  <c r="Y20" i="2" s="1"/>
  <c r="Y8" i="2"/>
  <c r="AK22" i="8"/>
  <c r="G38" i="11"/>
  <c r="K38" i="11" s="1"/>
  <c r="K39" i="11" s="1"/>
  <c r="K40" i="11" s="1"/>
  <c r="Y37" i="11"/>
  <c r="G40" i="11"/>
  <c r="P110" i="15"/>
  <c r="X67" i="18"/>
  <c r="X92" i="18" s="1"/>
  <c r="N38" i="11" l="1"/>
  <c r="N35" i="11"/>
  <c r="N37" i="11"/>
  <c r="N36" i="11"/>
  <c r="R11" i="11"/>
  <c r="X20" i="3"/>
  <c r="Y20" i="3" s="1"/>
  <c r="Y8" i="3"/>
  <c r="S12" i="13"/>
  <c r="B8" i="9"/>
  <c r="R8" i="9" s="1"/>
  <c r="U8" i="9" s="1"/>
  <c r="W8" i="9" s="1"/>
  <c r="W8" i="11"/>
  <c r="N32" i="11"/>
  <c r="G47" i="11"/>
  <c r="G48" i="11" s="1"/>
  <c r="F47" i="11"/>
  <c r="F48" i="11" s="1"/>
  <c r="N29" i="11"/>
  <c r="N33" i="11" s="1"/>
  <c r="Q22" i="17"/>
  <c r="H19" i="18" s="1"/>
  <c r="P7" i="16"/>
  <c r="S7" i="16" s="1"/>
  <c r="U7" i="16" s="1"/>
  <c r="B7" i="13" s="1"/>
  <c r="P7" i="13" s="1"/>
  <c r="S7" i="13" s="1"/>
  <c r="U7" i="13" s="1"/>
  <c r="B7" i="11" s="1"/>
  <c r="R7" i="11" s="1"/>
  <c r="U7" i="11" s="1"/>
  <c r="H7" i="1"/>
  <c r="I7" i="1" s="1"/>
  <c r="K7" i="1" s="1"/>
  <c r="Y22" i="8"/>
  <c r="Z22" i="8" s="1"/>
  <c r="Z19" i="8"/>
  <c r="F45" i="11"/>
  <c r="Y41" i="11"/>
  <c r="O44" i="11" s="1"/>
  <c r="F41" i="11"/>
  <c r="J41" i="11" s="1"/>
  <c r="J44" i="11" s="1"/>
  <c r="B18" i="9"/>
  <c r="R18" i="9" s="1"/>
  <c r="U18" i="9" s="1"/>
  <c r="W18" i="9" s="1"/>
  <c r="W18" i="11"/>
  <c r="P6" i="16"/>
  <c r="B10" i="16"/>
  <c r="H6" i="1"/>
  <c r="N31" i="11"/>
  <c r="AB8" i="3"/>
  <c r="Z20" i="3"/>
  <c r="AB20" i="3" s="1"/>
  <c r="P13" i="16"/>
  <c r="S13" i="16" s="1"/>
  <c r="U13" i="16" s="1"/>
  <c r="B13" i="13" s="1"/>
  <c r="P13" i="13" s="1"/>
  <c r="S13" i="13" s="1"/>
  <c r="U13" i="13" s="1"/>
  <c r="B13" i="11" s="1"/>
  <c r="R13" i="11" s="1"/>
  <c r="U13" i="11" s="1"/>
  <c r="H13" i="1"/>
  <c r="I13" i="1" s="1"/>
  <c r="K13" i="1" s="1"/>
  <c r="B19" i="16"/>
  <c r="P16" i="16"/>
  <c r="H16" i="1"/>
  <c r="G43" i="11"/>
  <c r="K43" i="11" s="1"/>
  <c r="K44" i="11" s="1"/>
  <c r="Y42" i="11"/>
  <c r="G45" i="11"/>
  <c r="AB17" i="3"/>
  <c r="AA22" i="3"/>
  <c r="G22" i="1"/>
  <c r="Z20" i="2"/>
  <c r="AB20" i="2" s="1"/>
  <c r="Z22" i="6"/>
  <c r="AA22" i="6" s="1"/>
  <c r="X22" i="4"/>
  <c r="Y22" i="4" s="1"/>
  <c r="Y19" i="4"/>
  <c r="S15" i="17"/>
  <c r="S22" i="17" s="1"/>
  <c r="U11" i="17"/>
  <c r="AQ22" i="16"/>
  <c r="P14" i="16"/>
  <c r="S14" i="16" s="1"/>
  <c r="U14" i="16" s="1"/>
  <c r="B14" i="13" s="1"/>
  <c r="P14" i="13" s="1"/>
  <c r="S14" i="13" s="1"/>
  <c r="U14" i="13" s="1"/>
  <c r="B14" i="11" s="1"/>
  <c r="R14" i="11" s="1"/>
  <c r="U14" i="11" s="1"/>
  <c r="H14" i="1"/>
  <c r="I14" i="1" s="1"/>
  <c r="K14" i="1" s="1"/>
  <c r="J45" i="11" l="1"/>
  <c r="J47" i="11"/>
  <c r="J48" i="11" s="1"/>
  <c r="S6" i="16"/>
  <c r="P10" i="16"/>
  <c r="N42" i="11"/>
  <c r="N43" i="11"/>
  <c r="N41" i="11"/>
  <c r="N44" i="11" s="1"/>
  <c r="N47" i="11" s="1"/>
  <c r="K45" i="11"/>
  <c r="K47" i="11"/>
  <c r="K48" i="11" s="1"/>
  <c r="B7" i="9"/>
  <c r="R7" i="9" s="1"/>
  <c r="U7" i="9" s="1"/>
  <c r="W7" i="9" s="1"/>
  <c r="W7" i="11"/>
  <c r="P15" i="13"/>
  <c r="N39" i="11"/>
  <c r="B14" i="9"/>
  <c r="R14" i="9" s="1"/>
  <c r="U14" i="9" s="1"/>
  <c r="W14" i="9" s="1"/>
  <c r="W14" i="11"/>
  <c r="P19" i="16"/>
  <c r="S16" i="16"/>
  <c r="U15" i="17"/>
  <c r="U22" i="17" s="1"/>
  <c r="B11" i="16"/>
  <c r="H19" i="1"/>
  <c r="I16" i="1"/>
  <c r="B13" i="9"/>
  <c r="R13" i="9" s="1"/>
  <c r="U13" i="9" s="1"/>
  <c r="W13" i="9" s="1"/>
  <c r="W13" i="11"/>
  <c r="H10" i="1"/>
  <c r="I6" i="1"/>
  <c r="U12" i="13"/>
  <c r="S15" i="13"/>
  <c r="U11" i="11"/>
  <c r="B15" i="16" l="1"/>
  <c r="B22" i="16" s="1"/>
  <c r="P11" i="16"/>
  <c r="H11" i="1"/>
  <c r="B12" i="11"/>
  <c r="U15" i="13"/>
  <c r="S19" i="16"/>
  <c r="U16" i="16"/>
  <c r="B11" i="9"/>
  <c r="W11" i="11"/>
  <c r="S10" i="16"/>
  <c r="U6" i="16"/>
  <c r="I10" i="1"/>
  <c r="K6" i="1"/>
  <c r="K10" i="1" s="1"/>
  <c r="I19" i="1"/>
  <c r="K16" i="1"/>
  <c r="K19" i="1" s="1"/>
  <c r="S11" i="16" l="1"/>
  <c r="P15" i="16"/>
  <c r="P22" i="16" s="1"/>
  <c r="U19" i="16"/>
  <c r="B16" i="13"/>
  <c r="H15" i="1"/>
  <c r="H22" i="1" s="1"/>
  <c r="I11" i="1"/>
  <c r="R11" i="9"/>
  <c r="U10" i="16"/>
  <c r="B6" i="13"/>
  <c r="R12" i="11"/>
  <c r="B15" i="11"/>
  <c r="I15" i="1" l="1"/>
  <c r="I22" i="1" s="1"/>
  <c r="K11" i="1"/>
  <c r="K15" i="1" s="1"/>
  <c r="K22" i="1" s="1"/>
  <c r="S15" i="16"/>
  <c r="S22" i="16" s="1"/>
  <c r="U11" i="16"/>
  <c r="U12" i="11"/>
  <c r="R15" i="11"/>
  <c r="B10" i="13"/>
  <c r="P6" i="13"/>
  <c r="U11" i="9"/>
  <c r="P16" i="13"/>
  <c r="B19" i="13"/>
  <c r="B22" i="13" l="1"/>
  <c r="P10" i="13"/>
  <c r="S6" i="13"/>
  <c r="S16" i="13"/>
  <c r="P19" i="13"/>
  <c r="P22" i="13" s="1"/>
  <c r="U15" i="16"/>
  <c r="U22" i="16" s="1"/>
  <c r="B11" i="13"/>
  <c r="B15" i="13" s="1"/>
  <c r="W11" i="9"/>
  <c r="B12" i="9"/>
  <c r="W12" i="11"/>
  <c r="W15" i="11" s="1"/>
  <c r="U15" i="11"/>
  <c r="S19" i="13" l="1"/>
  <c r="U16" i="13"/>
  <c r="S10" i="13"/>
  <c r="U6" i="13"/>
  <c r="R12" i="9"/>
  <c r="B15" i="9"/>
  <c r="U19" i="13" l="1"/>
  <c r="B16" i="11"/>
  <c r="S22" i="13"/>
  <c r="U12" i="9"/>
  <c r="R15" i="9"/>
  <c r="B6" i="11"/>
  <c r="U10" i="13"/>
  <c r="B10" i="11" l="1"/>
  <c r="R6" i="11"/>
  <c r="W12" i="9"/>
  <c r="W15" i="9" s="1"/>
  <c r="U15" i="9"/>
  <c r="B19" i="11"/>
  <c r="B22" i="11" s="1"/>
  <c r="R16" i="11"/>
  <c r="U22" i="13"/>
  <c r="U16" i="11" l="1"/>
  <c r="R19" i="11"/>
  <c r="R22" i="11" s="1"/>
  <c r="R10" i="11"/>
  <c r="U6" i="11"/>
  <c r="U10" i="11" l="1"/>
  <c r="B6" i="9"/>
  <c r="W6" i="11"/>
  <c r="W10" i="11" s="1"/>
  <c r="B16" i="9"/>
  <c r="U19" i="11"/>
  <c r="U22" i="11" s="1"/>
  <c r="W16" i="11"/>
  <c r="W19" i="11" s="1"/>
  <c r="B19" i="9" l="1"/>
  <c r="R16" i="9"/>
  <c r="W22" i="11"/>
  <c r="R6" i="9"/>
  <c r="B10" i="9"/>
  <c r="U6" i="9" l="1"/>
  <c r="R10" i="9"/>
  <c r="R19" i="9"/>
  <c r="R22" i="9" s="1"/>
  <c r="U16" i="9"/>
  <c r="B22" i="9"/>
  <c r="W16" i="9" l="1"/>
  <c r="W19" i="9" s="1"/>
  <c r="U19" i="9"/>
  <c r="U10" i="9"/>
  <c r="W6" i="9"/>
  <c r="W10" i="9" s="1"/>
  <c r="U22" i="9" l="1"/>
  <c r="U24" i="9" s="1"/>
  <c r="W2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tc={85dfb4c4-1b04-4ec6-94f3-8b45366d1a93}</author>
    <author>tc={101d33f1-b6d9-40f6-90d2-68457cfa2274}</author>
    <author>tc={4ac561ba-6563-4d5f-9c2b-34b2d5c75aa2}</author>
    <author>tc={c0c7b401-6911-47ba-89aa-94dd711b7ce7}</author>
    <author>tc={0f37b042-7170-46d3-922a-eb993fd6e3e5}</author>
    <author>tc={aeda9e63-2167-4dc6-91aa-13de4a27fe08}</author>
    <author>tc={4789f90c-7455-4abd-8d9f-cb527d3c7456}</author>
    <author>tc={209a8a86-d1d5-4f2e-8f5a-1c1f2638baa8}</author>
    <author>tc={81fefbc5-32c2-4a19-9208-bab56e3b5a6a}</author>
    <author>tc={80e316fe-3829-45e5-b16f-2f79174d9a04}</author>
  </authors>
  <commentList>
    <comment ref="AJ6" authorId="0" shapeId="0" xr:uid="{85DFB4C4-1B04-4EC6-94F3-8B45366D1A9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taxed</t>
      </text>
    </comment>
    <comment ref="AK6" authorId="1" shapeId="0" xr:uid="{101D33F1-B6D9-40F6-90D2-68457CFA2274}">
      <text>
        <t>[Threaded comment]
Your version of Excel allows you to read this threaded comment; however, any edits to it will get removed if the file is opened in a newer version of Excel. Learn more: https://go.microsoft.com/fwlink/?linkid=870924
Comment:
    5 taxed</t>
      </text>
    </comment>
    <comment ref="AL8" authorId="2" shapeId="0" xr:uid="{4AC561BA-6563-4D5F-9C2B-34B2D5C75AA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taxed</t>
      </text>
    </comment>
    <comment ref="AL11" authorId="3" shapeId="0" xr:uid="{C0C7B401-6911-47BA-89AA-94DD711B7CE7}">
      <text>
        <t>[Threaded comment]
Your version of Excel allows you to read this threaded comment; however, any edits to it will get removed if the file is opened in a newer version of Excel. Learn more: https://go.microsoft.com/fwlink/?linkid=870924
Comment:
    1 taxed</t>
      </text>
    </comment>
    <comment ref="AJ12" authorId="4" shapeId="0" xr:uid="{0F37B042-7170-46D3-922A-EB993FD6E3E5}">
      <text>
        <t>[Threaded comment]
Your version of Excel allows you to read this threaded comment; however, any edits to it will get removed if the file is opened in a newer version of Excel. Learn more: https://go.microsoft.com/fwlink/?linkid=870924
Comment:
    1 taxed - double count</t>
      </text>
    </comment>
    <comment ref="AK13" authorId="5" shapeId="0" xr:uid="{AEDA9E63-2167-4DC6-91AA-13DE4A27FE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taxed</t>
      </text>
    </comment>
    <comment ref="AK16" authorId="6" shapeId="0" xr:uid="{4789F90C-7455-4ABD-8D9F-CB527D3C7456}">
      <text>
        <t>[Threaded comment]
Your version of Excel allows you to read this threaded comment; however, any edits to it will get removed if the file is opened in a newer version of Excel. Learn more: https://go.microsoft.com/fwlink/?linkid=870924
Comment:
    1 taxed</t>
      </text>
    </comment>
    <comment ref="AL16" authorId="7" shapeId="0" xr:uid="{209A8A86-D1D5-4F2E-8F5A-1C1F2638BAA8}">
      <text>
        <t>[Threaded comment]
Your version of Excel allows you to read this threaded comment; however, any edits to it will get removed if the file is opened in a newer version of Excel. Learn more: https://go.microsoft.com/fwlink/?linkid=870924
Comment:
    1 taxed</t>
      </text>
    </comment>
    <comment ref="AL17" authorId="8" shapeId="0" xr:uid="{81FEFBC5-32C2-4A19-9208-BAB56E3B5A6A}">
      <text>
        <t>[Threaded comment]
Your version of Excel allows you to read this threaded comment; however, any edits to it will get removed if the file is opened in a newer version of Excel. Learn more: https://go.microsoft.com/fwlink/?linkid=870924
Comment:
    1 taxed</t>
      </text>
    </comment>
    <comment ref="AL18" authorId="9" shapeId="0" xr:uid="{80E316FE-3829-45E5-B16F-2F79174D9A0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taxed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tc={f3c06814-e20f-43c1-9a8a-fed4be6b89d4}</author>
  </authors>
  <commentList>
    <comment ref="L5" authorId="0" shapeId="0" xr:uid="{F3C06814-E20F-43C1-9A8A-FED4BE6B89D4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be 20 more, awaiting clearance.</t>
      </text>
    </comment>
  </commentList>
</comments>
</file>

<file path=xl/sharedStrings.xml><?xml version="1.0" encoding="utf-8"?>
<sst xmlns="http://schemas.openxmlformats.org/spreadsheetml/2006/main" count="2821" uniqueCount="254">
  <si>
    <t xml:space="preserve"> </t>
  </si>
  <si>
    <t>REGISTRATIONS (COUNTING)</t>
  </si>
  <si>
    <t>Updated</t>
  </si>
  <si>
    <t>By</t>
  </si>
  <si>
    <t>APR</t>
  </si>
  <si>
    <t>Weekly Orders</t>
  </si>
  <si>
    <t>QUARTER ORDERS</t>
  </si>
  <si>
    <t>CANCELLATIONS</t>
  </si>
  <si>
    <t>ORDERS PER DAY</t>
  </si>
  <si>
    <t>FORECAST ORDERS</t>
  </si>
  <si>
    <t>MAY</t>
  </si>
  <si>
    <t>CURRENT TOTAL</t>
  </si>
  <si>
    <t>FORECAST TOTAL</t>
  </si>
  <si>
    <t>B/FWD</t>
  </si>
  <si>
    <t>TOTAL</t>
  </si>
  <si>
    <t>TARGET</t>
  </si>
  <si>
    <t>C/FWD</t>
  </si>
  <si>
    <t>JUNE</t>
  </si>
  <si>
    <t>JULY</t>
  </si>
  <si>
    <t>AUG</t>
  </si>
  <si>
    <t>OCT</t>
  </si>
  <si>
    <t>FORECAST 9/9/24</t>
  </si>
  <si>
    <t>FORECAST 15/9/24</t>
  </si>
  <si>
    <t>SEPT</t>
  </si>
  <si>
    <t>Salford</t>
  </si>
  <si>
    <t>NOV</t>
  </si>
  <si>
    <t>Counting</t>
  </si>
  <si>
    <t>Counting Fleet</t>
  </si>
  <si>
    <t>Total</t>
  </si>
  <si>
    <t>Target</t>
  </si>
  <si>
    <t>DEC</t>
  </si>
  <si>
    <t>CLCP Regs</t>
  </si>
  <si>
    <t>TO GO</t>
  </si>
  <si>
    <t>PER WEEK</t>
  </si>
  <si>
    <t>QTR REGS</t>
  </si>
  <si>
    <t>REGS v TGT</t>
  </si>
  <si>
    <t>Bolton</t>
  </si>
  <si>
    <t>BOOST VOUCHERS ALLOCATED</t>
  </si>
  <si>
    <t>BOOST VOUCHERS USED</t>
  </si>
  <si>
    <t>LEFT</t>
  </si>
  <si>
    <t>Bury</t>
  </si>
  <si>
    <t>Rochdale</t>
  </si>
  <si>
    <t>DH</t>
  </si>
  <si>
    <t>GB</t>
  </si>
  <si>
    <t>NORTH CDA</t>
  </si>
  <si>
    <t>TP</t>
  </si>
  <si>
    <t>Macclesfield</t>
  </si>
  <si>
    <t>PF</t>
  </si>
  <si>
    <t>SQ</t>
  </si>
  <si>
    <t>gb</t>
  </si>
  <si>
    <t>DP</t>
  </si>
  <si>
    <t>Denton</t>
  </si>
  <si>
    <t>Altrincham</t>
  </si>
  <si>
    <t>Stockport</t>
  </si>
  <si>
    <t>SOUTH CDA</t>
  </si>
  <si>
    <t>Bradford</t>
  </si>
  <si>
    <t>NF</t>
  </si>
  <si>
    <t>Huddersfield</t>
  </si>
  <si>
    <t>Silsden</t>
  </si>
  <si>
    <t>WY CDA</t>
  </si>
  <si>
    <t>Orders Per Week</t>
  </si>
  <si>
    <t>CM</t>
  </si>
  <si>
    <t>RM</t>
  </si>
  <si>
    <t>REGISTRATIONS (NON-COUNTING)</t>
  </si>
  <si>
    <t>APRIL</t>
  </si>
  <si>
    <t>Non-Counting Fleet (Reg)</t>
  </si>
  <si>
    <t>Non-Counting Fleet (Unreg)</t>
  </si>
  <si>
    <t>Budget</t>
  </si>
  <si>
    <t>`</t>
  </si>
  <si>
    <t>JAN</t>
  </si>
  <si>
    <t>FEB</t>
  </si>
  <si>
    <t>USED COUNTING VOLUME</t>
  </si>
  <si>
    <t>MAR</t>
  </si>
  <si>
    <t>AUGUST</t>
  </si>
  <si>
    <t>ALL TAXED</t>
  </si>
  <si>
    <t>WR</t>
  </si>
  <si>
    <t xml:space="preserve">CENTRE FLEET (BCH ) </t>
  </si>
  <si>
    <t>Q4</t>
  </si>
  <si>
    <t>Active Orders</t>
  </si>
  <si>
    <t>Regs</t>
  </si>
  <si>
    <t>PS</t>
  </si>
  <si>
    <t>Q3</t>
  </si>
  <si>
    <t>31/032</t>
  </si>
  <si>
    <t>Double Counters</t>
  </si>
  <si>
    <t>SEPT-DEC - FLEET TARGETS</t>
  </si>
  <si>
    <t>INPUT HERE</t>
  </si>
  <si>
    <t>TO GO (100%)</t>
  </si>
  <si>
    <t>UNREG ORDERS</t>
  </si>
  <si>
    <t>Sept</t>
  </si>
  <si>
    <t>Oct</t>
  </si>
  <si>
    <t>Nov</t>
  </si>
  <si>
    <t>Dec</t>
  </si>
  <si>
    <t>Kinto One</t>
  </si>
  <si>
    <t>Kinto Fleet Partnership</t>
  </si>
  <si>
    <t>Kinto PCH</t>
  </si>
  <si>
    <t>Centre Fleet</t>
  </si>
  <si>
    <t>SEP</t>
  </si>
  <si>
    <t>CLCP</t>
  </si>
  <si>
    <t>TARGET TO 1,200</t>
  </si>
  <si>
    <t>FINAL PROJECTED</t>
  </si>
  <si>
    <t>Current GAP</t>
  </si>
  <si>
    <t>July</t>
  </si>
  <si>
    <t>August</t>
  </si>
  <si>
    <t>AJB</t>
  </si>
  <si>
    <t>Fleet Units</t>
  </si>
  <si>
    <t>Q2 - BZ TARGETS</t>
  </si>
  <si>
    <t>JANUARY</t>
  </si>
  <si>
    <t>FEBRUARY</t>
  </si>
  <si>
    <t>MARCH</t>
  </si>
  <si>
    <t>Q1</t>
  </si>
  <si>
    <t>Catch-back</t>
  </si>
  <si>
    <t>REGISTRATIONS (BZ4X)</t>
  </si>
  <si>
    <t>OCTOBER</t>
  </si>
  <si>
    <t>NOVEMBER</t>
  </si>
  <si>
    <t>DECEMBER</t>
  </si>
  <si>
    <t>Q2 (PBI)</t>
  </si>
  <si>
    <t>BZ Counting (ex-Motab)</t>
  </si>
  <si>
    <t>Other EVs (Double Count) Pre-Q4</t>
  </si>
  <si>
    <t>Other EVs (Double Count)</t>
  </si>
  <si>
    <t>Uber</t>
  </si>
  <si>
    <t>Counting (ex-Motab)</t>
  </si>
  <si>
    <t>FY TARGET</t>
  </si>
  <si>
    <t>MONTHLY</t>
  </si>
  <si>
    <t>GB Final</t>
  </si>
  <si>
    <t>Q1 INCENTIVE</t>
  </si>
  <si>
    <t>TARGET (105%)</t>
  </si>
  <si>
    <t>TARGET (110%)</t>
  </si>
  <si>
    <t>TO GO (105%)</t>
  </si>
  <si>
    <t>TO GO (110%)</t>
  </si>
  <si>
    <t>CURRENT EARNINGS</t>
  </si>
  <si>
    <t>POTENTIAL (£)</t>
  </si>
  <si>
    <t>Q1 - BZ TARGETS</t>
  </si>
  <si>
    <t>North</t>
  </si>
  <si>
    <t>South</t>
  </si>
  <si>
    <t>Not taxed</t>
  </si>
  <si>
    <t>COUNTING REGS - Q1</t>
  </si>
  <si>
    <t>PRI</t>
  </si>
  <si>
    <t>OR</t>
  </si>
  <si>
    <t>MOT</t>
  </si>
  <si>
    <t>CSS (CBS)</t>
  </si>
  <si>
    <t>DEM</t>
  </si>
  <si>
    <t>KIN</t>
  </si>
  <si>
    <t>CF</t>
  </si>
  <si>
    <t>WY</t>
  </si>
  <si>
    <t>BUS</t>
  </si>
  <si>
    <t>NON-COUNTING</t>
  </si>
  <si>
    <t>TOTAL REGS</t>
  </si>
  <si>
    <t>Power BI (26.11)</t>
  </si>
  <si>
    <t xml:space="preserve">                                                                                             </t>
  </si>
  <si>
    <t>CHECK</t>
  </si>
  <si>
    <t>COUNTING REGS - Q2</t>
  </si>
  <si>
    <t>31/033</t>
  </si>
  <si>
    <t>COUNTING REGS - Q3</t>
  </si>
  <si>
    <t>(Counting 145 Rochdale)</t>
  </si>
  <si>
    <t>COUNTING REGS - Q4</t>
  </si>
  <si>
    <t>LB (CLCP)</t>
  </si>
  <si>
    <t>LB (BZ4X)</t>
  </si>
  <si>
    <t>LB (COROLLA)</t>
  </si>
  <si>
    <t>TOTAL - FULL YEAR</t>
  </si>
  <si>
    <t>LB</t>
  </si>
  <si>
    <t>JULY (PBI)</t>
  </si>
  <si>
    <t>AUGUST (PBI)</t>
  </si>
  <si>
    <t>SEPTEMBER</t>
  </si>
  <si>
    <t>JUNE (COUNTING)</t>
  </si>
  <si>
    <t>APRIL (PBI)</t>
  </si>
  <si>
    <t>MAY (PBI)</t>
  </si>
  <si>
    <t>JUNE (PBI)</t>
  </si>
  <si>
    <t>REGS (PBI)</t>
  </si>
  <si>
    <t>Q2</t>
  </si>
  <si>
    <t>TAXED QTR</t>
  </si>
  <si>
    <t>TO TAX</t>
  </si>
  <si>
    <t>CBS</t>
  </si>
  <si>
    <t>ab</t>
  </si>
  <si>
    <t>CENTRE NETWORK HEALTH CHECK - CENTRE DETAIL</t>
  </si>
  <si>
    <t>MAY (COUNTING)</t>
  </si>
  <si>
    <t>April</t>
  </si>
  <si>
    <t>May</t>
  </si>
  <si>
    <t>June</t>
  </si>
  <si>
    <t>JUNE (NON-COUNTING)</t>
  </si>
  <si>
    <t>B/fwd</t>
  </si>
  <si>
    <t>Other</t>
  </si>
  <si>
    <t>Motab</t>
  </si>
  <si>
    <t>Non-Counting</t>
  </si>
  <si>
    <t>REGISTRATIONS</t>
  </si>
  <si>
    <t>BZ4X REGISTRATIONS</t>
  </si>
  <si>
    <t>BZ4X REGISTRATION - TARGET</t>
  </si>
  <si>
    <t>BZ4X REGISTRATION - REGISTRATIONS</t>
  </si>
  <si>
    <t>BZ4X REGISTRATION - REGISTRATIONS (Ex-Motab)</t>
  </si>
  <si>
    <t>Aug</t>
  </si>
  <si>
    <t>Apr</t>
  </si>
  <si>
    <t>Jan</t>
  </si>
  <si>
    <t>Feb</t>
  </si>
  <si>
    <t>Mar</t>
  </si>
  <si>
    <t>TOTAL REGS (BZ4X)</t>
  </si>
  <si>
    <t>30/6/24</t>
  </si>
  <si>
    <t>APRIL (COUNTING)</t>
  </si>
  <si>
    <t>MAY (NON-COUNTING)</t>
  </si>
  <si>
    <t>APRIL (NON-COUNTING)</t>
  </si>
  <si>
    <t>REGS TO DATE</t>
  </si>
  <si>
    <t>COUNT</t>
  </si>
  <si>
    <t>TO REG</t>
  </si>
  <si>
    <t>TOTAL BZ</t>
  </si>
  <si>
    <t>Non-Counting Fleet (Not on PBI)</t>
  </si>
  <si>
    <t>JANUARY (POWER BI)</t>
  </si>
  <si>
    <t>FEBRUARY (POWER BI)</t>
  </si>
  <si>
    <t>MARCH (POWER BI)</t>
  </si>
  <si>
    <t>RR (Mar)</t>
  </si>
  <si>
    <t>Last update</t>
  </si>
  <si>
    <t>Taxed (Power BI)</t>
  </si>
  <si>
    <t>Variance</t>
  </si>
  <si>
    <t>Taxed Counting (Power BI)</t>
  </si>
  <si>
    <t>Counting Target</t>
  </si>
  <si>
    <t>Carry Over</t>
  </si>
  <si>
    <t>FORECAST</t>
  </si>
  <si>
    <t>OVER</t>
  </si>
  <si>
    <t>Sales Channel</t>
  </si>
  <si>
    <t>Order Type</t>
  </si>
  <si>
    <t>Counting/Non-Counting</t>
  </si>
  <si>
    <t>28/03</t>
  </si>
  <si>
    <t>OCTOBER (PBI)</t>
  </si>
  <si>
    <t>NOVEMBER (PBI)</t>
  </si>
  <si>
    <t>Business</t>
  </si>
  <si>
    <t>DEC RR</t>
  </si>
  <si>
    <t>CHL</t>
  </si>
  <si>
    <t>Contract Hire &amp; Leasing/Broker Programme</t>
  </si>
  <si>
    <t>29/12/23</t>
  </si>
  <si>
    <t>CSS</t>
  </si>
  <si>
    <t>Car Benefit Solutions</t>
  </si>
  <si>
    <t>REGS TO DATE (YEAR)</t>
  </si>
  <si>
    <t>REGS TO DATE (QUARTER)</t>
  </si>
  <si>
    <t>RETAIL + FLEET</t>
  </si>
  <si>
    <t>Centre Network Health Check - Centre Detail</t>
  </si>
  <si>
    <t>CONTROL</t>
  </si>
  <si>
    <t>Demonstrator</t>
  </si>
  <si>
    <t>25/03</t>
  </si>
  <si>
    <t>FP</t>
  </si>
  <si>
    <t>Fleet Partnership/Consortiums/Public Sector</t>
  </si>
  <si>
    <t>LB FINAL</t>
  </si>
  <si>
    <t>21/12/23</t>
  </si>
  <si>
    <t>Kinto Fleet Partnership/Kinto One BCH</t>
  </si>
  <si>
    <t>Customer Loan Car Programme</t>
  </si>
  <si>
    <t>27/12/23</t>
  </si>
  <si>
    <t>Limited Badge</t>
  </si>
  <si>
    <t>Motability</t>
  </si>
  <si>
    <t>PS FINAL</t>
  </si>
  <si>
    <t>Online Retail</t>
  </si>
  <si>
    <t>28/12/23</t>
  </si>
  <si>
    <t>CH FINAL</t>
  </si>
  <si>
    <t>Private/Retail/Gazoo Racing</t>
  </si>
  <si>
    <t>/</t>
  </si>
  <si>
    <t>Reduced on 25.3</t>
  </si>
  <si>
    <t>REGISTRATIONS (C-HR HYBRID ONLY)</t>
  </si>
  <si>
    <t>Target (Power BI)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</si>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</sst>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d/m/yy"/>
    <numFmt numFmtId="165" formatCode="0.0"/>
    <numFmt numFmtId="166" formatCode="#,##0;\(#,##0\)"/>
    <numFmt numFmtId="167" formatCode="dd/mm"/>
    <numFmt numFmtId="168" formatCode="#,##0.0"/>
    <numFmt numFmtId="169" formatCode="m/d/yy"/>
    <numFmt numFmtId="170" formatCode="d/m"/>
    <numFmt numFmtId="171" formatCode="0.0%"/>
    <numFmt numFmtId="172" formatCode="[$£-809]#,##0"/>
    <numFmt numFmtId="173" formatCode="d/m/yyyy"/>
    <numFmt numFmtId="174" formatCode="mm/dd"/>
  </numFmts>
  <fonts count="1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sz val="10"/>
      <name val="Arial"/>
    </font>
    <font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11"/>
      <color rgb="FF000000"/>
      <name val="Calibri"/>
    </font>
    <font>
      <sz val="10"/>
      <color rgb="FF000000"/>
      <name val="Arial"/>
    </font>
    <font>
      <b/>
      <sz val="8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2"/>
      <color theme="1"/>
      <name val="&quot;Aptos&quot;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4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434343"/>
      </left>
      <right/>
      <top style="thick">
        <color rgb="FF434343"/>
      </top>
      <bottom style="thin">
        <color rgb="FF000000"/>
      </bottom>
      <diagonal/>
    </border>
    <border>
      <left/>
      <right/>
      <top style="thick">
        <color rgb="FF434343"/>
      </top>
      <bottom style="thin">
        <color rgb="FF000000"/>
      </bottom>
      <diagonal/>
    </border>
    <border>
      <left/>
      <right style="thick">
        <color rgb="FF000000"/>
      </right>
      <top style="thick">
        <color rgb="FF434343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434343"/>
      </top>
      <bottom/>
      <diagonal/>
    </border>
    <border>
      <left/>
      <right/>
      <top style="thick">
        <color rgb="FF434343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434343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434343"/>
      </left>
      <right/>
      <top/>
      <bottom style="thick">
        <color rgb="FF434343"/>
      </bottom>
      <diagonal/>
    </border>
    <border>
      <left/>
      <right/>
      <top style="thin">
        <color rgb="FF000000"/>
      </top>
      <bottom style="thick">
        <color rgb="FF434343"/>
      </bottom>
      <diagonal/>
    </border>
    <border>
      <left/>
      <right/>
      <top/>
      <bottom style="thick">
        <color rgb="FF434343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434343"/>
      </bottom>
      <diagonal/>
    </border>
    <border>
      <left style="thick">
        <color rgb="FF000000"/>
      </left>
      <right/>
      <top style="thin">
        <color rgb="FF000000"/>
      </top>
      <bottom style="thick">
        <color rgb="FF434343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434343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434343"/>
      </right>
      <top style="thick">
        <color rgb="FF434343"/>
      </top>
      <bottom/>
      <diagonal/>
    </border>
    <border>
      <left/>
      <right style="thick">
        <color rgb="FF434343"/>
      </right>
      <top/>
      <bottom/>
      <diagonal/>
    </border>
    <border>
      <left/>
      <right style="thick">
        <color rgb="FF434343"/>
      </right>
      <top/>
      <bottom style="thick">
        <color rgb="FF434343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9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3" fillId="0" borderId="1" xfId="0" applyFont="1" applyBorder="1"/>
    <xf numFmtId="164" fontId="2" fillId="2" borderId="2" xfId="0" applyNumberFormat="1" applyFont="1" applyFill="1" applyBorder="1"/>
    <xf numFmtId="0" fontId="3" fillId="0" borderId="3" xfId="0" applyFont="1" applyBorder="1"/>
    <xf numFmtId="0" fontId="3" fillId="0" borderId="8" xfId="0" applyFont="1" applyBorder="1"/>
    <xf numFmtId="0" fontId="2" fillId="0" borderId="8" xfId="0" applyFont="1" applyBorder="1" applyAlignment="1">
      <alignment horizontal="left"/>
    </xf>
    <xf numFmtId="0" fontId="7" fillId="0" borderId="1" xfId="0" applyFont="1" applyBorder="1"/>
    <xf numFmtId="0" fontId="2" fillId="0" borderId="3" xfId="0" applyFont="1" applyBorder="1"/>
    <xf numFmtId="0" fontId="2" fillId="0" borderId="9" xfId="0" applyFont="1" applyBorder="1" applyAlignment="1">
      <alignment horizontal="left"/>
    </xf>
    <xf numFmtId="0" fontId="7" fillId="0" borderId="10" xfId="0" applyFont="1" applyBorder="1"/>
    <xf numFmtId="0" fontId="2" fillId="0" borderId="10" xfId="0" applyFont="1" applyBorder="1" applyAlignment="1">
      <alignment horizontal="left"/>
    </xf>
    <xf numFmtId="0" fontId="7" fillId="0" borderId="3" xfId="0" applyFont="1" applyBorder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9" fontId="3" fillId="0" borderId="3" xfId="0" applyNumberFormat="1" applyFont="1" applyBorder="1"/>
    <xf numFmtId="0" fontId="8" fillId="0" borderId="0" xfId="0" applyFont="1"/>
    <xf numFmtId="0" fontId="6" fillId="0" borderId="11" xfId="0" applyFont="1" applyBorder="1"/>
    <xf numFmtId="0" fontId="4" fillId="0" borderId="0" xfId="0" applyFont="1"/>
    <xf numFmtId="0" fontId="3" fillId="0" borderId="7" xfId="0" applyFont="1" applyBorder="1"/>
    <xf numFmtId="0" fontId="7" fillId="0" borderId="0" xfId="0" applyFont="1"/>
    <xf numFmtId="0" fontId="6" fillId="0" borderId="12" xfId="0" applyFont="1" applyBorder="1" applyAlignment="1">
      <alignment horizontal="center"/>
    </xf>
    <xf numFmtId="0" fontId="2" fillId="0" borderId="0" xfId="0" applyFont="1"/>
    <xf numFmtId="0" fontId="3" fillId="0" borderId="13" xfId="0" applyFont="1" applyBorder="1"/>
    <xf numFmtId="0" fontId="2" fillId="0" borderId="0" xfId="0" applyFont="1" applyAlignment="1">
      <alignment wrapText="1"/>
    </xf>
    <xf numFmtId="0" fontId="2" fillId="0" borderId="14" xfId="0" applyFont="1" applyBorder="1"/>
    <xf numFmtId="0" fontId="4" fillId="0" borderId="3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0" xfId="0" applyFont="1"/>
    <xf numFmtId="0" fontId="6" fillId="0" borderId="13" xfId="0" applyFont="1" applyBorder="1"/>
    <xf numFmtId="0" fontId="3" fillId="0" borderId="14" xfId="0" applyFont="1" applyBorder="1"/>
    <xf numFmtId="0" fontId="3" fillId="0" borderId="16" xfId="0" applyFont="1" applyBorder="1"/>
    <xf numFmtId="0" fontId="9" fillId="0" borderId="13" xfId="0" applyFont="1" applyBorder="1"/>
    <xf numFmtId="0" fontId="9" fillId="0" borderId="11" xfId="0" applyFont="1" applyBorder="1"/>
    <xf numFmtId="0" fontId="10" fillId="0" borderId="13" xfId="0" applyFont="1" applyBorder="1"/>
    <xf numFmtId="0" fontId="6" fillId="0" borderId="0" xfId="0" applyFont="1" applyAlignment="1">
      <alignment wrapText="1"/>
    </xf>
    <xf numFmtId="0" fontId="10" fillId="0" borderId="0" xfId="0" applyFont="1" applyAlignment="1">
      <alignment horizontal="right"/>
    </xf>
    <xf numFmtId="0" fontId="7" fillId="0" borderId="7" xfId="0" applyFont="1" applyBorder="1"/>
    <xf numFmtId="0" fontId="6" fillId="0" borderId="0" xfId="0" applyFont="1" applyAlignment="1">
      <alignment horizontal="left" wrapText="1"/>
    </xf>
    <xf numFmtId="0" fontId="7" fillId="0" borderId="13" xfId="0" applyFont="1" applyBorder="1"/>
    <xf numFmtId="0" fontId="4" fillId="0" borderId="0" xfId="0" applyFont="1" applyAlignment="1">
      <alignment wrapText="1"/>
    </xf>
    <xf numFmtId="0" fontId="7" fillId="0" borderId="0" xfId="0" applyFont="1" applyAlignment="1">
      <alignment horizontal="center"/>
    </xf>
    <xf numFmtId="165" fontId="2" fillId="3" borderId="0" xfId="0" applyNumberFormat="1" applyFont="1" applyFill="1"/>
    <xf numFmtId="0" fontId="6" fillId="0" borderId="14" xfId="0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2" fillId="0" borderId="13" xfId="0" applyFont="1" applyBorder="1"/>
    <xf numFmtId="0" fontId="3" fillId="3" borderId="0" xfId="0" applyFont="1" applyFill="1"/>
    <xf numFmtId="0" fontId="2" fillId="0" borderId="16" xfId="0" applyFont="1" applyBorder="1"/>
    <xf numFmtId="0" fontId="10" fillId="0" borderId="11" xfId="0" applyFont="1" applyBorder="1"/>
    <xf numFmtId="0" fontId="8" fillId="0" borderId="14" xfId="0" applyFont="1" applyBorder="1"/>
    <xf numFmtId="0" fontId="1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10" fillId="2" borderId="0" xfId="0" applyFont="1" applyFill="1"/>
    <xf numFmtId="0" fontId="10" fillId="4" borderId="0" xfId="0" applyFont="1" applyFill="1" applyAlignment="1">
      <alignment horizontal="right"/>
    </xf>
    <xf numFmtId="3" fontId="3" fillId="0" borderId="0" xfId="0" applyNumberFormat="1" applyFont="1"/>
    <xf numFmtId="0" fontId="7" fillId="2" borderId="0" xfId="0" applyFont="1" applyFill="1" applyAlignment="1">
      <alignment horizontal="right"/>
    </xf>
    <xf numFmtId="0" fontId="7" fillId="4" borderId="0" xfId="0" applyFont="1" applyFill="1" applyAlignment="1">
      <alignment horizontal="right"/>
    </xf>
    <xf numFmtId="9" fontId="10" fillId="0" borderId="0" xfId="0" applyNumberFormat="1" applyFont="1" applyAlignment="1">
      <alignment horizontal="right"/>
    </xf>
    <xf numFmtId="9" fontId="7" fillId="0" borderId="0" xfId="0" applyNumberFormat="1" applyFont="1" applyAlignment="1">
      <alignment horizontal="right"/>
    </xf>
    <xf numFmtId="3" fontId="3" fillId="0" borderId="14" xfId="0" applyNumberFormat="1" applyFont="1" applyBorder="1"/>
    <xf numFmtId="166" fontId="3" fillId="0" borderId="0" xfId="0" applyNumberFormat="1" applyFont="1"/>
    <xf numFmtId="0" fontId="10" fillId="5" borderId="0" xfId="0" applyFont="1" applyFill="1" applyAlignment="1">
      <alignment horizontal="right"/>
    </xf>
    <xf numFmtId="0" fontId="10" fillId="0" borderId="0" xfId="0" applyFont="1"/>
    <xf numFmtId="0" fontId="7" fillId="6" borderId="0" xfId="0" applyFont="1" applyFill="1" applyAlignment="1">
      <alignment horizontal="right"/>
    </xf>
    <xf numFmtId="0" fontId="10" fillId="4" borderId="14" xfId="0" applyFont="1" applyFill="1" applyBorder="1" applyAlignment="1">
      <alignment horizontal="right"/>
    </xf>
    <xf numFmtId="0" fontId="10" fillId="6" borderId="13" xfId="0" applyFont="1" applyFill="1" applyBorder="1" applyAlignment="1">
      <alignment horizontal="right"/>
    </xf>
    <xf numFmtId="0" fontId="10" fillId="0" borderId="17" xfId="0" applyFont="1" applyBorder="1" applyAlignment="1">
      <alignment horizontal="right"/>
    </xf>
    <xf numFmtId="9" fontId="7" fillId="0" borderId="14" xfId="0" applyNumberFormat="1" applyFont="1" applyBorder="1" applyAlignment="1">
      <alignment horizontal="right"/>
    </xf>
    <xf numFmtId="167" fontId="7" fillId="7" borderId="0" xfId="0" applyNumberFormat="1" applyFont="1" applyFill="1"/>
    <xf numFmtId="167" fontId="7" fillId="7" borderId="0" xfId="0" applyNumberFormat="1" applyFont="1" applyFill="1" applyAlignment="1">
      <alignment horizontal="right"/>
    </xf>
    <xf numFmtId="0" fontId="12" fillId="0" borderId="0" xfId="0" applyFont="1"/>
    <xf numFmtId="9" fontId="13" fillId="0" borderId="16" xfId="0" applyNumberFormat="1" applyFont="1" applyBorder="1"/>
    <xf numFmtId="0" fontId="14" fillId="0" borderId="13" xfId="0" applyFont="1" applyBorder="1"/>
    <xf numFmtId="167" fontId="3" fillId="5" borderId="0" xfId="0" applyNumberFormat="1" applyFont="1" applyFill="1"/>
    <xf numFmtId="0" fontId="14" fillId="2" borderId="18" xfId="0" applyFont="1" applyFill="1" applyBorder="1"/>
    <xf numFmtId="0" fontId="3" fillId="5" borderId="0" xfId="0" applyFont="1" applyFill="1"/>
    <xf numFmtId="165" fontId="14" fillId="2" borderId="18" xfId="0" applyNumberFormat="1" applyFont="1" applyFill="1" applyBorder="1"/>
    <xf numFmtId="3" fontId="14" fillId="2" borderId="18" xfId="0" applyNumberFormat="1" applyFont="1" applyFill="1" applyBorder="1"/>
    <xf numFmtId="3" fontId="14" fillId="2" borderId="19" xfId="0" applyNumberFormat="1" applyFont="1" applyFill="1" applyBorder="1"/>
    <xf numFmtId="167" fontId="3" fillId="0" borderId="0" xfId="0" applyNumberFormat="1" applyFont="1"/>
    <xf numFmtId="0" fontId="7" fillId="0" borderId="17" xfId="0" applyFont="1" applyBorder="1" applyAlignment="1">
      <alignment horizontal="right"/>
    </xf>
    <xf numFmtId="0" fontId="8" fillId="0" borderId="13" xfId="0" applyFont="1" applyBorder="1"/>
    <xf numFmtId="0" fontId="10" fillId="0" borderId="17" xfId="0" applyFont="1" applyBorder="1"/>
    <xf numFmtId="0" fontId="8" fillId="2" borderId="0" xfId="0" applyFont="1" applyFill="1" applyAlignment="1">
      <alignment horizontal="right"/>
    </xf>
    <xf numFmtId="9" fontId="8" fillId="0" borderId="0" xfId="0" applyNumberFormat="1" applyFont="1" applyAlignment="1">
      <alignment horizontal="right"/>
    </xf>
    <xf numFmtId="0" fontId="14" fillId="0" borderId="11" xfId="0" applyFont="1" applyBorder="1"/>
    <xf numFmtId="9" fontId="14" fillId="0" borderId="0" xfId="0" applyNumberFormat="1" applyFont="1" applyAlignment="1">
      <alignment horizontal="right"/>
    </xf>
    <xf numFmtId="10" fontId="7" fillId="0" borderId="0" xfId="0" applyNumberFormat="1" applyFont="1"/>
    <xf numFmtId="0" fontId="14" fillId="2" borderId="19" xfId="0" applyFont="1" applyFill="1" applyBorder="1"/>
    <xf numFmtId="0" fontId="14" fillId="2" borderId="20" xfId="0" applyFont="1" applyFill="1" applyBorder="1"/>
    <xf numFmtId="9" fontId="15" fillId="0" borderId="16" xfId="0" applyNumberFormat="1" applyFont="1" applyBorder="1"/>
    <xf numFmtId="167" fontId="7" fillId="0" borderId="0" xfId="0" applyNumberFormat="1" applyFont="1"/>
    <xf numFmtId="0" fontId="14" fillId="0" borderId="21" xfId="0" applyFont="1" applyBorder="1"/>
    <xf numFmtId="3" fontId="14" fillId="2" borderId="22" xfId="0" applyNumberFormat="1" applyFont="1" applyFill="1" applyBorder="1"/>
    <xf numFmtId="168" fontId="14" fillId="2" borderId="22" xfId="0" applyNumberFormat="1" applyFont="1" applyFill="1" applyBorder="1"/>
    <xf numFmtId="3" fontId="14" fillId="2" borderId="23" xfId="0" applyNumberFormat="1" applyFont="1" applyFill="1" applyBorder="1"/>
    <xf numFmtId="166" fontId="2" fillId="0" borderId="18" xfId="0" applyNumberFormat="1" applyFont="1" applyBorder="1"/>
    <xf numFmtId="166" fontId="2" fillId="0" borderId="0" xfId="0" applyNumberFormat="1" applyFont="1"/>
    <xf numFmtId="166" fontId="2" fillId="0" borderId="17" xfId="0" applyNumberFormat="1" applyFont="1" applyBorder="1"/>
    <xf numFmtId="169" fontId="3" fillId="0" borderId="0" xfId="0" applyNumberFormat="1" applyFont="1"/>
    <xf numFmtId="0" fontId="10" fillId="0" borderId="14" xfId="0" applyFont="1" applyBorder="1"/>
    <xf numFmtId="0" fontId="13" fillId="0" borderId="13" xfId="0" applyFont="1" applyBorder="1"/>
    <xf numFmtId="0" fontId="13" fillId="0" borderId="0" xfId="0" applyFont="1"/>
    <xf numFmtId="0" fontId="13" fillId="0" borderId="16" xfId="0" applyFont="1" applyBorder="1"/>
    <xf numFmtId="0" fontId="14" fillId="0" borderId="24" xfId="0" applyFont="1" applyBorder="1"/>
    <xf numFmtId="0" fontId="7" fillId="0" borderId="14" xfId="0" applyFont="1" applyBorder="1"/>
    <xf numFmtId="3" fontId="14" fillId="2" borderId="25" xfId="0" applyNumberFormat="1" applyFont="1" applyFill="1" applyBorder="1"/>
    <xf numFmtId="0" fontId="8" fillId="0" borderId="21" xfId="0" applyFont="1" applyBorder="1"/>
    <xf numFmtId="9" fontId="14" fillId="0" borderId="26" xfId="0" applyNumberFormat="1" applyFont="1" applyBorder="1" applyAlignment="1">
      <alignment horizontal="right"/>
    </xf>
    <xf numFmtId="0" fontId="8" fillId="2" borderId="27" xfId="0" applyFont="1" applyFill="1" applyBorder="1" applyAlignment="1">
      <alignment horizontal="right"/>
    </xf>
    <xf numFmtId="9" fontId="8" fillId="0" borderId="27" xfId="0" applyNumberFormat="1" applyFont="1" applyBorder="1" applyAlignment="1">
      <alignment horizontal="right"/>
    </xf>
    <xf numFmtId="3" fontId="14" fillId="2" borderId="28" xfId="0" applyNumberFormat="1" applyFont="1" applyFill="1" applyBorder="1"/>
    <xf numFmtId="3" fontId="14" fillId="2" borderId="29" xfId="0" applyNumberFormat="1" applyFont="1" applyFill="1" applyBorder="1"/>
    <xf numFmtId="0" fontId="14" fillId="2" borderId="30" xfId="0" applyFont="1" applyFill="1" applyBorder="1"/>
    <xf numFmtId="9" fontId="13" fillId="0" borderId="31" xfId="0" applyNumberFormat="1" applyFont="1" applyBorder="1"/>
    <xf numFmtId="9" fontId="7" fillId="0" borderId="32" xfId="0" applyNumberFormat="1" applyFont="1" applyBorder="1" applyAlignment="1">
      <alignment horizontal="right"/>
    </xf>
    <xf numFmtId="0" fontId="9" fillId="0" borderId="0" xfId="0" applyFont="1" applyAlignment="1">
      <alignment horizontal="left"/>
    </xf>
    <xf numFmtId="14" fontId="3" fillId="0" borderId="0" xfId="0" applyNumberFormat="1" applyFont="1"/>
    <xf numFmtId="164" fontId="8" fillId="0" borderId="0" xfId="0" applyNumberFormat="1" applyFont="1" applyAlignment="1">
      <alignment horizontal="right"/>
    </xf>
    <xf numFmtId="14" fontId="7" fillId="0" borderId="0" xfId="0" applyNumberFormat="1" applyFont="1" applyAlignment="1">
      <alignment horizontal="right"/>
    </xf>
    <xf numFmtId="0" fontId="10" fillId="0" borderId="0" xfId="0" applyFont="1" applyAlignment="1">
      <alignment wrapText="1"/>
    </xf>
    <xf numFmtId="167" fontId="7" fillId="0" borderId="0" xfId="0" applyNumberFormat="1" applyFont="1" applyAlignment="1">
      <alignment horizontal="right"/>
    </xf>
    <xf numFmtId="0" fontId="9" fillId="0" borderId="21" xfId="0" applyFont="1" applyBorder="1"/>
    <xf numFmtId="3" fontId="10" fillId="0" borderId="27" xfId="0" applyNumberFormat="1" applyFont="1" applyBorder="1"/>
    <xf numFmtId="0" fontId="9" fillId="0" borderId="12" xfId="0" applyFont="1" applyBorder="1" applyAlignment="1">
      <alignment horizontal="center"/>
    </xf>
    <xf numFmtId="10" fontId="3" fillId="0" borderId="0" xfId="0" applyNumberFormat="1" applyFont="1"/>
    <xf numFmtId="0" fontId="9" fillId="0" borderId="0" xfId="0" applyFont="1" applyAlignment="1">
      <alignment horizontal="center"/>
    </xf>
    <xf numFmtId="170" fontId="7" fillId="0" borderId="0" xfId="0" applyNumberFormat="1" applyFont="1"/>
    <xf numFmtId="0" fontId="9" fillId="0" borderId="0" xfId="0" applyFont="1" applyAlignment="1">
      <alignment wrapText="1"/>
    </xf>
    <xf numFmtId="0" fontId="6" fillId="0" borderId="14" xfId="0" applyFont="1" applyBorder="1" applyAlignment="1">
      <alignment horizontal="center"/>
    </xf>
    <xf numFmtId="0" fontId="9" fillId="0" borderId="0" xfId="0" applyFont="1" applyAlignment="1">
      <alignment horizontal="left" wrapText="1"/>
    </xf>
    <xf numFmtId="0" fontId="9" fillId="0" borderId="14" xfId="0" applyFont="1" applyBorder="1" applyAlignment="1">
      <alignment wrapText="1"/>
    </xf>
    <xf numFmtId="0" fontId="9" fillId="0" borderId="13" xfId="0" applyFont="1" applyBorder="1" applyAlignment="1">
      <alignment wrapText="1"/>
    </xf>
    <xf numFmtId="9" fontId="3" fillId="0" borderId="0" xfId="0" applyNumberFormat="1" applyFont="1"/>
    <xf numFmtId="0" fontId="4" fillId="0" borderId="14" xfId="0" applyFont="1" applyBorder="1" applyAlignment="1">
      <alignment wrapText="1"/>
    </xf>
    <xf numFmtId="0" fontId="7" fillId="4" borderId="14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right"/>
    </xf>
    <xf numFmtId="0" fontId="14" fillId="2" borderId="0" xfId="0" applyFont="1" applyFill="1"/>
    <xf numFmtId="0" fontId="14" fillId="2" borderId="14" xfId="0" applyFont="1" applyFill="1" applyBorder="1"/>
    <xf numFmtId="0" fontId="3" fillId="8" borderId="0" xfId="0" applyFont="1" applyFill="1"/>
    <xf numFmtId="9" fontId="14" fillId="0" borderId="27" xfId="0" applyNumberFormat="1" applyFont="1" applyBorder="1" applyAlignment="1">
      <alignment horizontal="right"/>
    </xf>
    <xf numFmtId="9" fontId="7" fillId="0" borderId="0" xfId="0" applyNumberFormat="1" applyFont="1"/>
    <xf numFmtId="0" fontId="7" fillId="4" borderId="14" xfId="0" applyFont="1" applyFill="1" applyBorder="1"/>
    <xf numFmtId="0" fontId="7" fillId="0" borderId="27" xfId="0" applyFont="1" applyBorder="1"/>
    <xf numFmtId="0" fontId="8" fillId="2" borderId="32" xfId="0" applyFont="1" applyFill="1" applyBorder="1" applyAlignment="1">
      <alignment horizontal="right"/>
    </xf>
    <xf numFmtId="0" fontId="9" fillId="0" borderId="3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4" fillId="5" borderId="0" xfId="0" applyFont="1" applyFill="1"/>
    <xf numFmtId="0" fontId="10" fillId="8" borderId="0" xfId="0" applyFont="1" applyFill="1" applyAlignment="1">
      <alignment horizontal="right"/>
    </xf>
    <xf numFmtId="3" fontId="14" fillId="2" borderId="26" xfId="0" applyNumberFormat="1" applyFont="1" applyFill="1" applyBorder="1"/>
    <xf numFmtId="0" fontId="2" fillId="0" borderId="0" xfId="0" applyFont="1" applyAlignment="1">
      <alignment horizontal="center"/>
    </xf>
    <xf numFmtId="0" fontId="16" fillId="0" borderId="0" xfId="0" applyFont="1"/>
    <xf numFmtId="0" fontId="10" fillId="8" borderId="0" xfId="0" applyFont="1" applyFill="1"/>
    <xf numFmtId="0" fontId="14" fillId="0" borderId="0" xfId="0" applyFont="1"/>
    <xf numFmtId="0" fontId="6" fillId="0" borderId="0" xfId="0" applyFont="1" applyAlignment="1">
      <alignment horizontal="right"/>
    </xf>
    <xf numFmtId="0" fontId="3" fillId="0" borderId="21" xfId="0" applyFont="1" applyBorder="1"/>
    <xf numFmtId="0" fontId="3" fillId="0" borderId="27" xfId="0" applyFont="1" applyBorder="1"/>
    <xf numFmtId="0" fontId="3" fillId="0" borderId="32" xfId="0" applyFont="1" applyBorder="1"/>
    <xf numFmtId="3" fontId="6" fillId="0" borderId="27" xfId="0" applyNumberFormat="1" applyFont="1" applyBorder="1"/>
    <xf numFmtId="170" fontId="3" fillId="0" borderId="0" xfId="0" applyNumberFormat="1" applyFont="1"/>
    <xf numFmtId="171" fontId="2" fillId="0" borderId="0" xfId="0" applyNumberFormat="1" applyFont="1"/>
    <xf numFmtId="0" fontId="9" fillId="0" borderId="15" xfId="0" applyFont="1" applyBorder="1" applyAlignment="1">
      <alignment horizontal="center"/>
    </xf>
    <xf numFmtId="0" fontId="2" fillId="0" borderId="40" xfId="0" applyFont="1" applyBorder="1" applyAlignment="1">
      <alignment horizontal="left"/>
    </xf>
    <xf numFmtId="0" fontId="3" fillId="0" borderId="41" xfId="0" applyFont="1" applyBorder="1"/>
    <xf numFmtId="0" fontId="2" fillId="0" borderId="41" xfId="0" applyFont="1" applyBorder="1"/>
    <xf numFmtId="3" fontId="10" fillId="8" borderId="0" xfId="0" applyNumberFormat="1" applyFont="1" applyFill="1" applyAlignment="1">
      <alignment horizontal="right"/>
    </xf>
    <xf numFmtId="3" fontId="10" fillId="5" borderId="0" xfId="0" applyNumberFormat="1" applyFont="1" applyFill="1" applyAlignment="1">
      <alignment horizontal="right"/>
    </xf>
    <xf numFmtId="3" fontId="10" fillId="2" borderId="0" xfId="0" applyNumberFormat="1" applyFont="1" applyFill="1"/>
    <xf numFmtId="3" fontId="10" fillId="6" borderId="13" xfId="0" applyNumberFormat="1" applyFont="1" applyFill="1" applyBorder="1" applyAlignment="1">
      <alignment horizontal="right"/>
    </xf>
    <xf numFmtId="9" fontId="13" fillId="0" borderId="41" xfId="0" applyNumberFormat="1" applyFont="1" applyBorder="1"/>
    <xf numFmtId="3" fontId="14" fillId="2" borderId="20" xfId="0" applyNumberFormat="1" applyFont="1" applyFill="1" applyBorder="1"/>
    <xf numFmtId="9" fontId="15" fillId="0" borderId="41" xfId="0" applyNumberFormat="1" applyFont="1" applyBorder="1"/>
    <xf numFmtId="0" fontId="13" fillId="0" borderId="41" xfId="0" applyFont="1" applyBorder="1"/>
    <xf numFmtId="0" fontId="9" fillId="0" borderId="0" xfId="0" applyFont="1"/>
    <xf numFmtId="9" fontId="13" fillId="0" borderId="42" xfId="0" applyNumberFormat="1" applyFont="1" applyBorder="1"/>
    <xf numFmtId="3" fontId="9" fillId="0" borderId="0" xfId="0" applyNumberFormat="1" applyFont="1" applyAlignment="1">
      <alignment horizontal="right"/>
    </xf>
    <xf numFmtId="10" fontId="2" fillId="0" borderId="0" xfId="0" applyNumberFormat="1" applyFont="1"/>
    <xf numFmtId="0" fontId="9" fillId="0" borderId="0" xfId="0" applyFont="1" applyAlignment="1">
      <alignment horizontal="right"/>
    </xf>
    <xf numFmtId="0" fontId="3" fillId="0" borderId="10" xfId="0" applyFont="1" applyBorder="1"/>
    <xf numFmtId="0" fontId="9" fillId="0" borderId="16" xfId="0" applyFont="1" applyBorder="1" applyAlignment="1">
      <alignment wrapText="1"/>
    </xf>
    <xf numFmtId="0" fontId="10" fillId="0" borderId="13" xfId="0" applyFont="1" applyBorder="1" applyAlignment="1">
      <alignment horizontal="right"/>
    </xf>
    <xf numFmtId="9" fontId="10" fillId="0" borderId="14" xfId="0" applyNumberFormat="1" applyFont="1" applyBorder="1" applyAlignment="1">
      <alignment horizontal="right"/>
    </xf>
    <xf numFmtId="0" fontId="10" fillId="4" borderId="16" xfId="0" applyFont="1" applyFill="1" applyBorder="1" applyAlignment="1">
      <alignment horizontal="right"/>
    </xf>
    <xf numFmtId="0" fontId="14" fillId="2" borderId="44" xfId="0" applyFont="1" applyFill="1" applyBorder="1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10" fillId="0" borderId="16" xfId="0" applyFont="1" applyBorder="1"/>
    <xf numFmtId="3" fontId="10" fillId="4" borderId="0" xfId="0" applyNumberFormat="1" applyFont="1" applyFill="1" applyAlignment="1">
      <alignment horizontal="right"/>
    </xf>
    <xf numFmtId="0" fontId="10" fillId="0" borderId="45" xfId="0" applyFont="1" applyBorder="1" applyAlignment="1">
      <alignment horizontal="right"/>
    </xf>
    <xf numFmtId="3" fontId="14" fillId="2" borderId="30" xfId="0" applyNumberFormat="1" applyFont="1" applyFill="1" applyBorder="1"/>
    <xf numFmtId="9" fontId="14" fillId="0" borderId="32" xfId="0" applyNumberFormat="1" applyFont="1" applyBorder="1" applyAlignment="1">
      <alignment horizontal="right"/>
    </xf>
    <xf numFmtId="3" fontId="14" fillId="2" borderId="46" xfId="0" applyNumberFormat="1" applyFont="1" applyFill="1" applyBorder="1"/>
    <xf numFmtId="9" fontId="2" fillId="0" borderId="0" xfId="0" applyNumberFormat="1" applyFont="1"/>
    <xf numFmtId="3" fontId="10" fillId="4" borderId="14" xfId="0" applyNumberFormat="1" applyFont="1" applyFill="1" applyBorder="1" applyAlignment="1">
      <alignment horizontal="right"/>
    </xf>
    <xf numFmtId="3" fontId="2" fillId="0" borderId="0" xfId="0" applyNumberFormat="1" applyFont="1"/>
    <xf numFmtId="3" fontId="10" fillId="0" borderId="0" xfId="0" applyNumberFormat="1" applyFont="1"/>
    <xf numFmtId="9" fontId="13" fillId="0" borderId="14" xfId="0" applyNumberFormat="1" applyFont="1" applyBorder="1"/>
    <xf numFmtId="3" fontId="10" fillId="6" borderId="16" xfId="0" applyNumberFormat="1" applyFont="1" applyFill="1" applyBorder="1" applyAlignment="1">
      <alignment horizontal="right"/>
    </xf>
    <xf numFmtId="0" fontId="10" fillId="6" borderId="16" xfId="0" applyFont="1" applyFill="1" applyBorder="1" applyAlignment="1">
      <alignment horizontal="right"/>
    </xf>
    <xf numFmtId="3" fontId="10" fillId="0" borderId="0" xfId="0" applyNumberFormat="1" applyFont="1" applyAlignment="1">
      <alignment horizontal="right"/>
    </xf>
    <xf numFmtId="9" fontId="15" fillId="0" borderId="14" xfId="0" applyNumberFormat="1" applyFont="1" applyBorder="1"/>
    <xf numFmtId="3" fontId="14" fillId="2" borderId="44" xfId="0" applyNumberFormat="1" applyFont="1" applyFill="1" applyBorder="1"/>
    <xf numFmtId="3" fontId="10" fillId="8" borderId="0" xfId="0" applyNumberFormat="1" applyFont="1" applyFill="1"/>
    <xf numFmtId="3" fontId="14" fillId="0" borderId="14" xfId="0" applyNumberFormat="1" applyFont="1" applyBorder="1" applyAlignment="1">
      <alignment horizontal="right"/>
    </xf>
    <xf numFmtId="0" fontId="14" fillId="0" borderId="0" xfId="0" applyFont="1" applyAlignment="1">
      <alignment horizontal="right"/>
    </xf>
    <xf numFmtId="172" fontId="10" fillId="0" borderId="0" xfId="0" applyNumberFormat="1" applyFont="1" applyAlignment="1">
      <alignment horizontal="right"/>
    </xf>
    <xf numFmtId="9" fontId="14" fillId="0" borderId="14" xfId="0" applyNumberFormat="1" applyFont="1" applyBorder="1" applyAlignment="1">
      <alignment horizontal="right"/>
    </xf>
    <xf numFmtId="0" fontId="10" fillId="0" borderId="21" xfId="0" applyFont="1" applyBorder="1"/>
    <xf numFmtId="0" fontId="10" fillId="0" borderId="27" xfId="0" applyFont="1" applyBorder="1"/>
    <xf numFmtId="0" fontId="14" fillId="0" borderId="27" xfId="0" applyFont="1" applyBorder="1" applyAlignment="1">
      <alignment horizontal="right"/>
    </xf>
    <xf numFmtId="172" fontId="10" fillId="0" borderId="27" xfId="0" applyNumberFormat="1" applyFont="1" applyBorder="1" applyAlignment="1">
      <alignment horizontal="right"/>
    </xf>
    <xf numFmtId="3" fontId="10" fillId="0" borderId="27" xfId="0" applyNumberFormat="1" applyFont="1" applyBorder="1" applyAlignment="1">
      <alignment horizontal="right"/>
    </xf>
    <xf numFmtId="0" fontId="10" fillId="0" borderId="32" xfId="0" applyFont="1" applyBorder="1"/>
    <xf numFmtId="0" fontId="13" fillId="0" borderId="14" xfId="0" applyFont="1" applyBorder="1"/>
    <xf numFmtId="9" fontId="13" fillId="0" borderId="32" xfId="0" applyNumberFormat="1" applyFont="1" applyBorder="1"/>
    <xf numFmtId="169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3" fontId="2" fillId="2" borderId="2" xfId="0" applyNumberFormat="1" applyFont="1" applyFill="1" applyBorder="1"/>
    <xf numFmtId="3" fontId="10" fillId="0" borderId="0" xfId="0" applyNumberFormat="1" applyFont="1" applyAlignment="1">
      <alignment wrapText="1"/>
    </xf>
    <xf numFmtId="0" fontId="2" fillId="0" borderId="12" xfId="0" applyFont="1" applyBorder="1"/>
    <xf numFmtId="173" fontId="3" fillId="0" borderId="0" xfId="0" applyNumberFormat="1" applyFont="1"/>
    <xf numFmtId="0" fontId="2" fillId="2" borderId="18" xfId="0" applyFont="1" applyFill="1" applyBorder="1"/>
    <xf numFmtId="3" fontId="2" fillId="0" borderId="18" xfId="0" applyNumberFormat="1" applyFont="1" applyBorder="1"/>
    <xf numFmtId="0" fontId="3" fillId="2" borderId="0" xfId="0" applyFont="1" applyFill="1"/>
    <xf numFmtId="0" fontId="17" fillId="8" borderId="0" xfId="0" applyFont="1" applyFill="1" applyAlignment="1">
      <alignment horizontal="right"/>
    </xf>
    <xf numFmtId="0" fontId="17" fillId="0" borderId="0" xfId="0" applyFont="1" applyAlignment="1">
      <alignment horizontal="right"/>
    </xf>
    <xf numFmtId="0" fontId="6" fillId="2" borderId="0" xfId="0" applyFont="1" applyFill="1"/>
    <xf numFmtId="3" fontId="17" fillId="4" borderId="0" xfId="0" applyNumberFormat="1" applyFont="1" applyFill="1" applyAlignment="1">
      <alignment horizontal="right"/>
    </xf>
    <xf numFmtId="0" fontId="17" fillId="0" borderId="45" xfId="0" applyFont="1" applyBorder="1" applyAlignment="1">
      <alignment horizontal="right"/>
    </xf>
    <xf numFmtId="0" fontId="17" fillId="5" borderId="0" xfId="0" applyFont="1" applyFill="1" applyAlignment="1">
      <alignment horizontal="right"/>
    </xf>
    <xf numFmtId="3" fontId="17" fillId="4" borderId="14" xfId="0" applyNumberFormat="1" applyFont="1" applyFill="1" applyBorder="1" applyAlignment="1">
      <alignment horizontal="right"/>
    </xf>
    <xf numFmtId="3" fontId="17" fillId="6" borderId="16" xfId="0" applyNumberFormat="1" applyFont="1" applyFill="1" applyBorder="1" applyAlignment="1">
      <alignment horizontal="right"/>
    </xf>
    <xf numFmtId="3" fontId="17" fillId="8" borderId="0" xfId="0" applyNumberFormat="1" applyFont="1" applyFill="1" applyAlignment="1">
      <alignment horizontal="right"/>
    </xf>
    <xf numFmtId="3" fontId="17" fillId="0" borderId="0" xfId="0" applyNumberFormat="1" applyFont="1" applyAlignment="1">
      <alignment horizontal="right"/>
    </xf>
    <xf numFmtId="3" fontId="6" fillId="2" borderId="0" xfId="0" applyNumberFormat="1" applyFont="1" applyFill="1"/>
    <xf numFmtId="0" fontId="17" fillId="4" borderId="0" xfId="0" applyFont="1" applyFill="1" applyAlignment="1">
      <alignment horizontal="right"/>
    </xf>
    <xf numFmtId="3" fontId="17" fillId="5" borderId="0" xfId="0" applyNumberFormat="1" applyFont="1" applyFill="1" applyAlignment="1">
      <alignment horizontal="right"/>
    </xf>
    <xf numFmtId="3" fontId="6" fillId="0" borderId="0" xfId="0" applyNumberFormat="1" applyFont="1"/>
    <xf numFmtId="0" fontId="17" fillId="4" borderId="14" xfId="0" applyFont="1" applyFill="1" applyBorder="1" applyAlignment="1">
      <alignment horizontal="right"/>
    </xf>
    <xf numFmtId="0" fontId="9" fillId="2" borderId="18" xfId="0" applyFont="1" applyFill="1" applyBorder="1"/>
    <xf numFmtId="3" fontId="9" fillId="2" borderId="18" xfId="0" applyNumberFormat="1" applyFont="1" applyFill="1" applyBorder="1"/>
    <xf numFmtId="3" fontId="9" fillId="2" borderId="19" xfId="0" applyNumberFormat="1" applyFont="1" applyFill="1" applyBorder="1"/>
    <xf numFmtId="3" fontId="9" fillId="2" borderId="44" xfId="0" applyNumberFormat="1" applyFont="1" applyFill="1" applyBorder="1"/>
    <xf numFmtId="0" fontId="9" fillId="2" borderId="19" xfId="0" applyFont="1" applyFill="1" applyBorder="1"/>
    <xf numFmtId="3" fontId="3" fillId="2" borderId="0" xfId="0" applyNumberFormat="1" applyFont="1" applyFill="1"/>
    <xf numFmtId="3" fontId="2" fillId="2" borderId="0" xfId="0" applyNumberFormat="1" applyFont="1" applyFill="1"/>
    <xf numFmtId="0" fontId="6" fillId="0" borderId="14" xfId="0" applyFont="1" applyBorder="1"/>
    <xf numFmtId="0" fontId="6" fillId="0" borderId="16" xfId="0" applyFont="1" applyBorder="1"/>
    <xf numFmtId="3" fontId="9" fillId="2" borderId="22" xfId="0" applyNumberFormat="1" applyFont="1" applyFill="1" applyBorder="1"/>
    <xf numFmtId="3" fontId="9" fillId="2" borderId="23" xfId="0" applyNumberFormat="1" applyFont="1" applyFill="1" applyBorder="1"/>
    <xf numFmtId="3" fontId="9" fillId="2" borderId="46" xfId="0" applyNumberFormat="1" applyFont="1" applyFill="1" applyBorder="1"/>
    <xf numFmtId="3" fontId="6" fillId="0" borderId="0" xfId="0" applyNumberFormat="1" applyFont="1" applyAlignment="1">
      <alignment wrapText="1"/>
    </xf>
    <xf numFmtId="0" fontId="17" fillId="8" borderId="45" xfId="0" applyFont="1" applyFill="1" applyBorder="1" applyAlignment="1">
      <alignment horizontal="right"/>
    </xf>
    <xf numFmtId="0" fontId="9" fillId="0" borderId="32" xfId="0" applyFont="1" applyBorder="1" applyAlignment="1">
      <alignment wrapText="1"/>
    </xf>
    <xf numFmtId="0" fontId="6" fillId="2" borderId="14" xfId="0" applyFont="1" applyFill="1" applyBorder="1"/>
    <xf numFmtId="0" fontId="6" fillId="2" borderId="16" xfId="0" applyFont="1" applyFill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9" fillId="2" borderId="44" xfId="0" applyFont="1" applyFill="1" applyBorder="1"/>
    <xf numFmtId="0" fontId="6" fillId="8" borderId="0" xfId="0" applyFont="1" applyFill="1"/>
    <xf numFmtId="3" fontId="9" fillId="2" borderId="47" xfId="0" applyNumberFormat="1" applyFont="1" applyFill="1" applyBorder="1"/>
    <xf numFmtId="0" fontId="9" fillId="0" borderId="12" xfId="0" applyFont="1" applyBorder="1" applyAlignment="1">
      <alignment horizontal="left"/>
    </xf>
    <xf numFmtId="0" fontId="6" fillId="2" borderId="13" xfId="0" applyFont="1" applyFill="1" applyBorder="1"/>
    <xf numFmtId="174" fontId="3" fillId="0" borderId="0" xfId="0" applyNumberFormat="1" applyFont="1"/>
    <xf numFmtId="0" fontId="9" fillId="0" borderId="14" xfId="0" applyFont="1" applyBorder="1"/>
    <xf numFmtId="0" fontId="4" fillId="0" borderId="1" xfId="0" applyFont="1" applyBorder="1" applyAlignment="1">
      <alignment horizontal="center"/>
    </xf>
    <xf numFmtId="0" fontId="5" fillId="0" borderId="3" xfId="0" applyFont="1" applyBorder="1"/>
    <xf numFmtId="0" fontId="5" fillId="0" borderId="7" xfId="0" applyFont="1" applyBorder="1"/>
    <xf numFmtId="0" fontId="4" fillId="0" borderId="3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5" fillId="0" borderId="34" xfId="0" applyFont="1" applyBorder="1"/>
    <xf numFmtId="0" fontId="5" fillId="0" borderId="35" xfId="0" applyFont="1" applyBorder="1"/>
    <xf numFmtId="0" fontId="9" fillId="0" borderId="12" xfId="0" applyFont="1" applyBorder="1" applyAlignment="1">
      <alignment horizontal="center"/>
    </xf>
    <xf numFmtId="0" fontId="5" fillId="0" borderId="12" xfId="0" applyFont="1" applyBorder="1"/>
    <xf numFmtId="0" fontId="5" fillId="0" borderId="15" xfId="0" applyFont="1" applyBorder="1"/>
    <xf numFmtId="0" fontId="6" fillId="0" borderId="12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5" fillId="0" borderId="37" xfId="0" applyFont="1" applyBorder="1"/>
    <xf numFmtId="0" fontId="5" fillId="0" borderId="38" xfId="0" applyFont="1" applyBorder="1"/>
    <xf numFmtId="0" fontId="6" fillId="0" borderId="0" xfId="0" applyFont="1" applyAlignment="1">
      <alignment horizontal="center"/>
    </xf>
    <xf numFmtId="0" fontId="0" fillId="0" borderId="0" xfId="0"/>
    <xf numFmtId="0" fontId="6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9" fillId="0" borderId="3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295275</xdr:colOff>
      <xdr:row>26</xdr:row>
      <xdr:rowOff>295275</xdr:rowOff>
    </xdr:from>
    <xdr:ext cx="7572375" cy="32861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295275</xdr:colOff>
      <xdr:row>26</xdr:row>
      <xdr:rowOff>295275</xdr:rowOff>
    </xdr:from>
    <xdr:ext cx="7572375" cy="32861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228600</xdr:colOff>
      <xdr:row>25</xdr:row>
      <xdr:rowOff>-190500</xdr:rowOff>
    </xdr:from>
    <xdr:ext cx="8496300" cy="22383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avin Barry" id="{B675B67A-E0D3-4366-AD5A-006B3ACB775D}" userId="" providerId="google-sheets"/>
  <person displayName="Arran Bangham" id="{CE93167A-9AB2-4D4B-A73A-8018B940B23A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6" dT="2024-12-04T09:16:27.00" personId="{CE93167A-9AB2-4D4B-A73A-8018B940B23A}" id="{85DFB4C4-1B04-4EC6-94F3-8B45366D1A93}">
    <text>Not taxed</text>
  </threadedComment>
  <threadedComment ref="AK6" dT="2024-11-26T08:27:56.00" personId="{CE93167A-9AB2-4D4B-A73A-8018B940B23A}" id="{101D33F1-B6D9-40F6-90D2-68457CFA2274}">
    <text>5 taxed</text>
  </threadedComment>
  <threadedComment ref="AL8" dT="2024-12-04T09:16:42.00" personId="{CE93167A-9AB2-4D4B-A73A-8018B940B23A}" id="{4AC561BA-6563-4D5F-9C2B-34B2D5C75AA2}">
    <text>Not taxed</text>
  </threadedComment>
  <threadedComment ref="AL11" dT="2024-11-26T08:30:06.00" personId="{CE93167A-9AB2-4D4B-A73A-8018B940B23A}" id="{C0C7B401-6911-47BA-89AA-94DD711B7CE7}">
    <text>1 taxed</text>
  </threadedComment>
  <threadedComment ref="AJ12" dT="2024-11-26T08:30:33.00" personId="{CE93167A-9AB2-4D4B-A73A-8018B940B23A}" id="{0F37B042-7170-46D3-922A-EB993FD6E3E5}">
    <text>1 taxed - double count</text>
  </threadedComment>
  <threadedComment ref="AK13" dT="2024-11-26T08:31:04.00" personId="{CE93167A-9AB2-4D4B-A73A-8018B940B23A}" id="{AEDA9E63-2167-4DC6-91AA-13DE4A27FE08}">
    <text>Not taxed</text>
  </threadedComment>
  <threadedComment ref="AK16" dT="2024-12-02T08:31:34.00" personId="{CE93167A-9AB2-4D4B-A73A-8018B940B23A}" id="{4789F90C-7455-4ABD-8D9F-CB527D3C7456}">
    <text>1 taxed</text>
  </threadedComment>
  <threadedComment ref="AL16" dT="2024-11-26T08:28:53.00" personId="{CE93167A-9AB2-4D4B-A73A-8018B940B23A}" id="{209A8A86-D1D5-4F2E-8F5A-1C1F2638BAA8}">
    <text>1 taxed</text>
  </threadedComment>
  <threadedComment ref="AL17" dT="2024-11-26T08:32:00.00" personId="{CE93167A-9AB2-4D4B-A73A-8018B940B23A}" id="{81FEFBC5-32C2-4A19-9208-BAB56E3B5A6A}">
    <text>1 taxed</text>
  </threadedComment>
  <threadedComment ref="AL18" dT="2024-11-26T08:33:55.00" personId="{CE93167A-9AB2-4D4B-A73A-8018B940B23A}" id="{80E316FE-3829-45E5-B16F-2F79174D9A04}">
    <text>Not taxed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5" dT="2024-03-26T17:25:01.00" personId="{B675B67A-E0D3-4366-AD5A-006B3ACB775D}" id="{F3C06814-E20F-43C1-9A8A-FED4BE6B89D4}" done="1">
    <text>Could be 20 more, awaiting clearance.</text>
  </threadedComment>
</ThreadedComment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33"/>
  <sheetViews>
    <sheetView tabSelected="1" workbookViewId="0">
      <pane xSplit="1" topLeftCell="B1" activePane="topRight" state="frozen"/>
      <selection pane="topRight" activeCell="C2" sqref="C2"/>
    </sheetView>
  </sheetViews>
  <sheetFormatPr defaultColWidth="12.6640625" defaultRowHeight="15.75" customHeight="1"/>
  <cols>
    <col min="12" max="12" width="16.21875" customWidth="1"/>
  </cols>
  <sheetData>
    <row r="1" spans="1:31">
      <c r="D1" s="2"/>
    </row>
    <row r="2" spans="1:31">
      <c r="A2" s="4"/>
      <c r="B2" s="5">
        <v>45550</v>
      </c>
      <c r="C2" s="6"/>
      <c r="D2" s="10" t="str">
        <f>"Days = "&amp;(+B2-A24)</f>
        <v>Days = 77</v>
      </c>
      <c r="E2" s="10" t="str">
        <f>"Days = "&amp;(+A25-B2)</f>
        <v>Days = 15</v>
      </c>
      <c r="F2" s="6"/>
      <c r="G2" s="17">
        <v>0.7</v>
      </c>
      <c r="H2" s="6"/>
      <c r="I2" s="6"/>
      <c r="J2" s="6"/>
      <c r="K2" s="21"/>
      <c r="M2" s="24" t="s">
        <v>5</v>
      </c>
    </row>
    <row r="3" spans="1:31">
      <c r="A3" s="25"/>
      <c r="B3" s="26" t="s">
        <v>6</v>
      </c>
      <c r="C3" s="26" t="s">
        <v>7</v>
      </c>
      <c r="D3" s="26" t="s">
        <v>8</v>
      </c>
      <c r="E3" s="26" t="s">
        <v>9</v>
      </c>
      <c r="F3" s="26" t="s">
        <v>11</v>
      </c>
      <c r="G3" s="26" t="s">
        <v>12</v>
      </c>
      <c r="H3" s="24" t="s">
        <v>13</v>
      </c>
      <c r="I3" s="24" t="s">
        <v>14</v>
      </c>
      <c r="J3" s="24" t="s">
        <v>15</v>
      </c>
      <c r="K3" s="27" t="s">
        <v>16</v>
      </c>
      <c r="M3" s="2">
        <v>45480</v>
      </c>
      <c r="N3" s="2">
        <v>45487</v>
      </c>
      <c r="O3" s="2">
        <v>45494</v>
      </c>
      <c r="P3" s="2">
        <v>45501</v>
      </c>
      <c r="Q3" s="2">
        <v>45508</v>
      </c>
      <c r="R3" s="2">
        <v>45515</v>
      </c>
      <c r="S3" s="2">
        <v>45522</v>
      </c>
      <c r="T3" s="2">
        <v>45529</v>
      </c>
      <c r="U3" s="2">
        <v>45536</v>
      </c>
      <c r="V3" s="2">
        <v>45543</v>
      </c>
      <c r="W3" s="2">
        <v>45550</v>
      </c>
      <c r="X3" s="2">
        <v>45557</v>
      </c>
      <c r="Y3" s="2">
        <v>45564</v>
      </c>
      <c r="AA3" s="31" t="s">
        <v>21</v>
      </c>
      <c r="AB3" s="31" t="s">
        <v>22</v>
      </c>
    </row>
    <row r="4" spans="1:31" ht="15.75" customHeight="1">
      <c r="A4" s="32"/>
      <c r="B4" s="24"/>
      <c r="K4" s="33"/>
    </row>
    <row r="5" spans="1:31" ht="15.75" customHeight="1">
      <c r="A5" s="35"/>
      <c r="K5" s="33"/>
    </row>
    <row r="6" spans="1:31">
      <c r="A6" s="37" t="s">
        <v>24</v>
      </c>
      <c r="B6" s="39">
        <v>158</v>
      </c>
      <c r="C6" s="31">
        <v>2</v>
      </c>
      <c r="D6" s="45">
        <f t="shared" ref="D6:D9" si="0">(B6-C6)/($B$2-$A$24)</f>
        <v>2.0259740259740258</v>
      </c>
      <c r="E6" s="49">
        <f t="shared" ref="E6:E9" si="1">ROUNDDOWN(D6*($A$25-$B$2),0)</f>
        <v>30</v>
      </c>
      <c r="F6" s="31">
        <f>'2024 - Q3'!Q6+'2024 - Q3'!R6</f>
        <v>173</v>
      </c>
      <c r="G6" s="31">
        <f t="shared" ref="G6:G9" si="2">F6+ROUND(E6*$G$2,0)</f>
        <v>194</v>
      </c>
      <c r="H6" s="58">
        <f>'2024 - Q3'!B6</f>
        <v>80</v>
      </c>
      <c r="I6" s="58">
        <f t="shared" ref="I6:I9" si="3">G6+H6</f>
        <v>274</v>
      </c>
      <c r="J6" s="58">
        <f>'2024 - Q3'!T6</f>
        <v>183</v>
      </c>
      <c r="K6" s="63">
        <f t="shared" ref="K6:K9" si="4">I6-J6</f>
        <v>91</v>
      </c>
      <c r="M6" s="64">
        <v>13</v>
      </c>
      <c r="N6" s="64">
        <v>27</v>
      </c>
      <c r="O6" s="64">
        <v>30</v>
      </c>
      <c r="P6" s="64">
        <v>40</v>
      </c>
      <c r="Q6" s="64">
        <v>57</v>
      </c>
      <c r="R6" s="64">
        <v>65</v>
      </c>
      <c r="S6" s="64">
        <v>80</v>
      </c>
      <c r="T6" s="64">
        <v>106</v>
      </c>
      <c r="U6" s="64">
        <v>118</v>
      </c>
      <c r="V6" s="64">
        <v>147</v>
      </c>
      <c r="W6" s="64">
        <v>156</v>
      </c>
      <c r="X6" s="64"/>
      <c r="Y6" s="64"/>
      <c r="Z6" s="64"/>
      <c r="AA6" s="64">
        <v>204</v>
      </c>
      <c r="AB6" s="31">
        <v>183</v>
      </c>
      <c r="AC6" s="64"/>
      <c r="AD6" s="64"/>
      <c r="AE6" s="64"/>
    </row>
    <row r="7" spans="1:31">
      <c r="A7" s="37" t="s">
        <v>36</v>
      </c>
      <c r="B7" s="39">
        <v>73</v>
      </c>
      <c r="C7" s="31">
        <v>8</v>
      </c>
      <c r="D7" s="45">
        <f t="shared" si="0"/>
        <v>0.8441558441558441</v>
      </c>
      <c r="E7" s="49">
        <f t="shared" si="1"/>
        <v>12</v>
      </c>
      <c r="F7" s="31">
        <f>'2024 - Q3'!Q7+'2024 - Q3'!R7</f>
        <v>94</v>
      </c>
      <c r="G7" s="31">
        <f t="shared" si="2"/>
        <v>102</v>
      </c>
      <c r="H7" s="58">
        <f>'2024 - Q3'!B7</f>
        <v>-20</v>
      </c>
      <c r="I7" s="58">
        <f t="shared" si="3"/>
        <v>82</v>
      </c>
      <c r="J7" s="58">
        <f>'2024 - Q3'!T7</f>
        <v>168</v>
      </c>
      <c r="K7" s="63">
        <f t="shared" si="4"/>
        <v>-86</v>
      </c>
      <c r="M7" s="64">
        <v>2</v>
      </c>
      <c r="N7" s="64">
        <v>8</v>
      </c>
      <c r="O7" s="64">
        <v>14</v>
      </c>
      <c r="P7" s="64">
        <v>16</v>
      </c>
      <c r="Q7" s="64">
        <v>25</v>
      </c>
      <c r="R7" s="64">
        <v>27</v>
      </c>
      <c r="S7" s="64">
        <v>36</v>
      </c>
      <c r="T7" s="64">
        <v>47</v>
      </c>
      <c r="U7" s="64">
        <v>54</v>
      </c>
      <c r="V7" s="64">
        <v>60</v>
      </c>
      <c r="W7" s="64">
        <v>65</v>
      </c>
      <c r="X7" s="64"/>
      <c r="Y7" s="64"/>
      <c r="Z7" s="64"/>
      <c r="AA7" s="64">
        <v>103</v>
      </c>
      <c r="AB7" s="31">
        <v>93</v>
      </c>
      <c r="AC7" s="64"/>
      <c r="AD7" s="64"/>
      <c r="AE7" s="64"/>
    </row>
    <row r="8" spans="1:31">
      <c r="A8" s="37" t="s">
        <v>40</v>
      </c>
      <c r="B8" s="39">
        <v>75</v>
      </c>
      <c r="C8" s="31">
        <v>3</v>
      </c>
      <c r="D8" s="45">
        <f t="shared" si="0"/>
        <v>0.93506493506493504</v>
      </c>
      <c r="E8" s="49">
        <f t="shared" si="1"/>
        <v>14</v>
      </c>
      <c r="F8" s="31">
        <f>'2024 - Q3'!Q8+'2024 - Q3'!R8</f>
        <v>107</v>
      </c>
      <c r="G8" s="31">
        <f t="shared" si="2"/>
        <v>117</v>
      </c>
      <c r="H8" s="58">
        <f>'2024 - Q3'!B8</f>
        <v>17</v>
      </c>
      <c r="I8" s="58">
        <f t="shared" si="3"/>
        <v>134</v>
      </c>
      <c r="J8" s="58">
        <f>'2024 - Q3'!T8</f>
        <v>118</v>
      </c>
      <c r="K8" s="63">
        <f t="shared" si="4"/>
        <v>16</v>
      </c>
      <c r="M8" s="64">
        <v>5</v>
      </c>
      <c r="N8" s="64">
        <v>6</v>
      </c>
      <c r="O8" s="64">
        <v>9</v>
      </c>
      <c r="P8" s="64">
        <v>18</v>
      </c>
      <c r="Q8" s="64">
        <v>30</v>
      </c>
      <c r="R8" s="64">
        <v>48</v>
      </c>
      <c r="S8" s="64">
        <v>53</v>
      </c>
      <c r="T8" s="64">
        <v>57</v>
      </c>
      <c r="U8" s="64">
        <v>62</v>
      </c>
      <c r="V8" s="64">
        <v>65</v>
      </c>
      <c r="W8" s="64">
        <v>72</v>
      </c>
      <c r="X8" s="64"/>
      <c r="Y8" s="64"/>
      <c r="Z8" s="64"/>
      <c r="AA8" s="64">
        <v>120</v>
      </c>
      <c r="AB8" s="31">
        <v>111</v>
      </c>
      <c r="AC8" s="64"/>
      <c r="AD8" s="64"/>
      <c r="AE8" s="64"/>
    </row>
    <row r="9" spans="1:31">
      <c r="A9" s="37" t="s">
        <v>41</v>
      </c>
      <c r="B9" s="70">
        <v>116</v>
      </c>
      <c r="C9" s="31">
        <v>2</v>
      </c>
      <c r="D9" s="45">
        <f t="shared" si="0"/>
        <v>1.4805194805194806</v>
      </c>
      <c r="E9" s="49">
        <f t="shared" si="1"/>
        <v>22</v>
      </c>
      <c r="F9" s="31">
        <f>'2024 - Q3'!Q9+'2024 - Q3'!R9</f>
        <v>144</v>
      </c>
      <c r="G9" s="31">
        <f t="shared" si="2"/>
        <v>159</v>
      </c>
      <c r="H9" s="58">
        <f>'2024 - Q3'!B9</f>
        <v>25</v>
      </c>
      <c r="I9" s="58">
        <f t="shared" si="3"/>
        <v>184</v>
      </c>
      <c r="J9" s="58">
        <f>'2024 - Q3'!T9</f>
        <v>148</v>
      </c>
      <c r="K9" s="63">
        <f t="shared" si="4"/>
        <v>36</v>
      </c>
      <c r="M9" s="64">
        <v>6</v>
      </c>
      <c r="N9" s="64">
        <v>23</v>
      </c>
      <c r="O9" s="64">
        <v>32</v>
      </c>
      <c r="P9" s="64">
        <v>42</v>
      </c>
      <c r="Q9" s="64">
        <v>48</v>
      </c>
      <c r="R9" s="64">
        <v>54</v>
      </c>
      <c r="S9" s="64">
        <v>60</v>
      </c>
      <c r="T9" s="64">
        <v>67</v>
      </c>
      <c r="U9" s="64">
        <v>73</v>
      </c>
      <c r="V9" s="64">
        <v>83</v>
      </c>
      <c r="W9" s="64">
        <v>114</v>
      </c>
      <c r="X9" s="64"/>
      <c r="Y9" s="64"/>
      <c r="Z9" s="64"/>
      <c r="AA9" s="64">
        <v>150</v>
      </c>
      <c r="AB9" s="31">
        <v>159</v>
      </c>
      <c r="AC9" s="64"/>
      <c r="AD9" s="64"/>
      <c r="AE9" s="64"/>
    </row>
    <row r="10" spans="1:31">
      <c r="A10" s="76" t="s">
        <v>44</v>
      </c>
      <c r="B10" s="78">
        <f t="shared" ref="B10:K10" si="5">SUM(B6:B9)</f>
        <v>422</v>
      </c>
      <c r="C10" s="78">
        <f t="shared" si="5"/>
        <v>15</v>
      </c>
      <c r="D10" s="80">
        <f t="shared" si="5"/>
        <v>5.2857142857142856</v>
      </c>
      <c r="E10" s="78">
        <f t="shared" si="5"/>
        <v>78</v>
      </c>
      <c r="F10" s="78">
        <f t="shared" si="5"/>
        <v>518</v>
      </c>
      <c r="G10" s="78">
        <f t="shared" si="5"/>
        <v>572</v>
      </c>
      <c r="H10" s="81">
        <f t="shared" si="5"/>
        <v>102</v>
      </c>
      <c r="I10" s="81">
        <f t="shared" si="5"/>
        <v>674</v>
      </c>
      <c r="J10" s="81">
        <f t="shared" si="5"/>
        <v>617</v>
      </c>
      <c r="K10" s="82">
        <f t="shared" si="5"/>
        <v>57</v>
      </c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C10" s="64"/>
      <c r="AD10" s="64"/>
      <c r="AE10" s="64"/>
    </row>
    <row r="11" spans="1:31">
      <c r="A11" s="37" t="s">
        <v>46</v>
      </c>
      <c r="B11" s="66">
        <v>126</v>
      </c>
      <c r="C11" s="31">
        <v>9</v>
      </c>
      <c r="D11" s="45">
        <f t="shared" ref="D11:D14" si="6">(B11-C11)/($B$2-$A$24)</f>
        <v>1.5194805194805194</v>
      </c>
      <c r="E11" s="49">
        <f t="shared" ref="E11:E14" si="7">ROUNDDOWN(D11*($A$25-$B$2),0)</f>
        <v>22</v>
      </c>
      <c r="F11" s="31">
        <f>'2024 - Q3'!Q11+'2024 - Q3'!R11</f>
        <v>124</v>
      </c>
      <c r="G11" s="31">
        <f t="shared" ref="G11:G14" si="8">F11+ROUND(E11*$G$2,0)</f>
        <v>139</v>
      </c>
      <c r="H11" s="58">
        <f>'2024 - Q3'!B11</f>
        <v>31</v>
      </c>
      <c r="I11" s="58">
        <f t="shared" ref="I11:I14" si="9">G11+H11</f>
        <v>170</v>
      </c>
      <c r="J11" s="58">
        <f>'2024 - Q3'!T11</f>
        <v>139</v>
      </c>
      <c r="K11" s="63">
        <f t="shared" ref="K11:K14" si="10">I11-J11</f>
        <v>31</v>
      </c>
      <c r="M11" s="64">
        <v>6</v>
      </c>
      <c r="N11" s="64">
        <v>13</v>
      </c>
      <c r="O11" s="64">
        <v>17</v>
      </c>
      <c r="P11" s="64">
        <v>23</v>
      </c>
      <c r="Q11" s="64">
        <v>29</v>
      </c>
      <c r="R11" s="64">
        <v>42</v>
      </c>
      <c r="S11" s="64">
        <v>66</v>
      </c>
      <c r="T11" s="64">
        <v>77</v>
      </c>
      <c r="U11" s="64">
        <v>88</v>
      </c>
      <c r="V11" s="64">
        <v>100</v>
      </c>
      <c r="W11" s="64">
        <v>117</v>
      </c>
      <c r="X11" s="64"/>
      <c r="Y11" s="64"/>
      <c r="Z11" s="64"/>
      <c r="AA11" s="64">
        <v>148</v>
      </c>
      <c r="AB11" s="31">
        <v>134</v>
      </c>
      <c r="AC11" s="64"/>
      <c r="AD11" s="64"/>
      <c r="AE11" s="64"/>
    </row>
    <row r="12" spans="1:31">
      <c r="A12" s="37" t="s">
        <v>51</v>
      </c>
      <c r="B12" s="66">
        <v>102</v>
      </c>
      <c r="C12" s="31">
        <v>8</v>
      </c>
      <c r="D12" s="45">
        <f t="shared" si="6"/>
        <v>1.2207792207792207</v>
      </c>
      <c r="E12" s="49">
        <f t="shared" si="7"/>
        <v>18</v>
      </c>
      <c r="F12" s="31">
        <f>'2024 - Q3'!Q12+'2024 - Q3'!R12</f>
        <v>111</v>
      </c>
      <c r="G12" s="31">
        <f t="shared" si="8"/>
        <v>124</v>
      </c>
      <c r="H12" s="58">
        <f>'2024 - Q3'!B12</f>
        <v>20</v>
      </c>
      <c r="I12" s="58">
        <f t="shared" si="9"/>
        <v>144</v>
      </c>
      <c r="J12" s="58">
        <f>'2024 - Q3'!T12</f>
        <v>127</v>
      </c>
      <c r="K12" s="63">
        <f t="shared" si="10"/>
        <v>17</v>
      </c>
      <c r="M12" s="64">
        <v>4</v>
      </c>
      <c r="N12" s="64">
        <v>15</v>
      </c>
      <c r="O12" s="64">
        <v>16</v>
      </c>
      <c r="P12" s="64">
        <v>19</v>
      </c>
      <c r="Q12" s="64">
        <v>28</v>
      </c>
      <c r="R12" s="64">
        <v>31</v>
      </c>
      <c r="S12" s="64">
        <v>38</v>
      </c>
      <c r="T12" s="64">
        <v>46</v>
      </c>
      <c r="U12" s="64">
        <v>66</v>
      </c>
      <c r="V12" s="64">
        <v>87</v>
      </c>
      <c r="W12" s="64">
        <v>94</v>
      </c>
      <c r="X12" s="64"/>
      <c r="Y12" s="64"/>
      <c r="Z12" s="64"/>
      <c r="AA12" s="64">
        <v>130</v>
      </c>
      <c r="AB12" s="31">
        <v>119</v>
      </c>
      <c r="AC12" s="64"/>
      <c r="AD12" s="64"/>
      <c r="AE12" s="64"/>
    </row>
    <row r="13" spans="1:31">
      <c r="A13" s="37" t="s">
        <v>52</v>
      </c>
      <c r="B13" s="66">
        <v>82</v>
      </c>
      <c r="C13" s="31">
        <v>4</v>
      </c>
      <c r="D13" s="45">
        <f t="shared" si="6"/>
        <v>1.0129870129870129</v>
      </c>
      <c r="E13" s="49">
        <f t="shared" si="7"/>
        <v>15</v>
      </c>
      <c r="F13" s="31">
        <f>'2024 - Q3'!Q13+'2024 - Q3'!R13</f>
        <v>89</v>
      </c>
      <c r="G13" s="31">
        <f t="shared" si="8"/>
        <v>100</v>
      </c>
      <c r="H13" s="58">
        <f>'2024 - Q3'!B13</f>
        <v>47</v>
      </c>
      <c r="I13" s="58">
        <f t="shared" si="9"/>
        <v>147</v>
      </c>
      <c r="J13" s="58">
        <f>'2024 - Q3'!T13</f>
        <v>107</v>
      </c>
      <c r="K13" s="63">
        <f t="shared" si="10"/>
        <v>40</v>
      </c>
      <c r="M13" s="64">
        <v>2</v>
      </c>
      <c r="N13" s="64">
        <v>3</v>
      </c>
      <c r="O13" s="64">
        <v>9</v>
      </c>
      <c r="P13" s="64">
        <v>13</v>
      </c>
      <c r="Q13" s="64">
        <v>18</v>
      </c>
      <c r="R13" s="64">
        <v>29</v>
      </c>
      <c r="S13" s="64">
        <v>38</v>
      </c>
      <c r="T13" s="64">
        <v>46</v>
      </c>
      <c r="U13" s="64">
        <v>53</v>
      </c>
      <c r="V13" s="64">
        <v>65</v>
      </c>
      <c r="W13" s="64">
        <v>78</v>
      </c>
      <c r="X13" s="64"/>
      <c r="Y13" s="64"/>
      <c r="Z13" s="64"/>
      <c r="AA13" s="64">
        <v>104</v>
      </c>
      <c r="AB13" s="31">
        <v>100</v>
      </c>
      <c r="AC13" s="64"/>
      <c r="AD13" s="64"/>
      <c r="AE13" s="64"/>
    </row>
    <row r="14" spans="1:31">
      <c r="A14" s="37" t="s">
        <v>53</v>
      </c>
      <c r="B14" s="66">
        <v>142</v>
      </c>
      <c r="C14" s="31">
        <v>4</v>
      </c>
      <c r="D14" s="45">
        <f t="shared" si="6"/>
        <v>1.7922077922077921</v>
      </c>
      <c r="E14" s="49">
        <f t="shared" si="7"/>
        <v>26</v>
      </c>
      <c r="F14" s="31">
        <f>'2024 - Q3'!Q14+'2024 - Q3'!R14</f>
        <v>178</v>
      </c>
      <c r="G14" s="31">
        <f t="shared" si="8"/>
        <v>196</v>
      </c>
      <c r="H14" s="58">
        <f>'2024 - Q3'!B14</f>
        <v>9</v>
      </c>
      <c r="I14" s="58">
        <f t="shared" si="9"/>
        <v>205</v>
      </c>
      <c r="J14" s="58">
        <f>'2024 - Q3'!T14</f>
        <v>186</v>
      </c>
      <c r="K14" s="63">
        <f t="shared" si="10"/>
        <v>19</v>
      </c>
      <c r="M14" s="64">
        <v>14</v>
      </c>
      <c r="N14" s="64">
        <v>18</v>
      </c>
      <c r="O14" s="64">
        <v>25</v>
      </c>
      <c r="P14" s="64">
        <v>35</v>
      </c>
      <c r="Q14" s="64">
        <v>40</v>
      </c>
      <c r="R14" s="64">
        <v>58</v>
      </c>
      <c r="S14" s="64">
        <v>70</v>
      </c>
      <c r="T14" s="64">
        <v>81</v>
      </c>
      <c r="U14" s="64">
        <v>91</v>
      </c>
      <c r="V14" s="64">
        <v>103</v>
      </c>
      <c r="W14" s="64">
        <v>138</v>
      </c>
      <c r="X14" s="64"/>
      <c r="Y14" s="64"/>
      <c r="Z14" s="64"/>
      <c r="AA14" s="64">
        <v>175</v>
      </c>
      <c r="AB14" s="31">
        <v>183</v>
      </c>
      <c r="AC14" s="64"/>
      <c r="AD14" s="64"/>
      <c r="AE14" s="64"/>
    </row>
    <row r="15" spans="1:31">
      <c r="A15" s="76" t="s">
        <v>54</v>
      </c>
      <c r="B15" s="78">
        <f t="shared" ref="B15:K15" si="11">SUM(B11:B14)</f>
        <v>452</v>
      </c>
      <c r="C15" s="78">
        <f t="shared" si="11"/>
        <v>25</v>
      </c>
      <c r="D15" s="80">
        <f t="shared" si="11"/>
        <v>5.545454545454545</v>
      </c>
      <c r="E15" s="78">
        <f t="shared" si="11"/>
        <v>81</v>
      </c>
      <c r="F15" s="78">
        <f t="shared" si="11"/>
        <v>502</v>
      </c>
      <c r="G15" s="78">
        <f t="shared" si="11"/>
        <v>559</v>
      </c>
      <c r="H15" s="81">
        <f t="shared" si="11"/>
        <v>107</v>
      </c>
      <c r="I15" s="81">
        <f t="shared" si="11"/>
        <v>666</v>
      </c>
      <c r="J15" s="81">
        <f t="shared" si="11"/>
        <v>559</v>
      </c>
      <c r="K15" s="82">
        <f t="shared" si="11"/>
        <v>107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C15" s="64"/>
      <c r="AD15" s="64"/>
      <c r="AE15" s="64"/>
    </row>
    <row r="16" spans="1:31">
      <c r="A16" s="37" t="s">
        <v>55</v>
      </c>
      <c r="B16" s="66">
        <v>105</v>
      </c>
      <c r="C16" s="31">
        <v>1</v>
      </c>
      <c r="D16" s="45">
        <f t="shared" ref="D16:D18" si="12">(B16-C16)/($B$2-$A$24)</f>
        <v>1.3506493506493507</v>
      </c>
      <c r="E16" s="49">
        <f t="shared" ref="E16:E18" si="13">ROUNDDOWN(D16*($A$25-$B$2),0)</f>
        <v>20</v>
      </c>
      <c r="F16" s="31">
        <f>'2024 - Q3'!Q16+'2024 - Q3'!R16</f>
        <v>118</v>
      </c>
      <c r="G16" s="31">
        <f t="shared" ref="G16:G18" si="14">F16+ROUND(E16*$G$2,0)</f>
        <v>132</v>
      </c>
      <c r="H16" s="58">
        <f>'2024 - Q3'!B16</f>
        <v>20</v>
      </c>
      <c r="I16" s="58">
        <f t="shared" ref="I16:I18" si="15">G16+H16</f>
        <v>152</v>
      </c>
      <c r="J16" s="58">
        <f>'2024 - Q3'!T16</f>
        <v>126</v>
      </c>
      <c r="K16" s="63">
        <f t="shared" ref="K16:K18" si="16">I16-J16</f>
        <v>26</v>
      </c>
      <c r="M16" s="64">
        <v>1</v>
      </c>
      <c r="N16" s="64">
        <v>6</v>
      </c>
      <c r="O16" s="64">
        <v>8</v>
      </c>
      <c r="P16" s="64">
        <v>20</v>
      </c>
      <c r="Q16" s="64">
        <v>30</v>
      </c>
      <c r="R16" s="64">
        <v>35</v>
      </c>
      <c r="S16" s="64">
        <v>44</v>
      </c>
      <c r="T16" s="64">
        <v>53</v>
      </c>
      <c r="U16" s="64">
        <v>67</v>
      </c>
      <c r="V16" s="64">
        <v>72</v>
      </c>
      <c r="W16" s="64">
        <v>104</v>
      </c>
      <c r="X16" s="64"/>
      <c r="Y16" s="64"/>
      <c r="Z16" s="64"/>
      <c r="AA16" s="64">
        <v>112</v>
      </c>
      <c r="AB16" s="31">
        <v>126</v>
      </c>
      <c r="AC16" s="64"/>
      <c r="AD16" s="64"/>
      <c r="AE16" s="64"/>
    </row>
    <row r="17" spans="1:31">
      <c r="A17" s="37" t="s">
        <v>57</v>
      </c>
      <c r="B17" s="66">
        <v>104</v>
      </c>
      <c r="C17" s="31">
        <v>2</v>
      </c>
      <c r="D17" s="45">
        <f t="shared" si="12"/>
        <v>1.3246753246753247</v>
      </c>
      <c r="E17" s="49">
        <f t="shared" si="13"/>
        <v>19</v>
      </c>
      <c r="F17" s="31">
        <f>'2024 - Q3'!Q17+'2024 - Q3'!R17</f>
        <v>134</v>
      </c>
      <c r="G17" s="31">
        <f t="shared" si="14"/>
        <v>147</v>
      </c>
      <c r="H17" s="58">
        <f>'2024 - Q3'!B17</f>
        <v>0</v>
      </c>
      <c r="I17" s="58">
        <f t="shared" si="15"/>
        <v>147</v>
      </c>
      <c r="J17" s="58">
        <f>'2024 - Q3'!T17</f>
        <v>149</v>
      </c>
      <c r="K17" s="63">
        <f t="shared" si="16"/>
        <v>-2</v>
      </c>
      <c r="M17" s="64">
        <v>5</v>
      </c>
      <c r="N17" s="64">
        <v>11</v>
      </c>
      <c r="O17" s="64">
        <v>18</v>
      </c>
      <c r="P17" s="64">
        <v>22</v>
      </c>
      <c r="Q17" s="64">
        <v>28</v>
      </c>
      <c r="R17" s="64">
        <v>42</v>
      </c>
      <c r="S17" s="64">
        <v>54</v>
      </c>
      <c r="T17" s="64">
        <v>59</v>
      </c>
      <c r="U17" s="64">
        <v>71</v>
      </c>
      <c r="V17" s="64">
        <v>79</v>
      </c>
      <c r="W17" s="64">
        <v>102</v>
      </c>
      <c r="X17" s="64"/>
      <c r="Y17" s="64"/>
      <c r="Z17" s="64"/>
      <c r="AA17" s="64">
        <v>140</v>
      </c>
      <c r="AB17" s="31">
        <v>136</v>
      </c>
      <c r="AC17" s="64"/>
      <c r="AD17" s="64"/>
      <c r="AE17" s="64"/>
    </row>
    <row r="18" spans="1:31">
      <c r="A18" s="37" t="s">
        <v>58</v>
      </c>
      <c r="B18" s="66">
        <v>41</v>
      </c>
      <c r="C18" s="31">
        <v>2</v>
      </c>
      <c r="D18" s="45">
        <f t="shared" si="12"/>
        <v>0.50649350649350644</v>
      </c>
      <c r="E18" s="49">
        <f t="shared" si="13"/>
        <v>7</v>
      </c>
      <c r="F18" s="31">
        <f>'2024 - Q3'!Q18+'2024 - Q3'!R18</f>
        <v>45</v>
      </c>
      <c r="G18" s="31">
        <f t="shared" si="14"/>
        <v>50</v>
      </c>
      <c r="H18" s="58">
        <f>'2024 - Q3'!B18</f>
        <v>14</v>
      </c>
      <c r="I18" s="58">
        <f t="shared" si="15"/>
        <v>64</v>
      </c>
      <c r="J18" s="58">
        <f>'2024 - Q3'!T18</f>
        <v>55</v>
      </c>
      <c r="K18" s="63">
        <f t="shared" si="16"/>
        <v>9</v>
      </c>
      <c r="M18" s="64">
        <v>3</v>
      </c>
      <c r="N18" s="64">
        <v>4</v>
      </c>
      <c r="O18" s="64">
        <v>5</v>
      </c>
      <c r="P18" s="64">
        <v>8</v>
      </c>
      <c r="Q18" s="64">
        <v>14</v>
      </c>
      <c r="R18" s="64">
        <v>16</v>
      </c>
      <c r="S18" s="64">
        <v>17</v>
      </c>
      <c r="T18" s="64">
        <v>19</v>
      </c>
      <c r="U18" s="64">
        <v>26</v>
      </c>
      <c r="V18" s="64">
        <v>31</v>
      </c>
      <c r="W18" s="64">
        <v>39</v>
      </c>
      <c r="X18" s="64"/>
      <c r="Y18" s="64"/>
      <c r="Z18" s="64"/>
      <c r="AA18" s="64">
        <v>51</v>
      </c>
      <c r="AB18" s="31">
        <v>52</v>
      </c>
      <c r="AC18" s="64"/>
      <c r="AD18" s="64"/>
      <c r="AE18" s="64"/>
    </row>
    <row r="19" spans="1:31">
      <c r="A19" s="76" t="s">
        <v>59</v>
      </c>
      <c r="B19" s="78">
        <f t="shared" ref="B19:K19" si="17">SUM(B16:B18)</f>
        <v>250</v>
      </c>
      <c r="C19" s="78">
        <f t="shared" si="17"/>
        <v>5</v>
      </c>
      <c r="D19" s="80">
        <f t="shared" si="17"/>
        <v>3.1818181818181817</v>
      </c>
      <c r="E19" s="78">
        <f t="shared" si="17"/>
        <v>46</v>
      </c>
      <c r="F19" s="78">
        <f t="shared" si="17"/>
        <v>297</v>
      </c>
      <c r="G19" s="78">
        <f t="shared" si="17"/>
        <v>329</v>
      </c>
      <c r="H19" s="81">
        <f t="shared" si="17"/>
        <v>34</v>
      </c>
      <c r="I19" s="81">
        <f t="shared" si="17"/>
        <v>363</v>
      </c>
      <c r="J19" s="81">
        <f t="shared" si="17"/>
        <v>330</v>
      </c>
      <c r="K19" s="82">
        <f t="shared" si="17"/>
        <v>33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C19" s="64"/>
      <c r="AD19" s="64"/>
      <c r="AE19" s="64"/>
    </row>
    <row r="20" spans="1:31">
      <c r="A20" s="76"/>
      <c r="B20" s="66"/>
      <c r="K20" s="33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</row>
    <row r="21" spans="1:31">
      <c r="A21" s="37"/>
      <c r="B21" s="66"/>
      <c r="K21" s="33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</row>
    <row r="22" spans="1:31">
      <c r="A22" s="96" t="s">
        <v>14</v>
      </c>
      <c r="B22" s="97">
        <f t="shared" ref="B22:K22" si="18">B19+B15+B10</f>
        <v>1124</v>
      </c>
      <c r="C22" s="97">
        <f t="shared" si="18"/>
        <v>45</v>
      </c>
      <c r="D22" s="98">
        <f t="shared" si="18"/>
        <v>14.012987012987011</v>
      </c>
      <c r="E22" s="97">
        <f t="shared" si="18"/>
        <v>205</v>
      </c>
      <c r="F22" s="97">
        <f t="shared" si="18"/>
        <v>1317</v>
      </c>
      <c r="G22" s="97">
        <f t="shared" si="18"/>
        <v>1460</v>
      </c>
      <c r="H22" s="97">
        <f t="shared" si="18"/>
        <v>243</v>
      </c>
      <c r="I22" s="97">
        <f t="shared" si="18"/>
        <v>1703</v>
      </c>
      <c r="J22" s="97">
        <f t="shared" si="18"/>
        <v>1506</v>
      </c>
      <c r="K22" s="99">
        <f t="shared" si="18"/>
        <v>197</v>
      </c>
      <c r="M22" s="100">
        <f t="shared" ref="M22:Y22" si="19">SUM(M6:M21)</f>
        <v>61</v>
      </c>
      <c r="N22" s="100">
        <f t="shared" si="19"/>
        <v>134</v>
      </c>
      <c r="O22" s="100">
        <f t="shared" si="19"/>
        <v>183</v>
      </c>
      <c r="P22" s="100">
        <f t="shared" si="19"/>
        <v>256</v>
      </c>
      <c r="Q22" s="100">
        <f t="shared" si="19"/>
        <v>347</v>
      </c>
      <c r="R22" s="100">
        <f t="shared" si="19"/>
        <v>447</v>
      </c>
      <c r="S22" s="100">
        <f t="shared" si="19"/>
        <v>556</v>
      </c>
      <c r="T22" s="100">
        <f t="shared" si="19"/>
        <v>658</v>
      </c>
      <c r="U22" s="100">
        <f t="shared" si="19"/>
        <v>769</v>
      </c>
      <c r="V22" s="100">
        <f t="shared" si="19"/>
        <v>892</v>
      </c>
      <c r="W22" s="100">
        <f t="shared" si="19"/>
        <v>1079</v>
      </c>
      <c r="X22" s="100">
        <f t="shared" si="19"/>
        <v>0</v>
      </c>
      <c r="Y22" s="100">
        <f t="shared" si="19"/>
        <v>0</v>
      </c>
      <c r="Z22" s="64"/>
      <c r="AA22" s="101">
        <f t="shared" ref="AA22:AB22" si="20">SUM(AA6:AA21)</f>
        <v>1437</v>
      </c>
      <c r="AB22" s="101">
        <f t="shared" si="20"/>
        <v>1396</v>
      </c>
      <c r="AC22" s="64"/>
      <c r="AD22" s="64"/>
      <c r="AE22" s="64"/>
    </row>
    <row r="23" spans="1:31"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</row>
    <row r="24" spans="1:31">
      <c r="A24" s="3">
        <v>45473</v>
      </c>
      <c r="C24" s="58">
        <f>B22-C22</f>
        <v>1079</v>
      </c>
      <c r="L24" s="24" t="s">
        <v>60</v>
      </c>
      <c r="M24" s="102">
        <f>M22</f>
        <v>61</v>
      </c>
      <c r="N24" s="102">
        <f t="shared" ref="N24:Y24" si="21">N22-M22</f>
        <v>73</v>
      </c>
      <c r="O24" s="102">
        <f t="shared" si="21"/>
        <v>49</v>
      </c>
      <c r="P24" s="102">
        <f t="shared" si="21"/>
        <v>73</v>
      </c>
      <c r="Q24" s="102">
        <f t="shared" si="21"/>
        <v>91</v>
      </c>
      <c r="R24" s="102">
        <f t="shared" si="21"/>
        <v>100</v>
      </c>
      <c r="S24" s="102">
        <f t="shared" si="21"/>
        <v>109</v>
      </c>
      <c r="T24" s="102">
        <f t="shared" si="21"/>
        <v>102</v>
      </c>
      <c r="U24" s="102">
        <f t="shared" si="21"/>
        <v>111</v>
      </c>
      <c r="V24" s="102">
        <f t="shared" si="21"/>
        <v>123</v>
      </c>
      <c r="W24" s="102">
        <f t="shared" si="21"/>
        <v>187</v>
      </c>
      <c r="X24" s="102">
        <f t="shared" si="21"/>
        <v>-1079</v>
      </c>
      <c r="Y24" s="102">
        <f t="shared" si="21"/>
        <v>0</v>
      </c>
      <c r="Z24" s="64"/>
      <c r="AA24" s="64"/>
      <c r="AB24" s="64"/>
      <c r="AC24" s="64"/>
      <c r="AD24" s="64"/>
      <c r="AE24" s="64"/>
    </row>
    <row r="25" spans="1:31">
      <c r="A25" s="3">
        <v>45565</v>
      </c>
      <c r="C25" s="3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</row>
    <row r="26" spans="1:31"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</row>
    <row r="27" spans="1:31" ht="13.2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64"/>
      <c r="AA27" s="64"/>
      <c r="AB27" s="64"/>
      <c r="AC27" s="64"/>
      <c r="AD27" s="64"/>
      <c r="AE27" s="64"/>
    </row>
    <row r="28" spans="1:31" ht="13.2"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</row>
    <row r="29" spans="1:31" ht="13.2">
      <c r="A29" s="103"/>
      <c r="M29" s="64"/>
      <c r="N29" s="3"/>
      <c r="O29" s="3"/>
      <c r="P29" s="3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</row>
    <row r="30" spans="1:31" ht="13.2">
      <c r="A30" s="103"/>
      <c r="C30" s="2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</row>
    <row r="33" spans="2:2" ht="13.2">
      <c r="B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Y1017"/>
  <sheetViews>
    <sheetView workbookViewId="0"/>
  </sheetViews>
  <sheetFormatPr defaultColWidth="12.6640625" defaultRowHeight="15.75" customHeight="1"/>
  <cols>
    <col min="1" max="1" width="26.88671875" customWidth="1"/>
    <col min="2" max="2" width="9" customWidth="1"/>
    <col min="3" max="3" width="8.6640625" customWidth="1"/>
    <col min="4" max="4" width="7.109375" customWidth="1"/>
    <col min="5" max="7" width="8.109375" customWidth="1"/>
    <col min="8" max="8" width="8.6640625" customWidth="1"/>
    <col min="9" max="9" width="7.88671875" customWidth="1"/>
    <col min="10" max="10" width="11" customWidth="1"/>
    <col min="11" max="11" width="8.44140625" customWidth="1"/>
    <col min="12" max="13" width="9.33203125" customWidth="1"/>
    <col min="14" max="14" width="8.6640625" customWidth="1"/>
    <col min="15" max="15" width="7.88671875" customWidth="1"/>
    <col min="16" max="16" width="9.21875" customWidth="1"/>
    <col min="17" max="17" width="9.88671875" customWidth="1"/>
    <col min="18" max="18" width="9.33203125" customWidth="1"/>
    <col min="19" max="19" width="7.109375" customWidth="1"/>
    <col min="20" max="20" width="10.109375" customWidth="1"/>
    <col min="21" max="21" width="9" customWidth="1"/>
    <col min="22" max="22" width="11.33203125" customWidth="1"/>
    <col min="23" max="23" width="5.88671875" customWidth="1"/>
    <col min="24" max="24" width="7.109375" customWidth="1"/>
    <col min="25" max="26" width="9.88671875" customWidth="1"/>
    <col min="27" max="27" width="7.77734375" customWidth="1"/>
    <col min="29" max="29" width="7.6640625" customWidth="1"/>
    <col min="30" max="30" width="4.44140625" customWidth="1"/>
    <col min="32" max="34" width="8.77734375" customWidth="1"/>
    <col min="35" max="35" width="10.44140625" customWidth="1"/>
    <col min="36" max="50" width="8.77734375" customWidth="1"/>
  </cols>
  <sheetData>
    <row r="1" spans="1:51" ht="15.75" customHeight="1">
      <c r="A1" s="270" t="s">
        <v>1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2"/>
      <c r="X1" s="9"/>
      <c r="Y1" s="12"/>
      <c r="Z1" s="9"/>
      <c r="AA1" s="14"/>
      <c r="AB1" s="12"/>
      <c r="AC1" s="18" t="s">
        <v>2</v>
      </c>
      <c r="AD1" s="20" t="s">
        <v>3</v>
      </c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</row>
    <row r="2" spans="1:51" ht="15.75" customHeight="1">
      <c r="A2" s="9"/>
      <c r="B2" s="273" t="s">
        <v>20</v>
      </c>
      <c r="C2" s="271"/>
      <c r="D2" s="271"/>
      <c r="E2" s="271"/>
      <c r="F2" s="14"/>
      <c r="G2" s="14"/>
      <c r="H2" s="273" t="s">
        <v>25</v>
      </c>
      <c r="I2" s="271"/>
      <c r="J2" s="271"/>
      <c r="K2" s="271"/>
      <c r="L2" s="271"/>
      <c r="M2" s="14"/>
      <c r="N2" s="273" t="s">
        <v>30</v>
      </c>
      <c r="O2" s="271"/>
      <c r="P2" s="271"/>
      <c r="Q2" s="271"/>
      <c r="R2" s="271"/>
      <c r="S2" s="14"/>
      <c r="T2" s="273" t="s">
        <v>14</v>
      </c>
      <c r="U2" s="271"/>
      <c r="V2" s="271"/>
      <c r="W2" s="271"/>
      <c r="X2" s="14"/>
      <c r="Y2" s="14"/>
      <c r="Z2" s="14"/>
      <c r="AA2" s="14"/>
      <c r="AB2" s="40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</row>
    <row r="3" spans="1:51" ht="15.75" customHeight="1">
      <c r="A3" s="42"/>
      <c r="B3" s="43" t="s">
        <v>26</v>
      </c>
      <c r="C3" s="43" t="s">
        <v>31</v>
      </c>
      <c r="D3" s="43" t="s">
        <v>27</v>
      </c>
      <c r="E3" s="43" t="s">
        <v>28</v>
      </c>
      <c r="F3" s="43" t="s">
        <v>29</v>
      </c>
      <c r="G3" s="44"/>
      <c r="H3" s="43" t="s">
        <v>26</v>
      </c>
      <c r="I3" s="43" t="s">
        <v>31</v>
      </c>
      <c r="J3" s="43" t="s">
        <v>27</v>
      </c>
      <c r="K3" s="43" t="s">
        <v>28</v>
      </c>
      <c r="L3" s="43" t="s">
        <v>29</v>
      </c>
      <c r="M3" s="22"/>
      <c r="N3" s="43" t="s">
        <v>26</v>
      </c>
      <c r="O3" s="43" t="s">
        <v>31</v>
      </c>
      <c r="P3" s="43" t="s">
        <v>27</v>
      </c>
      <c r="Q3" s="43" t="s">
        <v>28</v>
      </c>
      <c r="R3" s="43" t="s">
        <v>29</v>
      </c>
      <c r="S3" s="22"/>
      <c r="T3" s="43" t="s">
        <v>26</v>
      </c>
      <c r="U3" s="43" t="s">
        <v>27</v>
      </c>
      <c r="V3" s="43" t="s">
        <v>28</v>
      </c>
      <c r="W3" s="43" t="s">
        <v>29</v>
      </c>
      <c r="X3" s="43" t="s">
        <v>32</v>
      </c>
      <c r="Y3" s="18" t="s">
        <v>33</v>
      </c>
      <c r="Z3" s="18" t="s">
        <v>34</v>
      </c>
      <c r="AA3" s="18" t="s">
        <v>15</v>
      </c>
      <c r="AB3" s="52" t="s">
        <v>35</v>
      </c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</row>
    <row r="4" spans="1:51">
      <c r="A4" s="42" t="s">
        <v>36</v>
      </c>
      <c r="B4" s="55">
        <v>29</v>
      </c>
      <c r="C4" s="22"/>
      <c r="D4" s="55">
        <v>1</v>
      </c>
      <c r="E4" s="59">
        <f t="shared" ref="E4:E7" si="0">SUM(B4:D4)</f>
        <v>30</v>
      </c>
      <c r="F4" s="60">
        <v>27</v>
      </c>
      <c r="G4" s="62">
        <f t="shared" ref="G4:G17" si="1">E4/F4</f>
        <v>1.1111111111111112</v>
      </c>
      <c r="H4" s="55">
        <v>14</v>
      </c>
      <c r="I4" s="22"/>
      <c r="J4" s="22"/>
      <c r="K4" s="59">
        <f t="shared" ref="K4:K7" si="2">SUM(H4:J4)</f>
        <v>14</v>
      </c>
      <c r="L4" s="60">
        <v>33</v>
      </c>
      <c r="M4" s="62">
        <f t="shared" ref="M4:M17" si="3">K4/L4</f>
        <v>0.42424242424242425</v>
      </c>
      <c r="N4" s="55">
        <v>6</v>
      </c>
      <c r="O4" s="22"/>
      <c r="P4" s="22"/>
      <c r="Q4" s="59">
        <f t="shared" ref="Q4:Q7" si="4">SUM(N4:P4)</f>
        <v>6</v>
      </c>
      <c r="R4" s="60">
        <v>27</v>
      </c>
      <c r="S4" s="62">
        <f t="shared" ref="S4:S17" si="5">Q4/R4</f>
        <v>0.22222222222222221</v>
      </c>
      <c r="T4" s="55">
        <f t="shared" ref="T4:T7" si="6">N4+H4+B4+O4+I4</f>
        <v>49</v>
      </c>
      <c r="U4" s="55">
        <f t="shared" ref="U4:U7" si="7">P4+J4+D4</f>
        <v>1</v>
      </c>
      <c r="V4" s="59">
        <f t="shared" ref="V4:V7" si="8">SUM(T4:U4)</f>
        <v>50</v>
      </c>
      <c r="W4" s="60">
        <f t="shared" ref="W4:W7" si="9">F4+L4+R4</f>
        <v>87</v>
      </c>
      <c r="X4" s="67">
        <f t="shared" ref="X4:X7" si="10">W4-V4</f>
        <v>37</v>
      </c>
      <c r="Y4" s="55">
        <f t="shared" ref="Y4:Y7" ca="1" si="11">ROUND(X4/$Y$24*7,0)</f>
        <v>3</v>
      </c>
      <c r="Z4" s="55">
        <f t="shared" ref="Z4:AA4" si="12">V4</f>
        <v>50</v>
      </c>
      <c r="AA4" s="55">
        <f t="shared" si="12"/>
        <v>87</v>
      </c>
      <c r="AB4" s="71">
        <f t="shared" ref="AB4:AB17" si="13">Z4/AA4</f>
        <v>0.57471264367816088</v>
      </c>
      <c r="AC4" s="72">
        <v>46306</v>
      </c>
      <c r="AD4" s="22" t="s">
        <v>42</v>
      </c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</row>
    <row r="5" spans="1:51" ht="15.75" customHeight="1">
      <c r="A5" s="42" t="s">
        <v>40</v>
      </c>
      <c r="B5" s="55">
        <v>22</v>
      </c>
      <c r="C5" s="22"/>
      <c r="D5" s="55">
        <v>2</v>
      </c>
      <c r="E5" s="59">
        <f t="shared" si="0"/>
        <v>24</v>
      </c>
      <c r="F5" s="60">
        <v>20</v>
      </c>
      <c r="G5" s="62">
        <f t="shared" si="1"/>
        <v>1.2</v>
      </c>
      <c r="H5" s="55">
        <v>9</v>
      </c>
      <c r="I5" s="22"/>
      <c r="J5" s="22"/>
      <c r="K5" s="59">
        <f t="shared" si="2"/>
        <v>9</v>
      </c>
      <c r="L5" s="60">
        <v>23</v>
      </c>
      <c r="M5" s="62">
        <f t="shared" si="3"/>
        <v>0.39130434782608697</v>
      </c>
      <c r="N5" s="55">
        <v>3</v>
      </c>
      <c r="O5" s="22"/>
      <c r="P5" s="22"/>
      <c r="Q5" s="59">
        <f t="shared" si="4"/>
        <v>3</v>
      </c>
      <c r="R5" s="60">
        <v>19</v>
      </c>
      <c r="S5" s="62">
        <f t="shared" si="5"/>
        <v>0.15789473684210525</v>
      </c>
      <c r="T5" s="55">
        <f t="shared" si="6"/>
        <v>34</v>
      </c>
      <c r="U5" s="55">
        <f t="shared" si="7"/>
        <v>2</v>
      </c>
      <c r="V5" s="59">
        <f t="shared" si="8"/>
        <v>36</v>
      </c>
      <c r="W5" s="60">
        <f t="shared" si="9"/>
        <v>62</v>
      </c>
      <c r="X5" s="67">
        <f t="shared" si="10"/>
        <v>26</v>
      </c>
      <c r="Y5" s="55">
        <f t="shared" ca="1" si="11"/>
        <v>2</v>
      </c>
      <c r="Z5" s="55">
        <f t="shared" ref="Z5:AA5" si="14">V5</f>
        <v>36</v>
      </c>
      <c r="AA5" s="55">
        <f t="shared" si="14"/>
        <v>62</v>
      </c>
      <c r="AB5" s="71">
        <f t="shared" si="13"/>
        <v>0.58064516129032262</v>
      </c>
      <c r="AC5" s="72">
        <v>46306</v>
      </c>
      <c r="AD5" s="74" t="s">
        <v>45</v>
      </c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</row>
    <row r="6" spans="1:51" ht="15.75" customHeight="1">
      <c r="A6" s="42" t="s">
        <v>41</v>
      </c>
      <c r="B6" s="55">
        <v>14</v>
      </c>
      <c r="C6" s="22"/>
      <c r="D6" s="22"/>
      <c r="E6" s="59">
        <f t="shared" si="0"/>
        <v>14</v>
      </c>
      <c r="F6" s="60">
        <v>21</v>
      </c>
      <c r="G6" s="62">
        <f t="shared" si="1"/>
        <v>0.66666666666666663</v>
      </c>
      <c r="H6" s="55">
        <v>12</v>
      </c>
      <c r="I6" s="22"/>
      <c r="J6" s="22"/>
      <c r="K6" s="59">
        <f t="shared" si="2"/>
        <v>12</v>
      </c>
      <c r="L6" s="60">
        <v>27</v>
      </c>
      <c r="M6" s="62">
        <f t="shared" si="3"/>
        <v>0.44444444444444442</v>
      </c>
      <c r="N6" s="55">
        <v>5</v>
      </c>
      <c r="O6" s="22"/>
      <c r="P6" s="22"/>
      <c r="Q6" s="59">
        <f t="shared" si="4"/>
        <v>5</v>
      </c>
      <c r="R6" s="60">
        <v>24</v>
      </c>
      <c r="S6" s="62">
        <f t="shared" si="5"/>
        <v>0.20833333333333334</v>
      </c>
      <c r="T6" s="55">
        <f t="shared" si="6"/>
        <v>31</v>
      </c>
      <c r="U6" s="55">
        <f t="shared" si="7"/>
        <v>0</v>
      </c>
      <c r="V6" s="59">
        <f t="shared" si="8"/>
        <v>31</v>
      </c>
      <c r="W6" s="60">
        <f t="shared" si="9"/>
        <v>72</v>
      </c>
      <c r="X6" s="67">
        <f t="shared" si="10"/>
        <v>41</v>
      </c>
      <c r="Y6" s="55">
        <f t="shared" ca="1" si="11"/>
        <v>4</v>
      </c>
      <c r="Z6" s="55">
        <f t="shared" ref="Z6:AA6" si="15">V6</f>
        <v>31</v>
      </c>
      <c r="AA6" s="55">
        <f t="shared" si="15"/>
        <v>72</v>
      </c>
      <c r="AB6" s="71">
        <f t="shared" si="13"/>
        <v>0.43055555555555558</v>
      </c>
      <c r="AC6" s="83">
        <v>46306</v>
      </c>
      <c r="AD6" s="74" t="s">
        <v>47</v>
      </c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</row>
    <row r="7" spans="1:51" ht="15.75" customHeight="1">
      <c r="A7" s="42" t="s">
        <v>48</v>
      </c>
      <c r="B7" s="84">
        <v>25</v>
      </c>
      <c r="C7" s="22"/>
      <c r="D7" s="84">
        <v>7</v>
      </c>
      <c r="E7" s="59">
        <f t="shared" si="0"/>
        <v>32</v>
      </c>
      <c r="F7" s="60">
        <v>38</v>
      </c>
      <c r="G7" s="62">
        <f t="shared" si="1"/>
        <v>0.84210526315789469</v>
      </c>
      <c r="H7" s="55">
        <v>4</v>
      </c>
      <c r="I7" s="22"/>
      <c r="J7" s="22"/>
      <c r="K7" s="59">
        <f t="shared" si="2"/>
        <v>4</v>
      </c>
      <c r="L7" s="60">
        <v>44</v>
      </c>
      <c r="M7" s="62">
        <f t="shared" si="3"/>
        <v>9.0909090909090912E-2</v>
      </c>
      <c r="N7" s="55">
        <v>8</v>
      </c>
      <c r="O7" s="22"/>
      <c r="P7" s="22"/>
      <c r="Q7" s="59">
        <f t="shared" si="4"/>
        <v>8</v>
      </c>
      <c r="R7" s="60">
        <v>34</v>
      </c>
      <c r="S7" s="62">
        <f t="shared" si="5"/>
        <v>0.23529411764705882</v>
      </c>
      <c r="T7" s="55">
        <f t="shared" si="6"/>
        <v>37</v>
      </c>
      <c r="U7" s="55">
        <f t="shared" si="7"/>
        <v>7</v>
      </c>
      <c r="V7" s="59">
        <f t="shared" si="8"/>
        <v>44</v>
      </c>
      <c r="W7" s="60">
        <f t="shared" si="9"/>
        <v>116</v>
      </c>
      <c r="X7" s="67">
        <f t="shared" si="10"/>
        <v>72</v>
      </c>
      <c r="Y7" s="55">
        <f t="shared" ca="1" si="11"/>
        <v>6</v>
      </c>
      <c r="Z7" s="55">
        <f t="shared" ref="Z7:AA7" si="16">V7</f>
        <v>44</v>
      </c>
      <c r="AA7" s="55">
        <f t="shared" si="16"/>
        <v>116</v>
      </c>
      <c r="AB7" s="71">
        <f t="shared" si="13"/>
        <v>0.37931034482758619</v>
      </c>
      <c r="AC7" s="83">
        <v>46306</v>
      </c>
      <c r="AD7" s="74" t="s">
        <v>50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51">
      <c r="A8" s="85" t="s">
        <v>44</v>
      </c>
      <c r="B8" s="87">
        <f t="shared" ref="B8:F8" si="17">SUM(B4:B7)</f>
        <v>90</v>
      </c>
      <c r="C8" s="87">
        <f t="shared" si="17"/>
        <v>0</v>
      </c>
      <c r="D8" s="87">
        <f t="shared" si="17"/>
        <v>10</v>
      </c>
      <c r="E8" s="87">
        <f t="shared" si="17"/>
        <v>100</v>
      </c>
      <c r="F8" s="87">
        <f t="shared" si="17"/>
        <v>106</v>
      </c>
      <c r="G8" s="88">
        <f t="shared" si="1"/>
        <v>0.94339622641509435</v>
      </c>
      <c r="H8" s="87">
        <f>SUM(H3:H7)</f>
        <v>39</v>
      </c>
      <c r="I8" s="87">
        <f t="shared" ref="I8:L8" si="18">SUM(I4:I7)</f>
        <v>0</v>
      </c>
      <c r="J8" s="87">
        <f t="shared" si="18"/>
        <v>0</v>
      </c>
      <c r="K8" s="87">
        <f t="shared" si="18"/>
        <v>39</v>
      </c>
      <c r="L8" s="87">
        <f t="shared" si="18"/>
        <v>127</v>
      </c>
      <c r="M8" s="88">
        <f t="shared" si="3"/>
        <v>0.30708661417322836</v>
      </c>
      <c r="N8" s="87">
        <f t="shared" ref="N8:R8" si="19">SUM(N4:N7)</f>
        <v>22</v>
      </c>
      <c r="O8" s="87">
        <f t="shared" si="19"/>
        <v>0</v>
      </c>
      <c r="P8" s="87">
        <f t="shared" si="19"/>
        <v>0</v>
      </c>
      <c r="Q8" s="87">
        <f t="shared" si="19"/>
        <v>22</v>
      </c>
      <c r="R8" s="87">
        <f t="shared" si="19"/>
        <v>104</v>
      </c>
      <c r="S8" s="88">
        <f t="shared" si="5"/>
        <v>0.21153846153846154</v>
      </c>
      <c r="T8" s="87">
        <f t="shared" ref="T8:X8" si="20">SUM(T4:T7)</f>
        <v>151</v>
      </c>
      <c r="U8" s="87">
        <f t="shared" si="20"/>
        <v>10</v>
      </c>
      <c r="V8" s="87">
        <f t="shared" si="20"/>
        <v>161</v>
      </c>
      <c r="W8" s="87">
        <f t="shared" si="20"/>
        <v>337</v>
      </c>
      <c r="X8" s="87">
        <f t="shared" si="20"/>
        <v>176</v>
      </c>
      <c r="Y8" s="87">
        <f ca="1">ROUND(X8/Y24*7,0)</f>
        <v>16</v>
      </c>
      <c r="Z8" s="87">
        <f t="shared" ref="Z8:AA8" si="21">SUM(Z4:Z7)</f>
        <v>161</v>
      </c>
      <c r="AA8" s="87">
        <f t="shared" si="21"/>
        <v>337</v>
      </c>
      <c r="AB8" s="71">
        <f t="shared" si="13"/>
        <v>0.47774480712166173</v>
      </c>
      <c r="AC8" s="91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</row>
    <row r="9" spans="1:51">
      <c r="A9" s="37" t="s">
        <v>52</v>
      </c>
      <c r="B9" s="55">
        <v>18</v>
      </c>
      <c r="C9" s="22"/>
      <c r="D9" s="55"/>
      <c r="E9" s="59">
        <f t="shared" ref="E9:E12" si="22">SUM(B9:D9)</f>
        <v>18</v>
      </c>
      <c r="F9" s="60">
        <v>22</v>
      </c>
      <c r="G9" s="62">
        <f t="shared" si="1"/>
        <v>0.81818181818181823</v>
      </c>
      <c r="H9" s="55">
        <v>10</v>
      </c>
      <c r="I9" s="22"/>
      <c r="J9" s="55"/>
      <c r="K9" s="59">
        <f t="shared" ref="K9:K12" si="23">SUM(H9:J9)</f>
        <v>10</v>
      </c>
      <c r="L9" s="60">
        <v>25</v>
      </c>
      <c r="M9" s="62">
        <f t="shared" si="3"/>
        <v>0.4</v>
      </c>
      <c r="N9" s="55">
        <v>2</v>
      </c>
      <c r="O9" s="22"/>
      <c r="P9" s="55"/>
      <c r="Q9" s="59">
        <f t="shared" ref="Q9:Q12" si="24">SUM(N9:P9)</f>
        <v>2</v>
      </c>
      <c r="R9" s="60">
        <v>23</v>
      </c>
      <c r="S9" s="62">
        <f t="shared" si="5"/>
        <v>8.6956521739130432E-2</v>
      </c>
      <c r="T9" s="55">
        <f t="shared" ref="T9:T12" si="25">N9+H9+B9+O9+I9</f>
        <v>30</v>
      </c>
      <c r="U9" s="55">
        <f t="shared" ref="U9:U12" si="26">P9+J9+D9</f>
        <v>0</v>
      </c>
      <c r="V9" s="59">
        <f t="shared" ref="V9:V12" si="27">SUM(T9:U9)</f>
        <v>30</v>
      </c>
      <c r="W9" s="60">
        <f t="shared" ref="W9:W12" si="28">F9+L9+R9</f>
        <v>70</v>
      </c>
      <c r="X9" s="67">
        <f t="shared" ref="X9:X12" si="29">W9-V9</f>
        <v>40</v>
      </c>
      <c r="Y9" s="55">
        <f t="shared" ref="Y9:Y12" ca="1" si="30">ROUND(X9/$Y$24*7,0)</f>
        <v>4</v>
      </c>
      <c r="Z9" s="55">
        <f t="shared" ref="Z9:AA9" si="31">V9</f>
        <v>30</v>
      </c>
      <c r="AA9" s="55">
        <f t="shared" si="31"/>
        <v>70</v>
      </c>
      <c r="AB9" s="71">
        <f t="shared" si="13"/>
        <v>0.42857142857142855</v>
      </c>
      <c r="AC9" s="72">
        <v>46306</v>
      </c>
      <c r="AD9" s="22" t="s">
        <v>56</v>
      </c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</row>
    <row r="10" spans="1:51">
      <c r="A10" s="37" t="s">
        <v>51</v>
      </c>
      <c r="B10" s="55">
        <v>13</v>
      </c>
      <c r="C10" s="22"/>
      <c r="D10" s="55">
        <v>6</v>
      </c>
      <c r="E10" s="59">
        <f t="shared" si="22"/>
        <v>19</v>
      </c>
      <c r="F10" s="60">
        <v>24</v>
      </c>
      <c r="G10" s="62">
        <f t="shared" si="1"/>
        <v>0.79166666666666663</v>
      </c>
      <c r="H10" s="55">
        <v>11</v>
      </c>
      <c r="I10" s="22"/>
      <c r="J10" s="55"/>
      <c r="K10" s="59">
        <f t="shared" si="23"/>
        <v>11</v>
      </c>
      <c r="L10" s="60">
        <v>28</v>
      </c>
      <c r="M10" s="62">
        <f t="shared" si="3"/>
        <v>0.39285714285714285</v>
      </c>
      <c r="N10" s="55">
        <v>5</v>
      </c>
      <c r="O10" s="22"/>
      <c r="P10" s="55"/>
      <c r="Q10" s="59">
        <f t="shared" si="24"/>
        <v>5</v>
      </c>
      <c r="R10" s="60">
        <v>25</v>
      </c>
      <c r="S10" s="62">
        <f t="shared" si="5"/>
        <v>0.2</v>
      </c>
      <c r="T10" s="55">
        <f t="shared" si="25"/>
        <v>29</v>
      </c>
      <c r="U10" s="55">
        <f t="shared" si="26"/>
        <v>6</v>
      </c>
      <c r="V10" s="59">
        <f t="shared" si="27"/>
        <v>35</v>
      </c>
      <c r="W10" s="60">
        <f t="shared" si="28"/>
        <v>77</v>
      </c>
      <c r="X10" s="67">
        <f t="shared" si="29"/>
        <v>42</v>
      </c>
      <c r="Y10" s="55">
        <f t="shared" ca="1" si="30"/>
        <v>4</v>
      </c>
      <c r="Z10" s="55">
        <f t="shared" ref="Z10:AA10" si="32">V10</f>
        <v>35</v>
      </c>
      <c r="AA10" s="55">
        <f t="shared" si="32"/>
        <v>77</v>
      </c>
      <c r="AB10" s="71">
        <f t="shared" si="13"/>
        <v>0.45454545454545453</v>
      </c>
      <c r="AC10" s="83">
        <v>46306</v>
      </c>
      <c r="AD10" s="31" t="s">
        <v>56</v>
      </c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</row>
    <row r="11" spans="1:51">
      <c r="A11" s="37" t="s">
        <v>46</v>
      </c>
      <c r="B11" s="55">
        <v>22</v>
      </c>
      <c r="C11" s="22"/>
      <c r="D11" s="55"/>
      <c r="E11" s="59">
        <f t="shared" si="22"/>
        <v>22</v>
      </c>
      <c r="F11" s="60">
        <v>24</v>
      </c>
      <c r="G11" s="62">
        <f t="shared" si="1"/>
        <v>0.91666666666666663</v>
      </c>
      <c r="H11" s="55">
        <v>7</v>
      </c>
      <c r="I11" s="22"/>
      <c r="J11" s="55"/>
      <c r="K11" s="59">
        <f t="shared" si="23"/>
        <v>7</v>
      </c>
      <c r="L11" s="60">
        <v>27</v>
      </c>
      <c r="M11" s="62">
        <f t="shared" si="3"/>
        <v>0.25925925925925924</v>
      </c>
      <c r="N11" s="55">
        <v>8</v>
      </c>
      <c r="O11" s="22"/>
      <c r="P11" s="55"/>
      <c r="Q11" s="59">
        <f t="shared" si="24"/>
        <v>8</v>
      </c>
      <c r="R11" s="60">
        <v>27</v>
      </c>
      <c r="S11" s="62">
        <f t="shared" si="5"/>
        <v>0.29629629629629628</v>
      </c>
      <c r="T11" s="55">
        <f t="shared" si="25"/>
        <v>37</v>
      </c>
      <c r="U11" s="55">
        <f t="shared" si="26"/>
        <v>0</v>
      </c>
      <c r="V11" s="59">
        <f t="shared" si="27"/>
        <v>37</v>
      </c>
      <c r="W11" s="60">
        <f t="shared" si="28"/>
        <v>78</v>
      </c>
      <c r="X11" s="67">
        <f t="shared" si="29"/>
        <v>41</v>
      </c>
      <c r="Y11" s="55">
        <f t="shared" ca="1" si="30"/>
        <v>4</v>
      </c>
      <c r="Z11" s="55">
        <f t="shared" ref="Z11:AA11" si="33">V11</f>
        <v>37</v>
      </c>
      <c r="AA11" s="55">
        <f t="shared" si="33"/>
        <v>78</v>
      </c>
      <c r="AB11" s="71">
        <f t="shared" si="13"/>
        <v>0.47435897435897434</v>
      </c>
      <c r="AC11" s="83">
        <v>46306</v>
      </c>
      <c r="AD11" s="31" t="s">
        <v>56</v>
      </c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</row>
    <row r="12" spans="1:51">
      <c r="A12" s="37" t="s">
        <v>53</v>
      </c>
      <c r="B12" s="55">
        <v>32</v>
      </c>
      <c r="C12" s="22"/>
      <c r="D12" s="55"/>
      <c r="E12" s="59">
        <f t="shared" si="22"/>
        <v>32</v>
      </c>
      <c r="F12" s="60">
        <v>40</v>
      </c>
      <c r="G12" s="62">
        <f t="shared" si="1"/>
        <v>0.8</v>
      </c>
      <c r="H12" s="55">
        <v>11</v>
      </c>
      <c r="I12" s="22"/>
      <c r="J12" s="55"/>
      <c r="K12" s="59">
        <f t="shared" si="23"/>
        <v>11</v>
      </c>
      <c r="L12" s="60">
        <v>46</v>
      </c>
      <c r="M12" s="62">
        <f t="shared" si="3"/>
        <v>0.2391304347826087</v>
      </c>
      <c r="N12" s="55">
        <v>3</v>
      </c>
      <c r="O12" s="22"/>
      <c r="P12" s="55"/>
      <c r="Q12" s="59">
        <f t="shared" si="24"/>
        <v>3</v>
      </c>
      <c r="R12" s="60">
        <v>40</v>
      </c>
      <c r="S12" s="62">
        <f t="shared" si="5"/>
        <v>7.4999999999999997E-2</v>
      </c>
      <c r="T12" s="55">
        <f t="shared" si="25"/>
        <v>46</v>
      </c>
      <c r="U12" s="55">
        <f t="shared" si="26"/>
        <v>0</v>
      </c>
      <c r="V12" s="59">
        <f t="shared" si="27"/>
        <v>46</v>
      </c>
      <c r="W12" s="60">
        <f t="shared" si="28"/>
        <v>126</v>
      </c>
      <c r="X12" s="67">
        <f t="shared" si="29"/>
        <v>80</v>
      </c>
      <c r="Y12" s="55">
        <f t="shared" ca="1" si="30"/>
        <v>7</v>
      </c>
      <c r="Z12" s="55">
        <f t="shared" ref="Z12:AA12" si="34">V12</f>
        <v>46</v>
      </c>
      <c r="AA12" s="55">
        <f t="shared" si="34"/>
        <v>126</v>
      </c>
      <c r="AB12" s="71">
        <f t="shared" si="13"/>
        <v>0.36507936507936506</v>
      </c>
      <c r="AC12" s="95">
        <v>46306</v>
      </c>
      <c r="AD12" s="22" t="s">
        <v>56</v>
      </c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</row>
    <row r="13" spans="1:51">
      <c r="A13" s="76" t="s">
        <v>54</v>
      </c>
      <c r="B13" s="87">
        <f t="shared" ref="B13:F13" si="35">SUM(B9:B12)</f>
        <v>85</v>
      </c>
      <c r="C13" s="87">
        <f t="shared" si="35"/>
        <v>0</v>
      </c>
      <c r="D13" s="87">
        <f t="shared" si="35"/>
        <v>6</v>
      </c>
      <c r="E13" s="87">
        <f t="shared" si="35"/>
        <v>91</v>
      </c>
      <c r="F13" s="87">
        <f t="shared" si="35"/>
        <v>110</v>
      </c>
      <c r="G13" s="88">
        <f t="shared" si="1"/>
        <v>0.82727272727272727</v>
      </c>
      <c r="H13" s="87">
        <f t="shared" ref="H13:L13" si="36">SUM(H9:H12)</f>
        <v>39</v>
      </c>
      <c r="I13" s="87">
        <f t="shared" si="36"/>
        <v>0</v>
      </c>
      <c r="J13" s="87">
        <f t="shared" si="36"/>
        <v>0</v>
      </c>
      <c r="K13" s="87">
        <f t="shared" si="36"/>
        <v>39</v>
      </c>
      <c r="L13" s="87">
        <f t="shared" si="36"/>
        <v>126</v>
      </c>
      <c r="M13" s="88">
        <f t="shared" si="3"/>
        <v>0.30952380952380953</v>
      </c>
      <c r="N13" s="87">
        <f t="shared" ref="N13:R13" si="37">SUM(N9:N12)</f>
        <v>18</v>
      </c>
      <c r="O13" s="87">
        <f t="shared" si="37"/>
        <v>0</v>
      </c>
      <c r="P13" s="87">
        <f t="shared" si="37"/>
        <v>0</v>
      </c>
      <c r="Q13" s="87">
        <f t="shared" si="37"/>
        <v>18</v>
      </c>
      <c r="R13" s="87">
        <f t="shared" si="37"/>
        <v>115</v>
      </c>
      <c r="S13" s="88">
        <f t="shared" si="5"/>
        <v>0.15652173913043479</v>
      </c>
      <c r="T13" s="87">
        <f t="shared" ref="T13:X13" si="38">SUM(T9:T12)</f>
        <v>142</v>
      </c>
      <c r="U13" s="87">
        <f t="shared" si="38"/>
        <v>6</v>
      </c>
      <c r="V13" s="87">
        <f t="shared" si="38"/>
        <v>148</v>
      </c>
      <c r="W13" s="87">
        <f t="shared" si="38"/>
        <v>351</v>
      </c>
      <c r="X13" s="87">
        <f t="shared" si="38"/>
        <v>203</v>
      </c>
      <c r="Y13" s="87">
        <f ca="1">ROUND(X13/Y24*7,0)</f>
        <v>18</v>
      </c>
      <c r="Z13" s="87">
        <f t="shared" ref="Z13:AA13" si="39">SUM(Z9:Z12)</f>
        <v>148</v>
      </c>
      <c r="AA13" s="87">
        <f t="shared" si="39"/>
        <v>351</v>
      </c>
      <c r="AB13" s="71">
        <f t="shared" si="13"/>
        <v>0.42165242165242167</v>
      </c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</row>
    <row r="14" spans="1:51">
      <c r="A14" s="42" t="s">
        <v>55</v>
      </c>
      <c r="B14" s="55">
        <v>11</v>
      </c>
      <c r="C14" s="22"/>
      <c r="D14" s="55">
        <v>7</v>
      </c>
      <c r="E14" s="59">
        <f t="shared" ref="E14:E16" si="40">SUM(B14:D14)</f>
        <v>18</v>
      </c>
      <c r="F14" s="60">
        <v>27</v>
      </c>
      <c r="G14" s="62">
        <f t="shared" si="1"/>
        <v>0.66666666666666663</v>
      </c>
      <c r="H14" s="55">
        <v>6</v>
      </c>
      <c r="I14" s="22"/>
      <c r="J14" s="22"/>
      <c r="K14" s="59">
        <f t="shared" ref="K14:K16" si="41">SUM(H14:J14)</f>
        <v>6</v>
      </c>
      <c r="L14" s="60">
        <v>31</v>
      </c>
      <c r="M14" s="62">
        <f t="shared" si="3"/>
        <v>0.19354838709677419</v>
      </c>
      <c r="N14" s="55">
        <v>6</v>
      </c>
      <c r="O14" s="22"/>
      <c r="P14" s="22"/>
      <c r="Q14" s="59">
        <f t="shared" ref="Q14:Q16" si="42">SUM(N14:P14)</f>
        <v>6</v>
      </c>
      <c r="R14" s="60">
        <v>29</v>
      </c>
      <c r="S14" s="62">
        <f t="shared" si="5"/>
        <v>0.20689655172413793</v>
      </c>
      <c r="T14" s="55">
        <f t="shared" ref="T14:T16" si="43">N14+H14+B14+O14+I14</f>
        <v>23</v>
      </c>
      <c r="U14" s="55">
        <f t="shared" ref="U14:U16" si="44">P14+J14+D14</f>
        <v>7</v>
      </c>
      <c r="V14" s="59">
        <f t="shared" ref="V14:V16" si="45">SUM(T14:U14)</f>
        <v>30</v>
      </c>
      <c r="W14" s="60">
        <f t="shared" ref="W14:W16" si="46">F14+L14+R14</f>
        <v>87</v>
      </c>
      <c r="X14" s="67">
        <f t="shared" ref="X14:X16" si="47">W14-V14</f>
        <v>57</v>
      </c>
      <c r="Y14" s="55">
        <f t="shared" ref="Y14:Y16" ca="1" si="48">ROUND(X14/$Y$24*7,0)</f>
        <v>5</v>
      </c>
      <c r="Z14" s="55">
        <f t="shared" ref="Z14:AA14" si="49">V14</f>
        <v>30</v>
      </c>
      <c r="AA14" s="55">
        <f t="shared" si="49"/>
        <v>87</v>
      </c>
      <c r="AB14" s="71">
        <f t="shared" si="13"/>
        <v>0.34482758620689657</v>
      </c>
      <c r="AC14" s="72">
        <v>46306</v>
      </c>
      <c r="AD14" s="22" t="s">
        <v>42</v>
      </c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</row>
    <row r="15" spans="1:51" ht="15.75" customHeight="1">
      <c r="A15" s="42" t="s">
        <v>57</v>
      </c>
      <c r="B15" s="55">
        <v>23</v>
      </c>
      <c r="C15" s="22"/>
      <c r="D15" s="55">
        <v>12</v>
      </c>
      <c r="E15" s="59">
        <f t="shared" si="40"/>
        <v>35</v>
      </c>
      <c r="F15" s="60">
        <v>25</v>
      </c>
      <c r="G15" s="62">
        <f t="shared" si="1"/>
        <v>1.4</v>
      </c>
      <c r="H15" s="55">
        <v>15</v>
      </c>
      <c r="I15" s="22"/>
      <c r="J15" s="55">
        <v>3</v>
      </c>
      <c r="K15" s="59">
        <f t="shared" si="41"/>
        <v>18</v>
      </c>
      <c r="L15" s="60">
        <v>32</v>
      </c>
      <c r="M15" s="62">
        <f t="shared" si="3"/>
        <v>0.5625</v>
      </c>
      <c r="N15" s="55">
        <v>10</v>
      </c>
      <c r="O15" s="22"/>
      <c r="P15" s="55">
        <v>2</v>
      </c>
      <c r="Q15" s="59">
        <f t="shared" si="42"/>
        <v>12</v>
      </c>
      <c r="R15" s="60">
        <v>31</v>
      </c>
      <c r="S15" s="62">
        <f t="shared" si="5"/>
        <v>0.38709677419354838</v>
      </c>
      <c r="T15" s="55">
        <f t="shared" si="43"/>
        <v>48</v>
      </c>
      <c r="U15" s="55">
        <f t="shared" si="44"/>
        <v>17</v>
      </c>
      <c r="V15" s="59">
        <f t="shared" si="45"/>
        <v>65</v>
      </c>
      <c r="W15" s="60">
        <f t="shared" si="46"/>
        <v>88</v>
      </c>
      <c r="X15" s="67">
        <f t="shared" si="47"/>
        <v>23</v>
      </c>
      <c r="Y15" s="55">
        <f t="shared" ca="1" si="48"/>
        <v>2</v>
      </c>
      <c r="Z15" s="55">
        <f t="shared" ref="Z15:AA15" si="50">V15</f>
        <v>65</v>
      </c>
      <c r="AA15" s="55">
        <f t="shared" si="50"/>
        <v>88</v>
      </c>
      <c r="AB15" s="71">
        <f t="shared" si="13"/>
        <v>0.73863636363636365</v>
      </c>
      <c r="AC15" s="83">
        <v>46306</v>
      </c>
      <c r="AD15" s="74" t="s">
        <v>61</v>
      </c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</row>
    <row r="16" spans="1:51" ht="15.75" customHeight="1">
      <c r="A16" s="42" t="s">
        <v>58</v>
      </c>
      <c r="B16" s="55">
        <v>10</v>
      </c>
      <c r="C16" s="22"/>
      <c r="D16" s="22"/>
      <c r="E16" s="59">
        <f t="shared" si="40"/>
        <v>10</v>
      </c>
      <c r="F16" s="60">
        <v>9</v>
      </c>
      <c r="G16" s="62">
        <f t="shared" si="1"/>
        <v>1.1111111111111112</v>
      </c>
      <c r="H16" s="55">
        <v>3</v>
      </c>
      <c r="I16" s="22"/>
      <c r="J16" s="22"/>
      <c r="K16" s="59">
        <f t="shared" si="41"/>
        <v>3</v>
      </c>
      <c r="L16" s="60">
        <v>8</v>
      </c>
      <c r="M16" s="62">
        <f t="shared" si="3"/>
        <v>0.375</v>
      </c>
      <c r="N16" s="55">
        <v>3</v>
      </c>
      <c r="O16" s="22"/>
      <c r="P16" s="22"/>
      <c r="Q16" s="59">
        <f t="shared" si="42"/>
        <v>3</v>
      </c>
      <c r="R16" s="60">
        <v>10</v>
      </c>
      <c r="S16" s="62">
        <f t="shared" si="5"/>
        <v>0.3</v>
      </c>
      <c r="T16" s="55">
        <f t="shared" si="43"/>
        <v>16</v>
      </c>
      <c r="U16" s="55">
        <f t="shared" si="44"/>
        <v>0</v>
      </c>
      <c r="V16" s="59">
        <f t="shared" si="45"/>
        <v>16</v>
      </c>
      <c r="W16" s="60">
        <f t="shared" si="46"/>
        <v>27</v>
      </c>
      <c r="X16" s="67">
        <f t="shared" si="47"/>
        <v>11</v>
      </c>
      <c r="Y16" s="55">
        <f t="shared" ca="1" si="48"/>
        <v>1</v>
      </c>
      <c r="Z16" s="55">
        <f t="shared" ref="Z16:AA16" si="51">V16</f>
        <v>16</v>
      </c>
      <c r="AA16" s="55">
        <f t="shared" si="51"/>
        <v>27</v>
      </c>
      <c r="AB16" s="71">
        <f t="shared" si="13"/>
        <v>0.59259259259259256</v>
      </c>
      <c r="AC16" s="83">
        <v>46306</v>
      </c>
      <c r="AD16" s="74" t="s">
        <v>62</v>
      </c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</row>
    <row r="17" spans="1:51">
      <c r="A17" s="85" t="s">
        <v>59</v>
      </c>
      <c r="B17" s="87">
        <f t="shared" ref="B17:F17" si="52">SUM(B14:B16)</f>
        <v>44</v>
      </c>
      <c r="C17" s="87">
        <f t="shared" si="52"/>
        <v>0</v>
      </c>
      <c r="D17" s="87">
        <f t="shared" si="52"/>
        <v>19</v>
      </c>
      <c r="E17" s="87">
        <f t="shared" si="52"/>
        <v>63</v>
      </c>
      <c r="F17" s="87">
        <f t="shared" si="52"/>
        <v>61</v>
      </c>
      <c r="G17" s="88">
        <f t="shared" si="1"/>
        <v>1.0327868852459017</v>
      </c>
      <c r="H17" s="87">
        <f t="shared" ref="H17:L17" si="53">SUM(H14:H16)</f>
        <v>24</v>
      </c>
      <c r="I17" s="87">
        <f t="shared" si="53"/>
        <v>0</v>
      </c>
      <c r="J17" s="87">
        <f t="shared" si="53"/>
        <v>3</v>
      </c>
      <c r="K17" s="87">
        <f t="shared" si="53"/>
        <v>27</v>
      </c>
      <c r="L17" s="87">
        <f t="shared" si="53"/>
        <v>71</v>
      </c>
      <c r="M17" s="88">
        <f t="shared" si="3"/>
        <v>0.38028169014084506</v>
      </c>
      <c r="N17" s="87">
        <f t="shared" ref="N17:R17" si="54">SUM(N14:N16)</f>
        <v>19</v>
      </c>
      <c r="O17" s="87">
        <f t="shared" si="54"/>
        <v>0</v>
      </c>
      <c r="P17" s="87">
        <f t="shared" si="54"/>
        <v>2</v>
      </c>
      <c r="Q17" s="87">
        <f t="shared" si="54"/>
        <v>21</v>
      </c>
      <c r="R17" s="87">
        <f t="shared" si="54"/>
        <v>70</v>
      </c>
      <c r="S17" s="88">
        <f t="shared" si="5"/>
        <v>0.3</v>
      </c>
      <c r="T17" s="87">
        <f t="shared" ref="T17:X17" si="55">SUM(T14:T16)</f>
        <v>87</v>
      </c>
      <c r="U17" s="87">
        <f t="shared" si="55"/>
        <v>24</v>
      </c>
      <c r="V17" s="87">
        <f t="shared" si="55"/>
        <v>111</v>
      </c>
      <c r="W17" s="87">
        <f t="shared" si="55"/>
        <v>202</v>
      </c>
      <c r="X17" s="87">
        <f t="shared" si="55"/>
        <v>91</v>
      </c>
      <c r="Y17" s="87">
        <f ca="1">ROUND(X17/Y24*7,0)</f>
        <v>8</v>
      </c>
      <c r="Z17" s="87">
        <f t="shared" ref="Z17:AA17" si="56">SUM(Z14:Z16)</f>
        <v>111</v>
      </c>
      <c r="AA17" s="87">
        <f t="shared" si="56"/>
        <v>202</v>
      </c>
      <c r="AB17" s="71">
        <f t="shared" si="13"/>
        <v>0.54950495049504955</v>
      </c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</row>
    <row r="18" spans="1:51">
      <c r="A18" s="4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109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</row>
    <row r="19" spans="1:51">
      <c r="A19" s="4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109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</row>
    <row r="20" spans="1:51">
      <c r="A20" s="111" t="s">
        <v>14</v>
      </c>
      <c r="B20" s="113">
        <f t="shared" ref="B20:F20" si="57">SUM(B8+B13+B17)</f>
        <v>219</v>
      </c>
      <c r="C20" s="113">
        <f t="shared" si="57"/>
        <v>0</v>
      </c>
      <c r="D20" s="113">
        <f t="shared" si="57"/>
        <v>35</v>
      </c>
      <c r="E20" s="113">
        <f t="shared" si="57"/>
        <v>254</v>
      </c>
      <c r="F20" s="113">
        <f t="shared" si="57"/>
        <v>277</v>
      </c>
      <c r="G20" s="114">
        <f>E20/F20</f>
        <v>0.9169675090252708</v>
      </c>
      <c r="H20" s="113">
        <f t="shared" ref="H20:L20" si="58">SUM(H8+H13+H17)</f>
        <v>102</v>
      </c>
      <c r="I20" s="113">
        <f t="shared" si="58"/>
        <v>0</v>
      </c>
      <c r="J20" s="113">
        <f t="shared" si="58"/>
        <v>3</v>
      </c>
      <c r="K20" s="113">
        <f t="shared" si="58"/>
        <v>105</v>
      </c>
      <c r="L20" s="113">
        <f t="shared" si="58"/>
        <v>324</v>
      </c>
      <c r="M20" s="114">
        <f>K20/L20</f>
        <v>0.32407407407407407</v>
      </c>
      <c r="N20" s="113">
        <f t="shared" ref="N20:R20" si="59">SUM(N8+N13+N17)</f>
        <v>59</v>
      </c>
      <c r="O20" s="113">
        <f t="shared" si="59"/>
        <v>0</v>
      </c>
      <c r="P20" s="113">
        <f t="shared" si="59"/>
        <v>2</v>
      </c>
      <c r="Q20" s="113">
        <f t="shared" si="59"/>
        <v>61</v>
      </c>
      <c r="R20" s="113">
        <f t="shared" si="59"/>
        <v>289</v>
      </c>
      <c r="S20" s="114">
        <f>Q20/R20</f>
        <v>0.21107266435986158</v>
      </c>
      <c r="T20" s="113">
        <f t="shared" ref="T20:X20" si="60">SUM(T8+T13+T17)</f>
        <v>380</v>
      </c>
      <c r="U20" s="113">
        <f t="shared" si="60"/>
        <v>40</v>
      </c>
      <c r="V20" s="113">
        <f t="shared" si="60"/>
        <v>420</v>
      </c>
      <c r="W20" s="113">
        <f t="shared" si="60"/>
        <v>890</v>
      </c>
      <c r="X20" s="113">
        <f t="shared" si="60"/>
        <v>470</v>
      </c>
      <c r="Y20" s="113">
        <f ca="1">ROUND(X20/Y24*7,0)</f>
        <v>42</v>
      </c>
      <c r="Z20" s="113">
        <f t="shared" ref="Z20:AA20" si="61">Z8+Z13+Z17</f>
        <v>420</v>
      </c>
      <c r="AA20" s="113">
        <f t="shared" si="61"/>
        <v>890</v>
      </c>
      <c r="AB20" s="119">
        <f>Z20/AA20</f>
        <v>0.47191011235955055</v>
      </c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</row>
    <row r="21" spans="1:5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</row>
    <row r="22" spans="1:5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122">
        <v>46387</v>
      </c>
      <c r="Z22" s="22"/>
      <c r="AA22" s="55">
        <f>Z17-AA17</f>
        <v>-91</v>
      </c>
      <c r="AB22" s="22"/>
      <c r="AC22" s="95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</row>
    <row r="23" spans="1:5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123">
        <f ca="1">TODAY()</f>
        <v>46308</v>
      </c>
      <c r="Z23" s="22"/>
      <c r="AA23" s="22"/>
      <c r="AB23" s="22"/>
      <c r="AC23" s="95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</row>
    <row r="24" spans="1:5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55">
        <f ca="1">Y22-Y23</f>
        <v>79</v>
      </c>
      <c r="Z24" s="22"/>
      <c r="AA24" s="22"/>
      <c r="AB24" s="22"/>
      <c r="AC24" s="95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</row>
    <row r="25" spans="1:51" ht="15.75" customHeight="1">
      <c r="A25" s="274" t="s">
        <v>63</v>
      </c>
      <c r="B25" s="275"/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6"/>
      <c r="S25" s="18" t="s">
        <v>2</v>
      </c>
      <c r="T25" s="20" t="s">
        <v>3</v>
      </c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</row>
    <row r="26" spans="1:51" ht="15.75" customHeight="1">
      <c r="A26" s="9"/>
      <c r="B26" s="273" t="s">
        <v>20</v>
      </c>
      <c r="C26" s="271"/>
      <c r="D26" s="271"/>
      <c r="E26" s="271"/>
      <c r="F26" s="14"/>
      <c r="G26" s="14"/>
      <c r="H26" s="273" t="s">
        <v>25</v>
      </c>
      <c r="I26" s="271"/>
      <c r="J26" s="271"/>
      <c r="K26" s="271"/>
      <c r="L26" s="271"/>
      <c r="M26" s="14"/>
      <c r="N26" s="273" t="s">
        <v>30</v>
      </c>
      <c r="O26" s="271"/>
      <c r="P26" s="271"/>
      <c r="Q26" s="271"/>
      <c r="R26" s="271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</row>
    <row r="27" spans="1:51" ht="57.6">
      <c r="A27" s="32"/>
      <c r="B27" s="38" t="s">
        <v>65</v>
      </c>
      <c r="C27" s="38" t="s">
        <v>66</v>
      </c>
      <c r="D27" s="38" t="s">
        <v>28</v>
      </c>
      <c r="E27" s="38" t="s">
        <v>67</v>
      </c>
      <c r="F27" s="38" t="s">
        <v>65</v>
      </c>
      <c r="G27" s="38" t="s">
        <v>66</v>
      </c>
      <c r="H27" s="38" t="s">
        <v>28</v>
      </c>
      <c r="I27" s="38" t="s">
        <v>67</v>
      </c>
      <c r="J27" s="38" t="s">
        <v>65</v>
      </c>
      <c r="K27" s="38" t="s">
        <v>66</v>
      </c>
      <c r="L27" s="38" t="s">
        <v>28</v>
      </c>
      <c r="M27" s="38" t="s">
        <v>67</v>
      </c>
      <c r="N27" s="38"/>
      <c r="O27" s="38" t="s">
        <v>65</v>
      </c>
      <c r="P27" s="38" t="s">
        <v>66</v>
      </c>
      <c r="Q27" s="38" t="s">
        <v>28</v>
      </c>
      <c r="R27" s="46" t="s">
        <v>67</v>
      </c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</row>
    <row r="28" spans="1:51" ht="14.4">
      <c r="A28" s="32" t="s">
        <v>24</v>
      </c>
      <c r="B28" s="39">
        <v>18</v>
      </c>
      <c r="C28" s="39">
        <v>72</v>
      </c>
      <c r="D28" s="56">
        <f>SUM(B28:C28)</f>
        <v>90</v>
      </c>
      <c r="E28" s="57"/>
      <c r="F28" s="124">
        <v>0</v>
      </c>
      <c r="G28" s="39">
        <v>55</v>
      </c>
      <c r="H28" s="56">
        <f>SUM(F28:G28)</f>
        <v>55</v>
      </c>
      <c r="I28" s="57"/>
      <c r="J28" s="124">
        <v>0</v>
      </c>
      <c r="K28" s="124">
        <v>20</v>
      </c>
      <c r="L28" s="56">
        <f>J28+K28</f>
        <v>20</v>
      </c>
      <c r="M28" s="57"/>
      <c r="N28" s="65"/>
      <c r="O28" s="66">
        <f t="shared" ref="O28:P28" si="62">J28+F28+B28</f>
        <v>18</v>
      </c>
      <c r="P28" s="66">
        <f t="shared" si="62"/>
        <v>147</v>
      </c>
      <c r="Q28" s="56">
        <f>P28+O28</f>
        <v>165</v>
      </c>
      <c r="R28" s="68">
        <f>M28+I28+E28</f>
        <v>0</v>
      </c>
      <c r="S28" s="55" t="s">
        <v>50</v>
      </c>
      <c r="T28" s="95">
        <v>46308</v>
      </c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</row>
    <row r="29" spans="1:51" ht="14.4">
      <c r="A29" s="35" t="s">
        <v>44</v>
      </c>
      <c r="B29" s="78">
        <f t="shared" ref="B29:M29" si="63">SUM(B28)</f>
        <v>18</v>
      </c>
      <c r="C29" s="78">
        <f t="shared" si="63"/>
        <v>72</v>
      </c>
      <c r="D29" s="78">
        <f t="shared" si="63"/>
        <v>90</v>
      </c>
      <c r="E29" s="78">
        <f t="shared" si="63"/>
        <v>0</v>
      </c>
      <c r="F29" s="78">
        <f t="shared" si="63"/>
        <v>0</v>
      </c>
      <c r="G29" s="78">
        <f t="shared" si="63"/>
        <v>55</v>
      </c>
      <c r="H29" s="78">
        <f t="shared" si="63"/>
        <v>55</v>
      </c>
      <c r="I29" s="78">
        <f t="shared" si="63"/>
        <v>0</v>
      </c>
      <c r="J29" s="78">
        <f t="shared" si="63"/>
        <v>0</v>
      </c>
      <c r="K29" s="78">
        <f t="shared" si="63"/>
        <v>20</v>
      </c>
      <c r="L29" s="78">
        <f t="shared" si="63"/>
        <v>20</v>
      </c>
      <c r="M29" s="78">
        <f t="shared" si="63"/>
        <v>0</v>
      </c>
      <c r="N29" s="65"/>
      <c r="O29" s="78">
        <f t="shared" ref="O29:R29" si="64">SUM(O28)</f>
        <v>18</v>
      </c>
      <c r="P29" s="78">
        <f t="shared" si="64"/>
        <v>147</v>
      </c>
      <c r="Q29" s="78">
        <f t="shared" si="64"/>
        <v>165</v>
      </c>
      <c r="R29" s="92">
        <f t="shared" si="64"/>
        <v>0</v>
      </c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</row>
    <row r="30" spans="1:51" ht="14.4">
      <c r="A30" s="32" t="s">
        <v>51</v>
      </c>
      <c r="B30" s="39">
        <v>0</v>
      </c>
      <c r="C30" s="66">
        <v>20</v>
      </c>
      <c r="D30" s="56">
        <f>SUM(B30:C30)</f>
        <v>20</v>
      </c>
      <c r="E30" s="57"/>
      <c r="F30" s="124">
        <v>0</v>
      </c>
      <c r="G30" s="66">
        <v>20</v>
      </c>
      <c r="H30" s="56">
        <f>SUM(F30:G30)</f>
        <v>20</v>
      </c>
      <c r="I30" s="57"/>
      <c r="J30" s="124">
        <v>0</v>
      </c>
      <c r="K30" s="124">
        <v>20</v>
      </c>
      <c r="L30" s="56">
        <f>K30+J30</f>
        <v>20</v>
      </c>
      <c r="M30" s="57"/>
      <c r="N30" s="65"/>
      <c r="O30" s="66">
        <f>J30+F30+B30</f>
        <v>0</v>
      </c>
      <c r="P30" s="66">
        <f>C30+G30+K30</f>
        <v>60</v>
      </c>
      <c r="Q30" s="56">
        <f>P30+O30</f>
        <v>60</v>
      </c>
      <c r="R30" s="68">
        <f>M30+I30+E30</f>
        <v>0</v>
      </c>
      <c r="S30" s="22" t="s">
        <v>56</v>
      </c>
      <c r="T30" s="125">
        <v>46306</v>
      </c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</row>
    <row r="31" spans="1:51" ht="14.4">
      <c r="A31" s="35" t="s">
        <v>54</v>
      </c>
      <c r="B31" s="78">
        <f t="shared" ref="B31:M31" si="65">SUM(B30)</f>
        <v>0</v>
      </c>
      <c r="C31" s="78">
        <f t="shared" si="65"/>
        <v>20</v>
      </c>
      <c r="D31" s="78">
        <f t="shared" si="65"/>
        <v>20</v>
      </c>
      <c r="E31" s="78">
        <f t="shared" si="65"/>
        <v>0</v>
      </c>
      <c r="F31" s="78">
        <f t="shared" si="65"/>
        <v>0</v>
      </c>
      <c r="G31" s="78">
        <f t="shared" si="65"/>
        <v>20</v>
      </c>
      <c r="H31" s="78">
        <f t="shared" si="65"/>
        <v>20</v>
      </c>
      <c r="I31" s="78">
        <f t="shared" si="65"/>
        <v>0</v>
      </c>
      <c r="J31" s="78">
        <f t="shared" si="65"/>
        <v>0</v>
      </c>
      <c r="K31" s="78">
        <f t="shared" si="65"/>
        <v>20</v>
      </c>
      <c r="L31" s="78">
        <f t="shared" si="65"/>
        <v>20</v>
      </c>
      <c r="M31" s="78">
        <f t="shared" si="65"/>
        <v>0</v>
      </c>
      <c r="N31" s="65"/>
      <c r="O31" s="78">
        <f t="shared" ref="O31:R31" si="66">SUM(O30)</f>
        <v>0</v>
      </c>
      <c r="P31" s="78">
        <f t="shared" si="66"/>
        <v>60</v>
      </c>
      <c r="Q31" s="78">
        <f t="shared" si="66"/>
        <v>60</v>
      </c>
      <c r="R31" s="92">
        <f t="shared" si="66"/>
        <v>0</v>
      </c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</row>
    <row r="32" spans="1:51" ht="14.4">
      <c r="A32" s="32" t="s">
        <v>55</v>
      </c>
      <c r="B32" s="39">
        <v>7</v>
      </c>
      <c r="C32" s="66">
        <v>18</v>
      </c>
      <c r="D32" s="56">
        <f t="shared" ref="D32:D33" si="67">SUM(B32:C32)</f>
        <v>25</v>
      </c>
      <c r="E32" s="57"/>
      <c r="F32" s="124">
        <v>0</v>
      </c>
      <c r="G32" s="66">
        <v>25</v>
      </c>
      <c r="H32" s="56">
        <f t="shared" ref="H32:H33" si="68">SUM(F32:G32)</f>
        <v>25</v>
      </c>
      <c r="I32" s="57"/>
      <c r="J32" s="124">
        <v>0</v>
      </c>
      <c r="K32" s="124">
        <v>25</v>
      </c>
      <c r="L32" s="56">
        <f t="shared" ref="L32:L33" si="69">K32+J32</f>
        <v>25</v>
      </c>
      <c r="M32" s="57"/>
      <c r="N32" s="65"/>
      <c r="O32" s="66">
        <f t="shared" ref="O32:P32" si="70">J32+F32+B32</f>
        <v>7</v>
      </c>
      <c r="P32" s="66">
        <f t="shared" si="70"/>
        <v>68</v>
      </c>
      <c r="Q32" s="56">
        <f t="shared" ref="Q32:Q33" si="71">P32+O32</f>
        <v>75</v>
      </c>
      <c r="R32" s="68">
        <f t="shared" ref="R32:R33" si="72">M32+I32+E32</f>
        <v>0</v>
      </c>
      <c r="S32" s="22" t="s">
        <v>49</v>
      </c>
      <c r="T32" s="131">
        <v>46307</v>
      </c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</row>
    <row r="33" spans="1:51" ht="14.4">
      <c r="A33" s="32" t="s">
        <v>57</v>
      </c>
      <c r="B33" s="39">
        <v>0</v>
      </c>
      <c r="C33" s="66">
        <v>0</v>
      </c>
      <c r="D33" s="56">
        <f t="shared" si="67"/>
        <v>0</v>
      </c>
      <c r="E33" s="57"/>
      <c r="F33" s="124">
        <v>0</v>
      </c>
      <c r="G33" s="66">
        <v>0</v>
      </c>
      <c r="H33" s="56">
        <f t="shared" si="68"/>
        <v>0</v>
      </c>
      <c r="I33" s="57"/>
      <c r="J33" s="124">
        <v>0</v>
      </c>
      <c r="K33" s="124">
        <v>0</v>
      </c>
      <c r="L33" s="56">
        <f t="shared" si="69"/>
        <v>0</v>
      </c>
      <c r="M33" s="57"/>
      <c r="N33" s="65"/>
      <c r="O33" s="66">
        <f t="shared" ref="O33:P33" si="73">J33+F33+B33</f>
        <v>0</v>
      </c>
      <c r="P33" s="66">
        <f t="shared" si="73"/>
        <v>0</v>
      </c>
      <c r="Q33" s="56">
        <f t="shared" si="71"/>
        <v>0</v>
      </c>
      <c r="R33" s="68">
        <f t="shared" si="72"/>
        <v>0</v>
      </c>
      <c r="S33" s="95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</row>
    <row r="34" spans="1:51" ht="14.4">
      <c r="A34" s="35" t="s">
        <v>59</v>
      </c>
      <c r="B34" s="78">
        <f t="shared" ref="B34:M34" si="74">SUM(B32+B33)</f>
        <v>7</v>
      </c>
      <c r="C34" s="78">
        <f t="shared" si="74"/>
        <v>18</v>
      </c>
      <c r="D34" s="78">
        <f t="shared" si="74"/>
        <v>25</v>
      </c>
      <c r="E34" s="78">
        <f t="shared" si="74"/>
        <v>0</v>
      </c>
      <c r="F34" s="78">
        <f t="shared" si="74"/>
        <v>0</v>
      </c>
      <c r="G34" s="78">
        <f t="shared" si="74"/>
        <v>25</v>
      </c>
      <c r="H34" s="78">
        <f t="shared" si="74"/>
        <v>25</v>
      </c>
      <c r="I34" s="78">
        <f t="shared" si="74"/>
        <v>0</v>
      </c>
      <c r="J34" s="78">
        <f t="shared" si="74"/>
        <v>0</v>
      </c>
      <c r="K34" s="78">
        <f t="shared" si="74"/>
        <v>25</v>
      </c>
      <c r="L34" s="78">
        <f t="shared" si="74"/>
        <v>25</v>
      </c>
      <c r="M34" s="78">
        <f t="shared" si="74"/>
        <v>0</v>
      </c>
      <c r="N34" s="65"/>
      <c r="O34" s="78">
        <f t="shared" ref="O34:R34" si="75">SUM(O32+O33)</f>
        <v>7</v>
      </c>
      <c r="P34" s="78">
        <f t="shared" si="75"/>
        <v>68</v>
      </c>
      <c r="Q34" s="78">
        <f t="shared" si="75"/>
        <v>75</v>
      </c>
      <c r="R34" s="78">
        <f t="shared" si="75"/>
        <v>0</v>
      </c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</row>
    <row r="35" spans="1:51" ht="14.4">
      <c r="A35" s="3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5"/>
      <c r="O35" s="66"/>
      <c r="P35" s="66"/>
      <c r="Q35" s="66"/>
      <c r="R35" s="104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</row>
    <row r="36" spans="1:51" ht="14.4">
      <c r="A36" s="32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104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</row>
    <row r="37" spans="1:51" ht="14.4">
      <c r="A37" s="126" t="s">
        <v>14</v>
      </c>
      <c r="B37" s="97">
        <f t="shared" ref="B37:M37" si="76">B34+B31+B29</f>
        <v>25</v>
      </c>
      <c r="C37" s="97">
        <f t="shared" si="76"/>
        <v>110</v>
      </c>
      <c r="D37" s="97">
        <f t="shared" si="76"/>
        <v>135</v>
      </c>
      <c r="E37" s="97">
        <f t="shared" si="76"/>
        <v>0</v>
      </c>
      <c r="F37" s="97">
        <f t="shared" si="76"/>
        <v>0</v>
      </c>
      <c r="G37" s="97">
        <f t="shared" si="76"/>
        <v>100</v>
      </c>
      <c r="H37" s="97">
        <f t="shared" si="76"/>
        <v>100</v>
      </c>
      <c r="I37" s="97">
        <f t="shared" si="76"/>
        <v>0</v>
      </c>
      <c r="J37" s="97">
        <f t="shared" si="76"/>
        <v>0</v>
      </c>
      <c r="K37" s="97">
        <f t="shared" si="76"/>
        <v>65</v>
      </c>
      <c r="L37" s="97">
        <f t="shared" si="76"/>
        <v>65</v>
      </c>
      <c r="M37" s="97">
        <f t="shared" si="76"/>
        <v>0</v>
      </c>
      <c r="N37" s="127"/>
      <c r="O37" s="97">
        <f t="shared" ref="O37:R37" si="77">O34+O31+O29</f>
        <v>25</v>
      </c>
      <c r="P37" s="97">
        <f t="shared" si="77"/>
        <v>275</v>
      </c>
      <c r="Q37" s="97">
        <f t="shared" si="77"/>
        <v>300</v>
      </c>
      <c r="R37" s="99">
        <f t="shared" si="77"/>
        <v>0</v>
      </c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</row>
    <row r="38" spans="1:51" ht="13.2"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</row>
    <row r="39" spans="1:51" ht="14.4">
      <c r="O39" s="15"/>
      <c r="P39" s="120"/>
      <c r="R39" s="129" t="e">
        <f>Q37/R37</f>
        <v>#DIV/0!</v>
      </c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</row>
    <row r="40" spans="1:51" ht="13.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</row>
    <row r="41" spans="1:51" ht="14.4">
      <c r="A41" s="270" t="s">
        <v>71</v>
      </c>
      <c r="B41" s="271"/>
      <c r="C41" s="271"/>
      <c r="D41" s="271"/>
      <c r="E41" s="271"/>
      <c r="F41" s="271"/>
      <c r="G41" s="271"/>
      <c r="H41" s="271"/>
      <c r="I41" s="271"/>
      <c r="J41" s="271"/>
      <c r="K41" s="271"/>
      <c r="L41" s="272"/>
      <c r="M41" s="18" t="s">
        <v>2</v>
      </c>
      <c r="N41" s="20" t="s">
        <v>3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</row>
    <row r="42" spans="1:51" ht="14.4">
      <c r="A42" s="9"/>
      <c r="B42" s="273" t="s">
        <v>20</v>
      </c>
      <c r="C42" s="271"/>
      <c r="D42" s="14"/>
      <c r="E42" s="273" t="s">
        <v>25</v>
      </c>
      <c r="F42" s="271"/>
      <c r="G42" s="271"/>
      <c r="H42" s="273" t="s">
        <v>30</v>
      </c>
      <c r="I42" s="271"/>
      <c r="J42" s="271"/>
      <c r="K42" s="28" t="s">
        <v>14</v>
      </c>
      <c r="L42" s="40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</row>
    <row r="43" spans="1:51" ht="28.8">
      <c r="A43" s="42"/>
      <c r="B43" s="43" t="s">
        <v>26</v>
      </c>
      <c r="C43" s="43" t="s">
        <v>29</v>
      </c>
      <c r="D43" s="22"/>
      <c r="E43" s="43" t="s">
        <v>26</v>
      </c>
      <c r="F43" s="43" t="s">
        <v>29</v>
      </c>
      <c r="G43" s="22"/>
      <c r="H43" s="43" t="s">
        <v>26</v>
      </c>
      <c r="I43" s="43" t="s">
        <v>29</v>
      </c>
      <c r="J43" s="22"/>
      <c r="K43" s="43" t="s">
        <v>26</v>
      </c>
      <c r="L43" s="138" t="s">
        <v>29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</row>
    <row r="44" spans="1:51" ht="13.2">
      <c r="A44" s="42" t="s">
        <v>36</v>
      </c>
      <c r="B44" s="55">
        <v>22</v>
      </c>
      <c r="C44" s="60">
        <v>62</v>
      </c>
      <c r="D44" s="62">
        <f t="shared" ref="D44:D57" si="78">B44/C44</f>
        <v>0.35483870967741937</v>
      </c>
      <c r="E44" s="55"/>
      <c r="F44" s="60">
        <v>57</v>
      </c>
      <c r="G44" s="62">
        <f t="shared" ref="G44:G57" si="79">E44/F44</f>
        <v>0</v>
      </c>
      <c r="H44" s="22"/>
      <c r="I44" s="60">
        <v>41</v>
      </c>
      <c r="J44" s="62">
        <f t="shared" ref="J44:J57" si="80">H44/I44</f>
        <v>0</v>
      </c>
      <c r="K44" s="55">
        <f t="shared" ref="K44:L44" si="81">H44+E44+B44</f>
        <v>22</v>
      </c>
      <c r="L44" s="139">
        <f t="shared" si="81"/>
        <v>160</v>
      </c>
      <c r="M44" s="22" t="s">
        <v>43</v>
      </c>
      <c r="N44" s="95">
        <v>46307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</row>
    <row r="45" spans="1:51" ht="13.2">
      <c r="A45" s="42" t="s">
        <v>40</v>
      </c>
      <c r="B45" s="55">
        <v>16</v>
      </c>
      <c r="C45" s="60">
        <v>54</v>
      </c>
      <c r="D45" s="62">
        <f t="shared" si="78"/>
        <v>0.29629629629629628</v>
      </c>
      <c r="E45" s="55"/>
      <c r="F45" s="60">
        <v>50</v>
      </c>
      <c r="G45" s="62">
        <f t="shared" si="79"/>
        <v>0</v>
      </c>
      <c r="H45" s="22"/>
      <c r="I45" s="60">
        <v>36</v>
      </c>
      <c r="J45" s="62">
        <f t="shared" si="80"/>
        <v>0</v>
      </c>
      <c r="K45" s="55">
        <f t="shared" ref="K45:L45" si="82">H45+E45+B45</f>
        <v>16</v>
      </c>
      <c r="L45" s="139">
        <f t="shared" si="82"/>
        <v>140</v>
      </c>
      <c r="M45" s="22" t="s">
        <v>43</v>
      </c>
      <c r="N45" s="95">
        <v>46307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</row>
    <row r="46" spans="1:51" ht="13.2">
      <c r="A46" s="42" t="s">
        <v>41</v>
      </c>
      <c r="B46" s="55">
        <v>10</v>
      </c>
      <c r="C46" s="60">
        <v>50</v>
      </c>
      <c r="D46" s="62">
        <f t="shared" si="78"/>
        <v>0.2</v>
      </c>
      <c r="E46" s="55"/>
      <c r="F46" s="60">
        <v>46</v>
      </c>
      <c r="G46" s="62">
        <f t="shared" si="79"/>
        <v>0</v>
      </c>
      <c r="H46" s="22"/>
      <c r="I46" s="60">
        <v>33</v>
      </c>
      <c r="J46" s="62">
        <f t="shared" si="80"/>
        <v>0</v>
      </c>
      <c r="K46" s="55">
        <f t="shared" ref="K46:L46" si="83">H46+E46+B46</f>
        <v>10</v>
      </c>
      <c r="L46" s="139">
        <f t="shared" si="83"/>
        <v>129</v>
      </c>
      <c r="M46" s="22" t="s">
        <v>43</v>
      </c>
      <c r="N46" s="95">
        <v>46307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</row>
    <row r="47" spans="1:51" ht="13.2">
      <c r="A47" s="42" t="s">
        <v>48</v>
      </c>
      <c r="B47" s="84">
        <v>27</v>
      </c>
      <c r="C47" s="60">
        <v>59</v>
      </c>
      <c r="D47" s="62">
        <f t="shared" si="78"/>
        <v>0.4576271186440678</v>
      </c>
      <c r="E47" s="55"/>
      <c r="F47" s="60">
        <v>54</v>
      </c>
      <c r="G47" s="62">
        <f t="shared" si="79"/>
        <v>0</v>
      </c>
      <c r="H47" s="22"/>
      <c r="I47" s="60">
        <v>39</v>
      </c>
      <c r="J47" s="62">
        <f t="shared" si="80"/>
        <v>0</v>
      </c>
      <c r="K47" s="55">
        <f t="shared" ref="K47:L47" si="84">H47+E47+B47</f>
        <v>27</v>
      </c>
      <c r="L47" s="139">
        <f t="shared" si="84"/>
        <v>152</v>
      </c>
      <c r="M47" s="22" t="s">
        <v>43</v>
      </c>
      <c r="N47" s="95">
        <v>46307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</row>
    <row r="48" spans="1:51" ht="13.2">
      <c r="A48" s="85" t="s">
        <v>44</v>
      </c>
      <c r="B48" s="87">
        <f t="shared" ref="B48:C48" si="85">SUM(B44:B47)</f>
        <v>75</v>
      </c>
      <c r="C48" s="87">
        <f t="shared" si="85"/>
        <v>225</v>
      </c>
      <c r="D48" s="62">
        <f t="shared" si="78"/>
        <v>0.33333333333333331</v>
      </c>
      <c r="E48" s="87">
        <f t="shared" ref="E48:F48" si="86">SUM(E44:E47)</f>
        <v>0</v>
      </c>
      <c r="F48" s="87">
        <f t="shared" si="86"/>
        <v>207</v>
      </c>
      <c r="G48" s="62">
        <f t="shared" si="79"/>
        <v>0</v>
      </c>
      <c r="H48" s="87">
        <f t="shared" ref="H48:I48" si="87">SUM(H44:H47)</f>
        <v>0</v>
      </c>
      <c r="I48" s="87">
        <f t="shared" si="87"/>
        <v>149</v>
      </c>
      <c r="J48" s="62">
        <f t="shared" si="80"/>
        <v>0</v>
      </c>
      <c r="K48" s="87">
        <f t="shared" ref="K48:L48" si="88">SUM(K44:K47)</f>
        <v>75</v>
      </c>
      <c r="L48" s="140">
        <f t="shared" si="88"/>
        <v>581</v>
      </c>
      <c r="M48" s="95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</row>
    <row r="49" spans="1:51" ht="13.2">
      <c r="A49" s="37" t="s">
        <v>52</v>
      </c>
      <c r="B49" s="66">
        <v>18</v>
      </c>
      <c r="C49" s="57">
        <v>50</v>
      </c>
      <c r="D49" s="61">
        <f t="shared" si="78"/>
        <v>0.36</v>
      </c>
      <c r="E49" s="39"/>
      <c r="F49" s="57">
        <v>46</v>
      </c>
      <c r="G49" s="61">
        <f t="shared" si="79"/>
        <v>0</v>
      </c>
      <c r="H49" s="39"/>
      <c r="I49" s="57">
        <v>33</v>
      </c>
      <c r="J49" s="61">
        <f t="shared" si="80"/>
        <v>0</v>
      </c>
      <c r="K49" s="66">
        <f t="shared" ref="K49:L49" si="89">H49+E49+B49</f>
        <v>18</v>
      </c>
      <c r="L49" s="68">
        <f t="shared" si="89"/>
        <v>129</v>
      </c>
      <c r="M49" s="22" t="s">
        <v>56</v>
      </c>
      <c r="N49" s="95">
        <v>46306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</row>
    <row r="50" spans="1:51" ht="13.2">
      <c r="A50" s="37" t="s">
        <v>51</v>
      </c>
      <c r="B50" s="66">
        <v>13</v>
      </c>
      <c r="C50" s="57">
        <v>44</v>
      </c>
      <c r="D50" s="61">
        <f t="shared" si="78"/>
        <v>0.29545454545454547</v>
      </c>
      <c r="E50" s="39">
        <v>0</v>
      </c>
      <c r="F50" s="57">
        <v>41</v>
      </c>
      <c r="G50" s="61">
        <f t="shared" si="79"/>
        <v>0</v>
      </c>
      <c r="H50" s="39">
        <v>0</v>
      </c>
      <c r="I50" s="57">
        <v>29</v>
      </c>
      <c r="J50" s="61">
        <f t="shared" si="80"/>
        <v>0</v>
      </c>
      <c r="K50" s="66">
        <f t="shared" ref="K50:L50" si="90">H50+E50+B50</f>
        <v>13</v>
      </c>
      <c r="L50" s="68">
        <f t="shared" si="90"/>
        <v>114</v>
      </c>
      <c r="M50" s="22" t="s">
        <v>56</v>
      </c>
      <c r="N50" s="95">
        <v>46306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</row>
    <row r="51" spans="1:51" ht="13.2">
      <c r="A51" s="37" t="s">
        <v>46</v>
      </c>
      <c r="B51" s="66">
        <v>17</v>
      </c>
      <c r="C51" s="57">
        <v>47</v>
      </c>
      <c r="D51" s="61">
        <f t="shared" si="78"/>
        <v>0.36170212765957449</v>
      </c>
      <c r="E51" s="39">
        <v>0</v>
      </c>
      <c r="F51" s="57">
        <v>43</v>
      </c>
      <c r="G51" s="61">
        <f t="shared" si="79"/>
        <v>0</v>
      </c>
      <c r="H51" s="39">
        <v>0</v>
      </c>
      <c r="I51" s="57">
        <v>31</v>
      </c>
      <c r="J51" s="61">
        <f t="shared" si="80"/>
        <v>0</v>
      </c>
      <c r="K51" s="66">
        <f t="shared" ref="K51:L51" si="91">H51+E51+B51</f>
        <v>17</v>
      </c>
      <c r="L51" s="68">
        <f t="shared" si="91"/>
        <v>121</v>
      </c>
      <c r="M51" s="22" t="s">
        <v>56</v>
      </c>
      <c r="N51" s="95">
        <v>46306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</row>
    <row r="52" spans="1:51" ht="13.2">
      <c r="A52" s="37" t="s">
        <v>53</v>
      </c>
      <c r="B52" s="66">
        <v>25</v>
      </c>
      <c r="C52" s="57">
        <v>90</v>
      </c>
      <c r="D52" s="61">
        <f t="shared" si="78"/>
        <v>0.27777777777777779</v>
      </c>
      <c r="E52" s="39">
        <v>0</v>
      </c>
      <c r="F52" s="57">
        <v>83</v>
      </c>
      <c r="G52" s="61">
        <f t="shared" si="79"/>
        <v>0</v>
      </c>
      <c r="H52" s="39">
        <v>0</v>
      </c>
      <c r="I52" s="57">
        <v>59</v>
      </c>
      <c r="J52" s="61">
        <f t="shared" si="80"/>
        <v>0</v>
      </c>
      <c r="K52" s="66">
        <f t="shared" ref="K52:L52" si="92">H52+E52+B52</f>
        <v>25</v>
      </c>
      <c r="L52" s="68">
        <f t="shared" si="92"/>
        <v>232</v>
      </c>
      <c r="M52" s="22" t="s">
        <v>56</v>
      </c>
      <c r="N52" s="95">
        <v>46306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</row>
    <row r="53" spans="1:51" ht="13.2">
      <c r="A53" s="76" t="s">
        <v>54</v>
      </c>
      <c r="B53" s="141">
        <f t="shared" ref="B53:C53" si="93">SUM(B49:B52)</f>
        <v>73</v>
      </c>
      <c r="C53" s="141">
        <f t="shared" si="93"/>
        <v>231</v>
      </c>
      <c r="D53" s="61">
        <f t="shared" si="78"/>
        <v>0.31601731601731603</v>
      </c>
      <c r="E53" s="141">
        <f t="shared" ref="E53:F53" si="94">SUM(E49:E52)</f>
        <v>0</v>
      </c>
      <c r="F53" s="141">
        <f t="shared" si="94"/>
        <v>213</v>
      </c>
      <c r="G53" s="61">
        <f t="shared" si="79"/>
        <v>0</v>
      </c>
      <c r="H53" s="141">
        <f t="shared" ref="H53:I53" si="95">SUM(H49:H52)</f>
        <v>0</v>
      </c>
      <c r="I53" s="141">
        <f t="shared" si="95"/>
        <v>152</v>
      </c>
      <c r="J53" s="61">
        <f t="shared" si="80"/>
        <v>0</v>
      </c>
      <c r="K53" s="141">
        <f t="shared" ref="K53:L53" si="96">SUM(K49:K52)</f>
        <v>73</v>
      </c>
      <c r="L53" s="142">
        <f t="shared" si="96"/>
        <v>596</v>
      </c>
      <c r="M53" s="95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</row>
    <row r="54" spans="1:51" ht="13.2">
      <c r="A54" s="42" t="s">
        <v>55</v>
      </c>
      <c r="B54" s="55">
        <v>26</v>
      </c>
      <c r="C54" s="60">
        <v>36</v>
      </c>
      <c r="D54" s="62">
        <f t="shared" si="78"/>
        <v>0.72222222222222221</v>
      </c>
      <c r="E54" s="55"/>
      <c r="F54" s="60">
        <v>33</v>
      </c>
      <c r="G54" s="62">
        <f t="shared" si="79"/>
        <v>0</v>
      </c>
      <c r="H54" s="22"/>
      <c r="I54" s="60">
        <v>24</v>
      </c>
      <c r="J54" s="62">
        <f t="shared" si="80"/>
        <v>0</v>
      </c>
      <c r="K54" s="55">
        <f t="shared" ref="K54:L54" si="97">H54+E54+B54</f>
        <v>26</v>
      </c>
      <c r="L54" s="139">
        <f t="shared" si="97"/>
        <v>93</v>
      </c>
      <c r="M54" s="22" t="s">
        <v>43</v>
      </c>
      <c r="N54" s="125">
        <v>46307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</row>
    <row r="55" spans="1:51" ht="13.2">
      <c r="A55" s="42" t="s">
        <v>57</v>
      </c>
      <c r="B55" s="55">
        <v>14</v>
      </c>
      <c r="C55" s="60">
        <v>47</v>
      </c>
      <c r="D55" s="62">
        <f t="shared" si="78"/>
        <v>0.2978723404255319</v>
      </c>
      <c r="E55" s="55"/>
      <c r="F55" s="60">
        <v>43</v>
      </c>
      <c r="G55" s="62">
        <f t="shared" si="79"/>
        <v>0</v>
      </c>
      <c r="H55" s="22"/>
      <c r="I55" s="60">
        <v>31</v>
      </c>
      <c r="J55" s="62">
        <f t="shared" si="80"/>
        <v>0</v>
      </c>
      <c r="K55" s="55">
        <f t="shared" ref="K55:L55" si="98">H55+E55+B55</f>
        <v>14</v>
      </c>
      <c r="L55" s="139">
        <f t="shared" si="98"/>
        <v>121</v>
      </c>
      <c r="M55" s="22" t="s">
        <v>43</v>
      </c>
      <c r="N55" s="125">
        <v>46307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</row>
    <row r="56" spans="1:51" ht="13.2">
      <c r="A56" s="42" t="s">
        <v>58</v>
      </c>
      <c r="B56" s="55">
        <v>9</v>
      </c>
      <c r="C56" s="60">
        <v>21</v>
      </c>
      <c r="D56" s="62">
        <f t="shared" si="78"/>
        <v>0.42857142857142855</v>
      </c>
      <c r="E56" s="55"/>
      <c r="F56" s="60">
        <v>20</v>
      </c>
      <c r="G56" s="62">
        <f t="shared" si="79"/>
        <v>0</v>
      </c>
      <c r="H56" s="22"/>
      <c r="I56" s="60">
        <v>14</v>
      </c>
      <c r="J56" s="62">
        <f t="shared" si="80"/>
        <v>0</v>
      </c>
      <c r="K56" s="55">
        <f t="shared" ref="K56:L56" si="99">H56+E56+B56</f>
        <v>9</v>
      </c>
      <c r="L56" s="139">
        <f t="shared" si="99"/>
        <v>55</v>
      </c>
      <c r="M56" s="22" t="s">
        <v>43</v>
      </c>
      <c r="N56" s="125">
        <v>46307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</row>
    <row r="57" spans="1:51" ht="13.2">
      <c r="A57" s="85" t="s">
        <v>59</v>
      </c>
      <c r="B57" s="87">
        <f t="shared" ref="B57:C57" si="100">SUM(B54:B56)</f>
        <v>49</v>
      </c>
      <c r="C57" s="87">
        <f t="shared" si="100"/>
        <v>104</v>
      </c>
      <c r="D57" s="62">
        <f t="shared" si="78"/>
        <v>0.47115384615384615</v>
      </c>
      <c r="E57" s="87">
        <f t="shared" ref="E57:F57" si="101">SUM(E54:E56)</f>
        <v>0</v>
      </c>
      <c r="F57" s="87">
        <f t="shared" si="101"/>
        <v>96</v>
      </c>
      <c r="G57" s="62">
        <f t="shared" si="79"/>
        <v>0</v>
      </c>
      <c r="H57" s="87">
        <f t="shared" ref="H57:I57" si="102">SUM(H54:H56)</f>
        <v>0</v>
      </c>
      <c r="I57" s="87">
        <f t="shared" si="102"/>
        <v>69</v>
      </c>
      <c r="J57" s="62">
        <f t="shared" si="80"/>
        <v>0</v>
      </c>
      <c r="K57" s="87">
        <f t="shared" ref="K57:L57" si="103">SUM(K54:K56)</f>
        <v>49</v>
      </c>
      <c r="L57" s="140">
        <f t="shared" si="103"/>
        <v>269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</row>
    <row r="58" spans="1:51" ht="13.2">
      <c r="A58" s="7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104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</row>
    <row r="59" spans="1:51" ht="13.2">
      <c r="A59" s="37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104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</row>
    <row r="60" spans="1:51" ht="13.2">
      <c r="A60" s="96" t="s">
        <v>14</v>
      </c>
      <c r="B60" s="97">
        <f t="shared" ref="B60:C60" si="104">B57+B53+B48</f>
        <v>197</v>
      </c>
      <c r="C60" s="97">
        <f t="shared" si="104"/>
        <v>560</v>
      </c>
      <c r="D60" s="144">
        <f>B60/C60</f>
        <v>0.35178571428571431</v>
      </c>
      <c r="E60" s="97">
        <f t="shared" ref="E60:F60" si="105">E57+E53+E48</f>
        <v>0</v>
      </c>
      <c r="F60" s="97">
        <f t="shared" si="105"/>
        <v>516</v>
      </c>
      <c r="G60" s="144">
        <f>E60/F60</f>
        <v>0</v>
      </c>
      <c r="H60" s="97">
        <f t="shared" ref="H60:I60" si="106">H57+H53+H48</f>
        <v>0</v>
      </c>
      <c r="I60" s="97">
        <f t="shared" si="106"/>
        <v>370</v>
      </c>
      <c r="J60" s="144">
        <f>H60/I60</f>
        <v>0</v>
      </c>
      <c r="K60" s="97">
        <f t="shared" ref="K60:L60" si="107">K57+K53+K48</f>
        <v>197</v>
      </c>
      <c r="L60" s="99">
        <f t="shared" si="107"/>
        <v>1446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</row>
    <row r="61" spans="1:51" ht="13.2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</row>
    <row r="62" spans="1:51" ht="13.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145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</row>
    <row r="63" spans="1:51" ht="14.4">
      <c r="A63" s="270" t="s">
        <v>76</v>
      </c>
      <c r="B63" s="271"/>
      <c r="C63" s="271"/>
      <c r="D63" s="271"/>
      <c r="E63" s="271"/>
      <c r="F63" s="272"/>
      <c r="G63" s="18" t="s">
        <v>2</v>
      </c>
      <c r="H63" s="20" t="s">
        <v>3</v>
      </c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</row>
    <row r="64" spans="1:51" ht="14.4">
      <c r="A64" s="9"/>
      <c r="B64" s="273" t="s">
        <v>77</v>
      </c>
      <c r="C64" s="271"/>
      <c r="D64" s="14"/>
      <c r="E64" s="273" t="s">
        <v>78</v>
      </c>
      <c r="F64" s="27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</row>
    <row r="65" spans="1:51" ht="14.4">
      <c r="A65" s="42"/>
      <c r="B65" s="43" t="s">
        <v>79</v>
      </c>
      <c r="C65" s="43" t="s">
        <v>29</v>
      </c>
      <c r="D65" s="22"/>
      <c r="E65" s="22"/>
      <c r="F65" s="109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</row>
    <row r="66" spans="1:51" ht="13.2">
      <c r="A66" s="42" t="s">
        <v>36</v>
      </c>
      <c r="B66" s="55"/>
      <c r="C66" s="60">
        <v>6</v>
      </c>
      <c r="D66" s="62">
        <f t="shared" ref="D66:D79" si="108">B66/C66</f>
        <v>0</v>
      </c>
      <c r="E66" s="22"/>
      <c r="F66" s="139"/>
      <c r="G66" s="95">
        <v>46306</v>
      </c>
      <c r="H66" s="22" t="s">
        <v>43</v>
      </c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</row>
    <row r="67" spans="1:51" ht="13.2">
      <c r="A67" s="42" t="s">
        <v>40</v>
      </c>
      <c r="B67" s="55"/>
      <c r="C67" s="60">
        <v>4</v>
      </c>
      <c r="D67" s="62">
        <f t="shared" si="108"/>
        <v>0</v>
      </c>
      <c r="E67" s="22"/>
      <c r="F67" s="146"/>
      <c r="G67" s="95">
        <v>46306</v>
      </c>
      <c r="H67" s="22" t="s">
        <v>43</v>
      </c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</row>
    <row r="68" spans="1:51" ht="13.2">
      <c r="A68" s="42" t="s">
        <v>41</v>
      </c>
      <c r="B68" s="55"/>
      <c r="C68" s="60">
        <v>4</v>
      </c>
      <c r="D68" s="62">
        <f t="shared" si="108"/>
        <v>0</v>
      </c>
      <c r="E68" s="22"/>
      <c r="F68" s="146">
        <v>1</v>
      </c>
      <c r="G68" s="95">
        <v>46306</v>
      </c>
      <c r="H68" s="22" t="s">
        <v>43</v>
      </c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</row>
    <row r="69" spans="1:51" ht="13.2">
      <c r="A69" s="42" t="s">
        <v>48</v>
      </c>
      <c r="B69" s="55"/>
      <c r="C69" s="60">
        <v>8</v>
      </c>
      <c r="D69" s="62">
        <f t="shared" si="108"/>
        <v>0</v>
      </c>
      <c r="E69" s="22"/>
      <c r="F69" s="139">
        <v>13</v>
      </c>
      <c r="G69" s="95">
        <v>46306</v>
      </c>
      <c r="H69" s="22" t="s">
        <v>43</v>
      </c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</row>
    <row r="70" spans="1:51" ht="13.2">
      <c r="A70" s="85" t="s">
        <v>44</v>
      </c>
      <c r="B70" s="87">
        <f t="shared" ref="B70:C70" si="109">SUM(B66:B69)</f>
        <v>0</v>
      </c>
      <c r="C70" s="87">
        <f t="shared" si="109"/>
        <v>22</v>
      </c>
      <c r="D70" s="62">
        <f t="shared" si="108"/>
        <v>0</v>
      </c>
      <c r="E70" s="22"/>
      <c r="F70" s="140">
        <f>SUM(F66:F69)</f>
        <v>14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</row>
    <row r="71" spans="1:51" ht="13.2">
      <c r="A71" s="37" t="s">
        <v>52</v>
      </c>
      <c r="B71" s="66"/>
      <c r="C71" s="57">
        <v>4</v>
      </c>
      <c r="D71" s="61">
        <f t="shared" si="108"/>
        <v>0</v>
      </c>
      <c r="E71" s="22"/>
      <c r="F71" s="139"/>
      <c r="G71" s="95">
        <v>46306</v>
      </c>
      <c r="H71" s="22" t="s">
        <v>56</v>
      </c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</row>
    <row r="72" spans="1:51" ht="13.2">
      <c r="A72" s="37" t="s">
        <v>51</v>
      </c>
      <c r="B72" s="66">
        <v>1</v>
      </c>
      <c r="C72" s="57">
        <v>5</v>
      </c>
      <c r="D72" s="61">
        <f t="shared" si="108"/>
        <v>0.2</v>
      </c>
      <c r="E72" s="22"/>
      <c r="F72" s="146">
        <v>2</v>
      </c>
      <c r="G72" s="95">
        <v>46306</v>
      </c>
      <c r="H72" s="22" t="s">
        <v>56</v>
      </c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</row>
    <row r="73" spans="1:51" ht="13.2">
      <c r="A73" s="37" t="s">
        <v>46</v>
      </c>
      <c r="B73" s="66"/>
      <c r="C73" s="57">
        <v>5</v>
      </c>
      <c r="D73" s="61">
        <f t="shared" si="108"/>
        <v>0</v>
      </c>
      <c r="E73" s="22"/>
      <c r="F73" s="146">
        <v>1</v>
      </c>
      <c r="G73" s="95">
        <v>46306</v>
      </c>
      <c r="H73" s="22" t="s">
        <v>56</v>
      </c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</row>
    <row r="74" spans="1:51" ht="13.2">
      <c r="A74" s="37" t="s">
        <v>53</v>
      </c>
      <c r="B74" s="66"/>
      <c r="C74" s="57">
        <v>8</v>
      </c>
      <c r="D74" s="61">
        <f t="shared" si="108"/>
        <v>0</v>
      </c>
      <c r="E74" s="22"/>
      <c r="F74" s="139">
        <v>2</v>
      </c>
      <c r="G74" s="95">
        <v>46306</v>
      </c>
      <c r="H74" s="22" t="s">
        <v>56</v>
      </c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</row>
    <row r="75" spans="1:51" ht="13.2">
      <c r="A75" s="76" t="s">
        <v>54</v>
      </c>
      <c r="B75" s="141">
        <f t="shared" ref="B75:C75" si="110">SUM(B71:B74)</f>
        <v>1</v>
      </c>
      <c r="C75" s="141">
        <f t="shared" si="110"/>
        <v>22</v>
      </c>
      <c r="D75" s="61">
        <f t="shared" si="108"/>
        <v>4.5454545454545456E-2</v>
      </c>
      <c r="E75" s="22"/>
      <c r="F75" s="140">
        <f>SUM(F71:F74)</f>
        <v>5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</row>
    <row r="76" spans="1:51" ht="13.2">
      <c r="A76" s="42" t="s">
        <v>55</v>
      </c>
      <c r="B76" s="55">
        <v>2</v>
      </c>
      <c r="C76" s="60">
        <v>6</v>
      </c>
      <c r="D76" s="62">
        <f t="shared" si="108"/>
        <v>0.33333333333333331</v>
      </c>
      <c r="E76" s="22"/>
      <c r="F76" s="139">
        <v>12</v>
      </c>
      <c r="G76" s="95">
        <v>46306</v>
      </c>
      <c r="H76" s="22" t="s">
        <v>43</v>
      </c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</row>
    <row r="77" spans="1:51" ht="13.2">
      <c r="A77" s="42" t="s">
        <v>57</v>
      </c>
      <c r="B77" s="55"/>
      <c r="C77" s="60">
        <v>6</v>
      </c>
      <c r="D77" s="62">
        <f t="shared" si="108"/>
        <v>0</v>
      </c>
      <c r="E77" s="22"/>
      <c r="F77" s="139">
        <v>3</v>
      </c>
      <c r="G77" s="95">
        <v>46306</v>
      </c>
      <c r="H77" s="22" t="s">
        <v>43</v>
      </c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</row>
    <row r="78" spans="1:51" ht="13.2">
      <c r="A78" s="42" t="s">
        <v>58</v>
      </c>
      <c r="B78" s="55"/>
      <c r="C78" s="60">
        <v>2</v>
      </c>
      <c r="D78" s="62">
        <f t="shared" si="108"/>
        <v>0</v>
      </c>
      <c r="E78" s="22"/>
      <c r="F78" s="146"/>
      <c r="G78" s="95">
        <v>46306</v>
      </c>
      <c r="H78" s="22" t="s">
        <v>43</v>
      </c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</row>
    <row r="79" spans="1:51" ht="13.2">
      <c r="A79" s="85" t="s">
        <v>59</v>
      </c>
      <c r="B79" s="87">
        <f t="shared" ref="B79:C79" si="111">SUM(B76:B78)</f>
        <v>2</v>
      </c>
      <c r="C79" s="87">
        <f t="shared" si="111"/>
        <v>14</v>
      </c>
      <c r="D79" s="62">
        <f t="shared" si="108"/>
        <v>0.14285714285714285</v>
      </c>
      <c r="E79" s="22"/>
      <c r="F79" s="140">
        <f>SUM(F76:F78)</f>
        <v>15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</row>
    <row r="80" spans="1:51" ht="13.2">
      <c r="A80" s="76"/>
      <c r="B80" s="66"/>
      <c r="C80" s="66"/>
      <c r="D80" s="66"/>
      <c r="E80" s="22"/>
      <c r="F80" s="109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</row>
    <row r="81" spans="1:51" ht="13.2">
      <c r="A81" s="37"/>
      <c r="B81" s="66"/>
      <c r="C81" s="66"/>
      <c r="D81" s="66"/>
      <c r="E81" s="22"/>
      <c r="F81" s="109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</row>
    <row r="82" spans="1:51" ht="13.2">
      <c r="A82" s="96" t="s">
        <v>14</v>
      </c>
      <c r="B82" s="97">
        <f>B70+B75+B79</f>
        <v>3</v>
      </c>
      <c r="C82" s="97">
        <f>C79+C75+C70</f>
        <v>58</v>
      </c>
      <c r="D82" s="144">
        <f>B82/C82</f>
        <v>5.1724137931034482E-2</v>
      </c>
      <c r="E82" s="147"/>
      <c r="F82" s="148">
        <f>F70+F75+F79</f>
        <v>34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</row>
    <row r="83" spans="1:51" ht="13.2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</row>
    <row r="84" spans="1:51" ht="13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</row>
    <row r="85" spans="1:51" ht="13.2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</row>
    <row r="86" spans="1:51" ht="13.2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</row>
    <row r="87" spans="1:51" ht="13.2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</row>
    <row r="88" spans="1:51" ht="13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</row>
    <row r="89" spans="1:51" ht="13.2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</row>
    <row r="90" spans="1:51" ht="13.2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</row>
    <row r="91" spans="1:51" ht="13.2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</row>
    <row r="92" spans="1:51" ht="13.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</row>
    <row r="93" spans="1:51" ht="13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</row>
    <row r="94" spans="1:51" ht="13.2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</row>
    <row r="95" spans="1:51" ht="13.2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</row>
    <row r="96" spans="1:51" ht="13.2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</row>
    <row r="97" spans="1:51" ht="13.2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</row>
    <row r="98" spans="1:51" ht="13.2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</row>
    <row r="99" spans="1:51" ht="13.2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</row>
    <row r="100" spans="1:51" ht="13.2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</row>
    <row r="101" spans="1:51" ht="13.2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</row>
    <row r="102" spans="1:51" ht="13.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</row>
    <row r="103" spans="1:51" ht="13.2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</row>
    <row r="104" spans="1:51" ht="13.2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</row>
    <row r="105" spans="1:51" ht="13.2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</row>
    <row r="106" spans="1:51" ht="13.2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</row>
    <row r="107" spans="1:51" ht="13.2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</row>
    <row r="108" spans="1:51" ht="13.2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</row>
    <row r="109" spans="1:51" ht="13.2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</row>
    <row r="110" spans="1:51" ht="13.2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</row>
    <row r="111" spans="1:51" ht="13.2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</row>
    <row r="112" spans="1:51" ht="13.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</row>
    <row r="113" spans="1:51" ht="13.2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</row>
    <row r="114" spans="1:51" ht="13.2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</row>
    <row r="115" spans="1:51" ht="13.2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</row>
    <row r="116" spans="1:51" ht="13.2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</row>
    <row r="117" spans="1:51" ht="13.2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</row>
    <row r="118" spans="1:51" ht="13.2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</row>
    <row r="119" spans="1:51" ht="13.2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</row>
    <row r="120" spans="1:51" ht="13.2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</row>
    <row r="121" spans="1:51" ht="13.2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</row>
    <row r="122" spans="1:51" ht="13.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</row>
    <row r="123" spans="1:51" ht="13.2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</row>
    <row r="124" spans="1:51" ht="13.2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</row>
    <row r="125" spans="1:51" ht="13.2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</row>
    <row r="126" spans="1:51" ht="13.2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</row>
    <row r="127" spans="1:51" ht="13.2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</row>
    <row r="128" spans="1:51" ht="13.2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</row>
    <row r="129" spans="1:51" ht="13.2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</row>
    <row r="130" spans="1:51" ht="13.2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</row>
    <row r="131" spans="1:51" ht="13.2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</row>
    <row r="132" spans="1:51" ht="13.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</row>
    <row r="133" spans="1:51" ht="13.2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</row>
    <row r="134" spans="1:51" ht="13.2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</row>
    <row r="135" spans="1:51" ht="13.2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</row>
    <row r="136" spans="1:51" ht="13.2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</row>
    <row r="137" spans="1:51" ht="13.2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</row>
    <row r="138" spans="1:51" ht="13.2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</row>
    <row r="139" spans="1:51" ht="13.2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</row>
    <row r="140" spans="1:51" ht="13.2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</row>
    <row r="141" spans="1:51" ht="13.2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</row>
    <row r="142" spans="1:51" ht="13.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</row>
    <row r="143" spans="1:51" ht="13.2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</row>
    <row r="144" spans="1:51" ht="13.2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</row>
    <row r="145" spans="1:51" ht="13.2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</row>
    <row r="146" spans="1:51" ht="13.2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</row>
    <row r="147" spans="1:51" ht="13.2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</row>
    <row r="148" spans="1:51" ht="13.2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</row>
    <row r="149" spans="1:51" ht="13.2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</row>
    <row r="150" spans="1:51" ht="13.2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</row>
    <row r="151" spans="1:51" ht="13.2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</row>
    <row r="152" spans="1:51" ht="13.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</row>
    <row r="153" spans="1:51" ht="13.2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</row>
    <row r="154" spans="1:51" ht="13.2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</row>
    <row r="155" spans="1:51" ht="13.2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</row>
    <row r="156" spans="1:51" ht="13.2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</row>
    <row r="157" spans="1:51" ht="13.2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</row>
    <row r="158" spans="1:51" ht="13.2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</row>
    <row r="159" spans="1:51" ht="13.2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</row>
    <row r="160" spans="1:51" ht="13.2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</row>
    <row r="161" spans="1:51" ht="13.2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</row>
    <row r="162" spans="1:51" ht="13.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</row>
    <row r="163" spans="1:51" ht="13.2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</row>
    <row r="164" spans="1:51" ht="13.2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</row>
    <row r="165" spans="1:51" ht="13.2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</row>
    <row r="166" spans="1:51" ht="13.2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</row>
    <row r="167" spans="1:51" ht="13.2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</row>
    <row r="168" spans="1:51" ht="13.2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</row>
    <row r="169" spans="1:51" ht="13.2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</row>
    <row r="170" spans="1:51" ht="13.2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</row>
    <row r="171" spans="1:51" ht="13.2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</row>
    <row r="172" spans="1:51" ht="13.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</row>
    <row r="173" spans="1:51" ht="13.2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</row>
    <row r="174" spans="1:51" ht="13.2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</row>
    <row r="175" spans="1:51" ht="13.2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</row>
    <row r="176" spans="1:51" ht="13.2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</row>
    <row r="177" spans="1:51" ht="13.2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</row>
    <row r="178" spans="1:51" ht="13.2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</row>
    <row r="179" spans="1:51" ht="13.2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</row>
    <row r="180" spans="1:51" ht="13.2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</row>
    <row r="181" spans="1:51" ht="13.2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</row>
    <row r="182" spans="1:51" ht="13.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</row>
    <row r="183" spans="1:51" ht="13.2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</row>
    <row r="184" spans="1:51" ht="13.2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</row>
    <row r="185" spans="1:51" ht="13.2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</row>
    <row r="186" spans="1:51" ht="13.2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</row>
    <row r="187" spans="1:51" ht="13.2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</row>
    <row r="188" spans="1:51" ht="13.2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</row>
    <row r="189" spans="1:51" ht="13.2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</row>
    <row r="190" spans="1:51" ht="13.2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</row>
    <row r="191" spans="1:51" ht="13.2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</row>
    <row r="192" spans="1:51" ht="13.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</row>
    <row r="193" spans="1:51" ht="13.2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</row>
    <row r="194" spans="1:51" ht="13.2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</row>
    <row r="195" spans="1:51" ht="13.2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</row>
    <row r="196" spans="1:51" ht="13.2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</row>
    <row r="197" spans="1:51" ht="13.2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</row>
    <row r="198" spans="1:51" ht="13.2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</row>
    <row r="199" spans="1:51" ht="13.2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</row>
    <row r="200" spans="1:51" ht="13.2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</row>
    <row r="201" spans="1:51" ht="13.2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</row>
    <row r="202" spans="1:51" ht="13.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</row>
    <row r="203" spans="1:51" ht="13.2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</row>
    <row r="204" spans="1:51" ht="13.2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</row>
    <row r="205" spans="1:51" ht="13.2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</row>
    <row r="206" spans="1:51" ht="13.2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</row>
    <row r="207" spans="1:51" ht="13.2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</row>
    <row r="208" spans="1:51" ht="13.2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</row>
    <row r="209" spans="1:51" ht="13.2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</row>
    <row r="210" spans="1:51" ht="13.2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</row>
    <row r="211" spans="1:51" ht="13.2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</row>
    <row r="212" spans="1:51" ht="13.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</row>
    <row r="213" spans="1:51" ht="13.2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</row>
    <row r="214" spans="1:51" ht="13.2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</row>
    <row r="215" spans="1:51" ht="13.2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</row>
    <row r="216" spans="1:51" ht="13.2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</row>
    <row r="217" spans="1:51" ht="13.2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</row>
    <row r="218" spans="1:51" ht="13.2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</row>
    <row r="219" spans="1:51" ht="13.2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</row>
    <row r="220" spans="1:51" ht="13.2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</row>
    <row r="221" spans="1:51" ht="13.2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</row>
    <row r="222" spans="1:51" ht="13.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</row>
    <row r="223" spans="1:51" ht="13.2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</row>
    <row r="224" spans="1:51" ht="13.2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</row>
    <row r="225" spans="1:51" ht="13.2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</row>
    <row r="226" spans="1:51" ht="13.2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</row>
    <row r="227" spans="1:51" ht="13.2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</row>
    <row r="228" spans="1:51" ht="13.2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</row>
    <row r="229" spans="1:51" ht="13.2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</row>
    <row r="230" spans="1:51" ht="13.2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</row>
    <row r="231" spans="1:51" ht="13.2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</row>
    <row r="232" spans="1:51" ht="13.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</row>
    <row r="233" spans="1:51" ht="13.2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</row>
    <row r="234" spans="1:51" ht="13.2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</row>
    <row r="235" spans="1:51" ht="13.2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</row>
    <row r="236" spans="1:51" ht="13.2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</row>
    <row r="237" spans="1:51" ht="13.2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</row>
    <row r="238" spans="1:51" ht="13.2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</row>
    <row r="239" spans="1:51" ht="13.2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</row>
    <row r="240" spans="1:51" ht="13.2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</row>
    <row r="241" spans="1:51" ht="13.2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</row>
    <row r="242" spans="1:51" ht="13.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</row>
    <row r="243" spans="1:51" ht="13.2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</row>
    <row r="244" spans="1:51" ht="13.2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</row>
    <row r="245" spans="1:51" ht="13.2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</row>
    <row r="246" spans="1:51" ht="13.2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</row>
    <row r="247" spans="1:51" ht="13.2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</row>
    <row r="248" spans="1:51" ht="13.2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</row>
    <row r="249" spans="1:51" ht="13.2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</row>
    <row r="250" spans="1:51" ht="13.2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</row>
    <row r="251" spans="1:51" ht="13.2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</row>
    <row r="252" spans="1:51" ht="13.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</row>
    <row r="253" spans="1:51" ht="13.2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</row>
    <row r="254" spans="1:51" ht="13.2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</row>
    <row r="255" spans="1:51" ht="13.2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</row>
    <row r="256" spans="1:51" ht="13.2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</row>
    <row r="257" spans="1:51" ht="13.2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</row>
    <row r="258" spans="1:51" ht="13.2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</row>
    <row r="259" spans="1:51" ht="13.2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</row>
    <row r="260" spans="1:51" ht="13.2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</row>
    <row r="261" spans="1:51" ht="13.2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</row>
    <row r="262" spans="1:51" ht="13.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</row>
    <row r="263" spans="1:51" ht="13.2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</row>
    <row r="264" spans="1:51" ht="13.2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</row>
    <row r="265" spans="1:51" ht="13.2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</row>
    <row r="266" spans="1:51" ht="13.2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</row>
    <row r="267" spans="1:51" ht="13.2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</row>
    <row r="268" spans="1:51" ht="13.2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</row>
    <row r="269" spans="1:51" ht="13.2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</row>
    <row r="270" spans="1:51" ht="13.2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</row>
    <row r="271" spans="1:51" ht="13.2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</row>
    <row r="272" spans="1:51" ht="13.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</row>
    <row r="273" spans="1:51" ht="13.2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</row>
    <row r="274" spans="1:51" ht="13.2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</row>
    <row r="275" spans="1:51" ht="13.2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</row>
    <row r="276" spans="1:51" ht="13.2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</row>
    <row r="277" spans="1:51" ht="13.2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</row>
    <row r="278" spans="1:51" ht="13.2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</row>
    <row r="279" spans="1:51" ht="13.2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</row>
    <row r="280" spans="1:51" ht="13.2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</row>
    <row r="281" spans="1:51" ht="13.2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</row>
    <row r="282" spans="1:51" ht="13.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</row>
    <row r="283" spans="1:51" ht="13.2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</row>
    <row r="284" spans="1:51" ht="13.2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</row>
    <row r="285" spans="1:51" ht="13.2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</row>
    <row r="286" spans="1:51" ht="13.2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</row>
    <row r="287" spans="1:51" ht="13.2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</row>
    <row r="288" spans="1:51" ht="13.2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</row>
    <row r="289" spans="1:51" ht="13.2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</row>
    <row r="290" spans="1:51" ht="13.2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</row>
    <row r="291" spans="1:51" ht="13.2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</row>
    <row r="292" spans="1:51" ht="13.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</row>
    <row r="293" spans="1:51" ht="13.2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</row>
    <row r="294" spans="1:51" ht="13.2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</row>
    <row r="295" spans="1:51" ht="13.2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</row>
    <row r="296" spans="1:51" ht="13.2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</row>
    <row r="297" spans="1:51" ht="13.2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</row>
    <row r="298" spans="1:51" ht="13.2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</row>
    <row r="299" spans="1:51" ht="13.2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</row>
    <row r="300" spans="1:51" ht="13.2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</row>
    <row r="301" spans="1:51" ht="13.2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</row>
    <row r="302" spans="1:51" ht="13.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</row>
    <row r="303" spans="1:51" ht="13.2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</row>
    <row r="304" spans="1:51" ht="13.2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</row>
    <row r="305" spans="1:51" ht="13.2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</row>
    <row r="306" spans="1:51" ht="13.2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</row>
    <row r="307" spans="1:51" ht="13.2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</row>
    <row r="308" spans="1:51" ht="13.2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</row>
    <row r="309" spans="1:51" ht="13.2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</row>
    <row r="310" spans="1:51" ht="13.2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</row>
    <row r="311" spans="1:51" ht="13.2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</row>
    <row r="312" spans="1:51" ht="13.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</row>
    <row r="313" spans="1:51" ht="13.2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</row>
    <row r="314" spans="1:51" ht="13.2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</row>
    <row r="315" spans="1:51" ht="13.2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</row>
    <row r="316" spans="1:51" ht="13.2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</row>
    <row r="317" spans="1:51" ht="13.2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</row>
    <row r="318" spans="1:51" ht="13.2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</row>
    <row r="319" spans="1:51" ht="13.2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</row>
    <row r="320" spans="1:51" ht="13.2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</row>
    <row r="321" spans="1:51" ht="13.2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</row>
    <row r="322" spans="1:51" ht="13.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</row>
    <row r="323" spans="1:51" ht="13.2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</row>
    <row r="324" spans="1:51" ht="13.2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</row>
    <row r="325" spans="1:51" ht="13.2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</row>
    <row r="326" spans="1:51" ht="13.2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</row>
    <row r="327" spans="1:51" ht="13.2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</row>
    <row r="328" spans="1:51" ht="13.2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</row>
    <row r="329" spans="1:51" ht="13.2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</row>
    <row r="330" spans="1:51" ht="13.2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</row>
    <row r="331" spans="1:51" ht="13.2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</row>
    <row r="332" spans="1:51" ht="13.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</row>
    <row r="333" spans="1:51" ht="13.2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</row>
    <row r="334" spans="1:51" ht="13.2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</row>
    <row r="335" spans="1:51" ht="13.2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</row>
    <row r="336" spans="1:51" ht="13.2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</row>
    <row r="337" spans="1:51" ht="13.2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</row>
    <row r="338" spans="1:51" ht="13.2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</row>
    <row r="339" spans="1:51" ht="13.2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</row>
    <row r="340" spans="1:51" ht="13.2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</row>
    <row r="341" spans="1:51" ht="13.2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</row>
    <row r="342" spans="1:51" ht="13.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</row>
    <row r="343" spans="1:51" ht="13.2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</row>
    <row r="344" spans="1:51" ht="13.2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</row>
    <row r="345" spans="1:51" ht="13.2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</row>
    <row r="346" spans="1:51" ht="13.2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</row>
    <row r="347" spans="1:51" ht="13.2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</row>
    <row r="348" spans="1:51" ht="13.2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</row>
    <row r="349" spans="1:51" ht="13.2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</row>
    <row r="350" spans="1:51" ht="13.2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</row>
    <row r="351" spans="1:51" ht="13.2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</row>
    <row r="352" spans="1:51" ht="13.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</row>
    <row r="353" spans="1:51" ht="13.2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</row>
    <row r="354" spans="1:51" ht="13.2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</row>
    <row r="355" spans="1:51" ht="13.2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</row>
    <row r="356" spans="1:51" ht="13.2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</row>
    <row r="357" spans="1:51" ht="13.2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</row>
    <row r="358" spans="1:51" ht="13.2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</row>
    <row r="359" spans="1:51" ht="13.2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</row>
    <row r="360" spans="1:51" ht="13.2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</row>
    <row r="361" spans="1:51" ht="13.2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</row>
    <row r="362" spans="1:51" ht="13.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</row>
    <row r="363" spans="1:51" ht="13.2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</row>
    <row r="364" spans="1:51" ht="13.2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</row>
    <row r="365" spans="1:51" ht="13.2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</row>
    <row r="366" spans="1:51" ht="13.2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</row>
    <row r="367" spans="1:51" ht="13.2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</row>
    <row r="368" spans="1:51" ht="13.2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</row>
    <row r="369" spans="1:51" ht="13.2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</row>
    <row r="370" spans="1:51" ht="13.2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</row>
    <row r="371" spans="1:51" ht="13.2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</row>
    <row r="372" spans="1:51" ht="13.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</row>
    <row r="373" spans="1:51" ht="13.2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</row>
    <row r="374" spans="1:51" ht="13.2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</row>
    <row r="375" spans="1:51" ht="13.2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</row>
    <row r="376" spans="1:51" ht="13.2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</row>
    <row r="377" spans="1:51" ht="13.2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</row>
    <row r="378" spans="1:51" ht="13.2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</row>
    <row r="379" spans="1:51" ht="13.2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</row>
    <row r="380" spans="1:51" ht="13.2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</row>
    <row r="381" spans="1:51" ht="13.2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</row>
    <row r="382" spans="1:51" ht="13.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</row>
    <row r="383" spans="1:51" ht="13.2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</row>
    <row r="384" spans="1:51" ht="13.2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</row>
    <row r="385" spans="1:51" ht="13.2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</row>
    <row r="386" spans="1:51" ht="13.2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</row>
    <row r="387" spans="1:51" ht="13.2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</row>
    <row r="388" spans="1:51" ht="13.2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</row>
    <row r="389" spans="1:51" ht="13.2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</row>
    <row r="390" spans="1:51" ht="13.2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</row>
    <row r="391" spans="1:51" ht="13.2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</row>
    <row r="392" spans="1:51" ht="13.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</row>
    <row r="393" spans="1:51" ht="13.2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</row>
    <row r="394" spans="1:51" ht="13.2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</row>
    <row r="395" spans="1:51" ht="13.2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</row>
    <row r="396" spans="1:51" ht="13.2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</row>
    <row r="397" spans="1:51" ht="13.2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</row>
    <row r="398" spans="1:51" ht="13.2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</row>
    <row r="399" spans="1:51" ht="13.2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</row>
    <row r="400" spans="1:51" ht="13.2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</row>
    <row r="401" spans="1:51" ht="13.2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</row>
    <row r="402" spans="1:51" ht="13.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</row>
    <row r="403" spans="1:51" ht="13.2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</row>
    <row r="404" spans="1:51" ht="13.2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</row>
    <row r="405" spans="1:51" ht="13.2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</row>
    <row r="406" spans="1:51" ht="13.2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</row>
    <row r="407" spans="1:51" ht="13.2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</row>
    <row r="408" spans="1:51" ht="13.2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</row>
    <row r="409" spans="1:51" ht="13.2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</row>
    <row r="410" spans="1:51" ht="13.2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</row>
    <row r="411" spans="1:51" ht="13.2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</row>
    <row r="412" spans="1:51" ht="13.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</row>
    <row r="413" spans="1:51" ht="13.2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</row>
    <row r="414" spans="1:51" ht="13.2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</row>
    <row r="415" spans="1:51" ht="13.2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</row>
    <row r="416" spans="1:51" ht="13.2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</row>
    <row r="417" spans="1:51" ht="13.2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</row>
    <row r="418" spans="1:51" ht="13.2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</row>
    <row r="419" spans="1:51" ht="13.2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</row>
    <row r="420" spans="1:51" ht="13.2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</row>
    <row r="421" spans="1:51" ht="13.2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</row>
    <row r="422" spans="1:51" ht="13.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</row>
    <row r="423" spans="1:51" ht="13.2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</row>
    <row r="424" spans="1:51" ht="13.2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</row>
    <row r="425" spans="1:51" ht="13.2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</row>
    <row r="426" spans="1:51" ht="13.2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</row>
    <row r="427" spans="1:51" ht="13.2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</row>
    <row r="428" spans="1:51" ht="13.2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</row>
    <row r="429" spans="1:51" ht="13.2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</row>
    <row r="430" spans="1:51" ht="13.2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</row>
    <row r="431" spans="1:51" ht="13.2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</row>
    <row r="432" spans="1:51" ht="13.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</row>
    <row r="433" spans="1:51" ht="13.2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</row>
    <row r="434" spans="1:51" ht="13.2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</row>
    <row r="435" spans="1:51" ht="13.2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</row>
    <row r="436" spans="1:51" ht="13.2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</row>
    <row r="437" spans="1:51" ht="13.2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</row>
    <row r="438" spans="1:51" ht="13.2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</row>
    <row r="439" spans="1:51" ht="13.2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</row>
    <row r="440" spans="1:51" ht="13.2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</row>
    <row r="441" spans="1:51" ht="13.2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</row>
    <row r="442" spans="1:51" ht="13.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</row>
    <row r="443" spans="1:51" ht="13.2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</row>
    <row r="444" spans="1:51" ht="13.2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</row>
    <row r="445" spans="1:51" ht="13.2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</row>
    <row r="446" spans="1:51" ht="13.2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</row>
    <row r="447" spans="1:51" ht="13.2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</row>
    <row r="448" spans="1:51" ht="13.2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</row>
    <row r="449" spans="1:51" ht="13.2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</row>
    <row r="450" spans="1:51" ht="13.2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</row>
    <row r="451" spans="1:51" ht="13.2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</row>
    <row r="452" spans="1:51" ht="13.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</row>
    <row r="453" spans="1:51" ht="13.2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</row>
    <row r="454" spans="1:51" ht="13.2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</row>
    <row r="455" spans="1:51" ht="13.2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</row>
    <row r="456" spans="1:51" ht="13.2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</row>
    <row r="457" spans="1:51" ht="13.2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</row>
    <row r="458" spans="1:51" ht="13.2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</row>
    <row r="459" spans="1:51" ht="13.2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</row>
    <row r="460" spans="1:51" ht="13.2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</row>
    <row r="461" spans="1:51" ht="13.2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</row>
    <row r="462" spans="1:51" ht="13.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</row>
    <row r="463" spans="1:51" ht="13.2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</row>
    <row r="464" spans="1:51" ht="13.2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</row>
    <row r="465" spans="1:51" ht="13.2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</row>
    <row r="466" spans="1:51" ht="13.2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</row>
    <row r="467" spans="1:51" ht="13.2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</row>
    <row r="468" spans="1:51" ht="13.2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</row>
    <row r="469" spans="1:51" ht="13.2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</row>
    <row r="470" spans="1:51" ht="13.2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</row>
    <row r="471" spans="1:51" ht="13.2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</row>
    <row r="472" spans="1:51" ht="13.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</row>
    <row r="473" spans="1:51" ht="13.2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</row>
    <row r="474" spans="1:51" ht="13.2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</row>
    <row r="475" spans="1:51" ht="13.2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</row>
    <row r="476" spans="1:51" ht="13.2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</row>
    <row r="477" spans="1:51" ht="13.2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</row>
    <row r="478" spans="1:51" ht="13.2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</row>
    <row r="479" spans="1:51" ht="13.2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</row>
    <row r="480" spans="1:51" ht="13.2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</row>
    <row r="481" spans="1:51" ht="13.2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</row>
    <row r="482" spans="1:51" ht="13.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</row>
    <row r="483" spans="1:51" ht="13.2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</row>
    <row r="484" spans="1:51" ht="13.2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</row>
    <row r="485" spans="1:51" ht="13.2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</row>
    <row r="486" spans="1:51" ht="13.2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</row>
    <row r="487" spans="1:51" ht="13.2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</row>
    <row r="488" spans="1:51" ht="13.2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</row>
    <row r="489" spans="1:51" ht="13.2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</row>
    <row r="490" spans="1:51" ht="13.2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</row>
    <row r="491" spans="1:51" ht="13.2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</row>
    <row r="492" spans="1:51" ht="13.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</row>
    <row r="493" spans="1:51" ht="13.2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</row>
    <row r="494" spans="1:51" ht="13.2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</row>
    <row r="495" spans="1:51" ht="13.2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</row>
    <row r="496" spans="1:51" ht="13.2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</row>
    <row r="497" spans="1:51" ht="13.2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</row>
    <row r="498" spans="1:51" ht="13.2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</row>
    <row r="499" spans="1:51" ht="13.2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</row>
    <row r="500" spans="1:51" ht="13.2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</row>
    <row r="501" spans="1:51" ht="13.2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</row>
    <row r="502" spans="1:51" ht="13.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</row>
    <row r="503" spans="1:51" ht="13.2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</row>
    <row r="504" spans="1:51" ht="13.2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</row>
    <row r="505" spans="1:51" ht="13.2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</row>
    <row r="506" spans="1:51" ht="13.2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</row>
    <row r="507" spans="1:51" ht="13.2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</row>
    <row r="508" spans="1:51" ht="13.2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</row>
    <row r="509" spans="1:51" ht="13.2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</row>
    <row r="510" spans="1:51" ht="13.2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</row>
    <row r="511" spans="1:51" ht="13.2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</row>
    <row r="512" spans="1:51" ht="13.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</row>
    <row r="513" spans="1:51" ht="13.2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</row>
    <row r="514" spans="1:51" ht="13.2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</row>
    <row r="515" spans="1:51" ht="13.2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</row>
    <row r="516" spans="1:51" ht="13.2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</row>
    <row r="517" spans="1:51" ht="13.2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</row>
    <row r="518" spans="1:51" ht="13.2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</row>
    <row r="519" spans="1:51" ht="13.2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</row>
    <row r="520" spans="1:51" ht="13.2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</row>
    <row r="521" spans="1:51" ht="13.2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</row>
    <row r="522" spans="1:51" ht="13.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</row>
    <row r="523" spans="1:51" ht="13.2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</row>
    <row r="524" spans="1:51" ht="13.2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</row>
    <row r="525" spans="1:51" ht="13.2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</row>
    <row r="526" spans="1:51" ht="13.2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</row>
    <row r="527" spans="1:51" ht="13.2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</row>
    <row r="528" spans="1:51" ht="13.2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</row>
    <row r="529" spans="1:51" ht="13.2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</row>
    <row r="530" spans="1:51" ht="13.2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</row>
    <row r="531" spans="1:51" ht="13.2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</row>
    <row r="532" spans="1:51" ht="13.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</row>
    <row r="533" spans="1:51" ht="13.2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</row>
    <row r="534" spans="1:51" ht="13.2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</row>
    <row r="535" spans="1:51" ht="13.2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</row>
    <row r="536" spans="1:51" ht="13.2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</row>
    <row r="537" spans="1:51" ht="13.2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</row>
    <row r="538" spans="1:51" ht="13.2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</row>
    <row r="539" spans="1:51" ht="13.2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</row>
    <row r="540" spans="1:51" ht="13.2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</row>
    <row r="541" spans="1:51" ht="13.2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</row>
    <row r="542" spans="1:51" ht="13.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</row>
    <row r="543" spans="1:51" ht="13.2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</row>
    <row r="544" spans="1:51" ht="13.2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</row>
    <row r="545" spans="1:51" ht="13.2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</row>
    <row r="546" spans="1:51" ht="13.2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</row>
    <row r="547" spans="1:51" ht="13.2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</row>
    <row r="548" spans="1:51" ht="13.2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</row>
    <row r="549" spans="1:51" ht="13.2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</row>
    <row r="550" spans="1:51" ht="13.2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</row>
    <row r="551" spans="1:51" ht="13.2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</row>
    <row r="552" spans="1:51" ht="13.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</row>
    <row r="553" spans="1:51" ht="13.2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</row>
    <row r="554" spans="1:51" ht="13.2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</row>
    <row r="555" spans="1:51" ht="13.2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</row>
    <row r="556" spans="1:51" ht="13.2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</row>
    <row r="557" spans="1:51" ht="13.2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</row>
    <row r="558" spans="1:51" ht="13.2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</row>
    <row r="559" spans="1:51" ht="13.2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</row>
    <row r="560" spans="1:51" ht="13.2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</row>
    <row r="561" spans="1:51" ht="13.2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</row>
    <row r="562" spans="1:51" ht="13.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</row>
    <row r="563" spans="1:51" ht="13.2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</row>
    <row r="564" spans="1:51" ht="13.2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</row>
    <row r="565" spans="1:51" ht="13.2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</row>
    <row r="566" spans="1:51" ht="13.2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</row>
    <row r="567" spans="1:51" ht="13.2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</row>
    <row r="568" spans="1:51" ht="13.2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</row>
    <row r="569" spans="1:51" ht="13.2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</row>
    <row r="570" spans="1:51" ht="13.2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</row>
    <row r="571" spans="1:51" ht="13.2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</row>
    <row r="572" spans="1:51" ht="13.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</row>
    <row r="573" spans="1:51" ht="13.2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</row>
    <row r="574" spans="1:51" ht="13.2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</row>
    <row r="575" spans="1:51" ht="13.2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</row>
    <row r="576" spans="1:51" ht="13.2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</row>
    <row r="577" spans="1:51" ht="13.2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</row>
    <row r="578" spans="1:51" ht="13.2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</row>
    <row r="579" spans="1:51" ht="13.2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</row>
    <row r="580" spans="1:51" ht="13.2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</row>
    <row r="581" spans="1:51" ht="13.2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</row>
    <row r="582" spans="1:51" ht="13.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</row>
    <row r="583" spans="1:51" ht="13.2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</row>
    <row r="584" spans="1:51" ht="13.2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</row>
    <row r="585" spans="1:51" ht="13.2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</row>
    <row r="586" spans="1:51" ht="13.2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</row>
    <row r="587" spans="1:51" ht="13.2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</row>
    <row r="588" spans="1:51" ht="13.2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</row>
    <row r="589" spans="1:51" ht="13.2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</row>
    <row r="590" spans="1:51" ht="13.2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</row>
    <row r="591" spans="1:51" ht="13.2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</row>
    <row r="592" spans="1:51" ht="13.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</row>
    <row r="593" spans="1:51" ht="13.2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</row>
    <row r="594" spans="1:51" ht="13.2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</row>
    <row r="595" spans="1:51" ht="13.2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</row>
    <row r="596" spans="1:51" ht="13.2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</row>
    <row r="597" spans="1:51" ht="13.2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</row>
    <row r="598" spans="1:51" ht="13.2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</row>
    <row r="599" spans="1:51" ht="13.2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</row>
    <row r="600" spans="1:51" ht="13.2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</row>
    <row r="601" spans="1:51" ht="13.2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</row>
    <row r="602" spans="1:51" ht="13.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</row>
    <row r="603" spans="1:51" ht="13.2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</row>
    <row r="604" spans="1:51" ht="13.2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</row>
    <row r="605" spans="1:51" ht="13.2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</row>
    <row r="606" spans="1:51" ht="13.2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</row>
    <row r="607" spans="1:51" ht="13.2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</row>
    <row r="608" spans="1:51" ht="13.2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</row>
    <row r="609" spans="1:51" ht="13.2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</row>
    <row r="610" spans="1:51" ht="13.2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</row>
    <row r="611" spans="1:51" ht="13.2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</row>
    <row r="612" spans="1:51" ht="13.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</row>
    <row r="613" spans="1:51" ht="13.2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</row>
    <row r="614" spans="1:51" ht="13.2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</row>
    <row r="615" spans="1:51" ht="13.2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</row>
    <row r="616" spans="1:51" ht="13.2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</row>
    <row r="617" spans="1:51" ht="13.2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</row>
    <row r="618" spans="1:51" ht="13.2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</row>
    <row r="619" spans="1:51" ht="13.2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</row>
    <row r="620" spans="1:51" ht="13.2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</row>
    <row r="621" spans="1:51" ht="13.2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</row>
    <row r="622" spans="1:51" ht="13.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</row>
    <row r="623" spans="1:51" ht="13.2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</row>
    <row r="624" spans="1:51" ht="13.2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</row>
    <row r="625" spans="1:51" ht="13.2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</row>
    <row r="626" spans="1:51" ht="13.2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</row>
    <row r="627" spans="1:51" ht="13.2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</row>
    <row r="628" spans="1:51" ht="13.2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</row>
    <row r="629" spans="1:51" ht="13.2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</row>
    <row r="630" spans="1:51" ht="13.2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</row>
    <row r="631" spans="1:51" ht="13.2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</row>
    <row r="632" spans="1:51" ht="13.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</row>
    <row r="633" spans="1:51" ht="13.2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</row>
    <row r="634" spans="1:51" ht="13.2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</row>
    <row r="635" spans="1:51" ht="13.2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</row>
    <row r="636" spans="1:51" ht="13.2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</row>
    <row r="637" spans="1:51" ht="13.2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</row>
    <row r="638" spans="1:51" ht="13.2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</row>
    <row r="639" spans="1:51" ht="13.2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</row>
    <row r="640" spans="1:51" ht="13.2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</row>
    <row r="641" spans="1:51" ht="13.2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</row>
    <row r="642" spans="1:51" ht="13.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</row>
    <row r="643" spans="1:51" ht="13.2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</row>
    <row r="644" spans="1:51" ht="13.2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</row>
    <row r="645" spans="1:51" ht="13.2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</row>
    <row r="646" spans="1:51" ht="13.2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</row>
    <row r="647" spans="1:51" ht="13.2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</row>
    <row r="648" spans="1:51" ht="13.2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</row>
    <row r="649" spans="1:51" ht="13.2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</row>
    <row r="650" spans="1:51" ht="13.2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</row>
    <row r="651" spans="1:51" ht="13.2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</row>
    <row r="652" spans="1:51" ht="13.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</row>
    <row r="653" spans="1:51" ht="13.2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</row>
    <row r="654" spans="1:51" ht="13.2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</row>
    <row r="655" spans="1:51" ht="13.2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</row>
    <row r="656" spans="1:51" ht="13.2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</row>
    <row r="657" spans="1:51" ht="13.2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</row>
    <row r="658" spans="1:51" ht="13.2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</row>
    <row r="659" spans="1:51" ht="13.2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</row>
    <row r="660" spans="1:51" ht="13.2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</row>
    <row r="661" spans="1:51" ht="13.2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</row>
    <row r="662" spans="1:51" ht="13.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</row>
    <row r="663" spans="1:51" ht="13.2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</row>
    <row r="664" spans="1:51" ht="13.2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</row>
    <row r="665" spans="1:51" ht="13.2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</row>
    <row r="666" spans="1:51" ht="13.2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</row>
    <row r="667" spans="1:51" ht="13.2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</row>
    <row r="668" spans="1:51" ht="13.2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</row>
    <row r="669" spans="1:51" ht="13.2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</row>
    <row r="670" spans="1:51" ht="13.2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</row>
    <row r="671" spans="1:51" ht="13.2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</row>
    <row r="672" spans="1:51" ht="13.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</row>
    <row r="673" spans="1:51" ht="13.2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</row>
    <row r="674" spans="1:51" ht="13.2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</row>
    <row r="675" spans="1:51" ht="13.2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</row>
    <row r="676" spans="1:51" ht="13.2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</row>
    <row r="677" spans="1:51" ht="13.2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</row>
    <row r="678" spans="1:51" ht="13.2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</row>
    <row r="679" spans="1:51" ht="13.2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</row>
    <row r="680" spans="1:51" ht="13.2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</row>
    <row r="681" spans="1:51" ht="13.2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</row>
    <row r="682" spans="1:51" ht="13.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</row>
    <row r="683" spans="1:51" ht="13.2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</row>
    <row r="684" spans="1:51" ht="13.2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</row>
    <row r="685" spans="1:51" ht="13.2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</row>
    <row r="686" spans="1:51" ht="13.2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</row>
    <row r="687" spans="1:51" ht="13.2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</row>
    <row r="688" spans="1:51" ht="13.2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</row>
    <row r="689" spans="1:51" ht="13.2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</row>
    <row r="690" spans="1:51" ht="13.2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</row>
    <row r="691" spans="1:51" ht="13.2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</row>
    <row r="692" spans="1:51" ht="13.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</row>
    <row r="693" spans="1:51" ht="13.2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</row>
    <row r="694" spans="1:51" ht="13.2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</row>
    <row r="695" spans="1:51" ht="13.2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</row>
    <row r="696" spans="1:51" ht="13.2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</row>
    <row r="697" spans="1:51" ht="13.2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</row>
    <row r="698" spans="1:51" ht="13.2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</row>
    <row r="699" spans="1:51" ht="13.2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</row>
    <row r="700" spans="1:51" ht="13.2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</row>
    <row r="701" spans="1:51" ht="13.2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</row>
    <row r="702" spans="1:51" ht="13.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</row>
    <row r="703" spans="1:51" ht="13.2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</row>
    <row r="704" spans="1:51" ht="13.2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</row>
    <row r="705" spans="1:51" ht="13.2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</row>
    <row r="706" spans="1:51" ht="13.2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</row>
    <row r="707" spans="1:51" ht="13.2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</row>
    <row r="708" spans="1:51" ht="13.2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</row>
    <row r="709" spans="1:51" ht="13.2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</row>
    <row r="710" spans="1:51" ht="13.2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</row>
    <row r="711" spans="1:51" ht="13.2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</row>
    <row r="712" spans="1:51" ht="13.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</row>
    <row r="713" spans="1:51" ht="13.2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</row>
    <row r="714" spans="1:51" ht="13.2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</row>
    <row r="715" spans="1:51" ht="13.2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</row>
    <row r="716" spans="1:51" ht="13.2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</row>
    <row r="717" spans="1:51" ht="13.2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</row>
    <row r="718" spans="1:51" ht="13.2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</row>
    <row r="719" spans="1:51" ht="13.2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</row>
    <row r="720" spans="1:51" ht="13.2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</row>
    <row r="721" spans="1:51" ht="13.2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</row>
    <row r="722" spans="1:51" ht="13.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</row>
    <row r="723" spans="1:51" ht="13.2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</row>
    <row r="724" spans="1:51" ht="13.2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</row>
    <row r="725" spans="1:51" ht="13.2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</row>
    <row r="726" spans="1:51" ht="13.2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</row>
    <row r="727" spans="1:51" ht="13.2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</row>
    <row r="728" spans="1:51" ht="13.2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</row>
    <row r="729" spans="1:51" ht="13.2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</row>
    <row r="730" spans="1:51" ht="13.2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</row>
    <row r="731" spans="1:51" ht="13.2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</row>
    <row r="732" spans="1:51" ht="13.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</row>
    <row r="733" spans="1:51" ht="13.2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</row>
    <row r="734" spans="1:51" ht="13.2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</row>
    <row r="735" spans="1:51" ht="13.2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</row>
    <row r="736" spans="1:51" ht="13.2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</row>
    <row r="737" spans="1:51" ht="13.2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</row>
    <row r="738" spans="1:51" ht="13.2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</row>
    <row r="739" spans="1:51" ht="13.2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</row>
    <row r="740" spans="1:51" ht="13.2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</row>
    <row r="741" spans="1:51" ht="13.2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</row>
    <row r="742" spans="1:51" ht="13.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</row>
    <row r="743" spans="1:51" ht="13.2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</row>
    <row r="744" spans="1:51" ht="13.2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</row>
    <row r="745" spans="1:51" ht="13.2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</row>
    <row r="746" spans="1:51" ht="13.2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</row>
    <row r="747" spans="1:51" ht="13.2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</row>
    <row r="748" spans="1:51" ht="13.2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</row>
    <row r="749" spans="1:51" ht="13.2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</row>
    <row r="750" spans="1:51" ht="13.2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</row>
    <row r="751" spans="1:51" ht="13.2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</row>
    <row r="752" spans="1:51" ht="13.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</row>
    <row r="753" spans="1:51" ht="13.2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</row>
    <row r="754" spans="1:51" ht="13.2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</row>
    <row r="755" spans="1:51" ht="13.2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</row>
    <row r="756" spans="1:51" ht="13.2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</row>
    <row r="757" spans="1:51" ht="13.2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</row>
    <row r="758" spans="1:51" ht="13.2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</row>
    <row r="759" spans="1:51" ht="13.2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</row>
    <row r="760" spans="1:51" ht="13.2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</row>
    <row r="761" spans="1:51" ht="13.2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</row>
    <row r="762" spans="1:51" ht="13.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</row>
    <row r="763" spans="1:51" ht="13.2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</row>
    <row r="764" spans="1:51" ht="13.2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</row>
    <row r="765" spans="1:51" ht="13.2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</row>
    <row r="766" spans="1:51" ht="13.2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</row>
    <row r="767" spans="1:51" ht="13.2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</row>
    <row r="768" spans="1:51" ht="13.2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</row>
    <row r="769" spans="1:51" ht="13.2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</row>
    <row r="770" spans="1:51" ht="13.2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</row>
    <row r="771" spans="1:51" ht="13.2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</row>
    <row r="772" spans="1:51" ht="13.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</row>
    <row r="773" spans="1:51" ht="13.2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</row>
    <row r="774" spans="1:51" ht="13.2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</row>
    <row r="775" spans="1:51" ht="13.2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</row>
    <row r="776" spans="1:51" ht="13.2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</row>
    <row r="777" spans="1:51" ht="13.2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</row>
    <row r="778" spans="1:51" ht="13.2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</row>
    <row r="779" spans="1:51" ht="13.2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</row>
    <row r="780" spans="1:51" ht="13.2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</row>
    <row r="781" spans="1:51" ht="13.2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</row>
    <row r="782" spans="1:51" ht="13.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</row>
    <row r="783" spans="1:51" ht="13.2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</row>
    <row r="784" spans="1:51" ht="13.2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</row>
    <row r="785" spans="1:51" ht="13.2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</row>
    <row r="786" spans="1:51" ht="13.2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</row>
    <row r="787" spans="1:51" ht="13.2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</row>
    <row r="788" spans="1:51" ht="13.2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</row>
    <row r="789" spans="1:51" ht="13.2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</row>
    <row r="790" spans="1:51" ht="13.2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</row>
    <row r="791" spans="1:51" ht="13.2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</row>
    <row r="792" spans="1:51" ht="13.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</row>
    <row r="793" spans="1:51" ht="13.2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</row>
    <row r="794" spans="1:51" ht="13.2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</row>
    <row r="795" spans="1:51" ht="13.2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</row>
    <row r="796" spans="1:51" ht="13.2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</row>
    <row r="797" spans="1:51" ht="13.2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</row>
    <row r="798" spans="1:51" ht="13.2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</row>
    <row r="799" spans="1:51" ht="13.2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</row>
    <row r="800" spans="1:51" ht="13.2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</row>
    <row r="801" spans="1:51" ht="13.2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</row>
    <row r="802" spans="1:51" ht="13.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</row>
    <row r="803" spans="1:51" ht="13.2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</row>
    <row r="804" spans="1:51" ht="13.2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</row>
    <row r="805" spans="1:51" ht="13.2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</row>
    <row r="806" spans="1:51" ht="13.2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</row>
    <row r="807" spans="1:51" ht="13.2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</row>
    <row r="808" spans="1:51" ht="13.2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</row>
    <row r="809" spans="1:51" ht="13.2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</row>
    <row r="810" spans="1:51" ht="13.2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</row>
    <row r="811" spans="1:51" ht="13.2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</row>
    <row r="812" spans="1:51" ht="13.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</row>
    <row r="813" spans="1:51" ht="13.2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</row>
    <row r="814" spans="1:51" ht="13.2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</row>
    <row r="815" spans="1:51" ht="13.2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</row>
    <row r="816" spans="1:51" ht="13.2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</row>
    <row r="817" spans="1:51" ht="13.2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</row>
    <row r="818" spans="1:51" ht="13.2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</row>
    <row r="819" spans="1:51" ht="13.2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</row>
    <row r="820" spans="1:51" ht="13.2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</row>
    <row r="821" spans="1:51" ht="13.2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</row>
    <row r="822" spans="1:51" ht="13.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</row>
    <row r="823" spans="1:51" ht="13.2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</row>
    <row r="824" spans="1:51" ht="13.2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</row>
    <row r="825" spans="1:51" ht="13.2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</row>
    <row r="826" spans="1:51" ht="13.2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</row>
    <row r="827" spans="1:51" ht="13.2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</row>
    <row r="828" spans="1:51" ht="13.2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</row>
    <row r="829" spans="1:51" ht="13.2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</row>
    <row r="830" spans="1:51" ht="13.2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</row>
    <row r="831" spans="1:51" ht="13.2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</row>
    <row r="832" spans="1:51" ht="13.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</row>
    <row r="833" spans="1:51" ht="13.2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</row>
    <row r="834" spans="1:51" ht="13.2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</row>
    <row r="835" spans="1:51" ht="13.2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</row>
    <row r="836" spans="1:51" ht="13.2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</row>
    <row r="837" spans="1:51" ht="13.2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</row>
    <row r="838" spans="1:51" ht="13.2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</row>
    <row r="839" spans="1:51" ht="13.2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</row>
    <row r="840" spans="1:51" ht="13.2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</row>
    <row r="841" spans="1:51" ht="13.2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</row>
    <row r="842" spans="1:51" ht="13.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</row>
    <row r="843" spans="1:51" ht="13.2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</row>
    <row r="844" spans="1:51" ht="13.2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</row>
    <row r="845" spans="1:51" ht="13.2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</row>
    <row r="846" spans="1:51" ht="13.2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</row>
    <row r="847" spans="1:51" ht="13.2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</row>
    <row r="848" spans="1:51" ht="13.2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</row>
    <row r="849" spans="1:51" ht="13.2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</row>
    <row r="850" spans="1:51" ht="13.2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</row>
    <row r="851" spans="1:51" ht="13.2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</row>
    <row r="852" spans="1:51" ht="13.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</row>
    <row r="853" spans="1:51" ht="13.2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</row>
    <row r="854" spans="1:51" ht="13.2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</row>
    <row r="855" spans="1:51" ht="13.2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</row>
    <row r="856" spans="1:51" ht="13.2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</row>
    <row r="857" spans="1:51" ht="13.2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</row>
    <row r="858" spans="1:51" ht="13.2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</row>
    <row r="859" spans="1:51" ht="13.2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</row>
    <row r="860" spans="1:51" ht="13.2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</row>
    <row r="861" spans="1:51" ht="13.2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</row>
    <row r="862" spans="1:51" ht="13.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</row>
    <row r="863" spans="1:51" ht="13.2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</row>
    <row r="864" spans="1:51" ht="13.2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</row>
    <row r="865" spans="1:51" ht="13.2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</row>
    <row r="866" spans="1:51" ht="13.2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</row>
    <row r="867" spans="1:51" ht="13.2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</row>
    <row r="868" spans="1:51" ht="13.2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</row>
    <row r="869" spans="1:51" ht="13.2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</row>
    <row r="870" spans="1:51" ht="13.2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</row>
    <row r="871" spans="1:51" ht="13.2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</row>
    <row r="872" spans="1:51" ht="13.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</row>
    <row r="873" spans="1:51" ht="13.2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</row>
    <row r="874" spans="1:51" ht="13.2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</row>
    <row r="875" spans="1:51" ht="13.2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</row>
    <row r="876" spans="1:51" ht="13.2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</row>
    <row r="877" spans="1:51" ht="13.2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</row>
    <row r="878" spans="1:51" ht="13.2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</row>
    <row r="879" spans="1:51" ht="13.2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</row>
    <row r="880" spans="1:51" ht="13.2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</row>
    <row r="881" spans="1:51" ht="13.2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</row>
    <row r="882" spans="1:51" ht="13.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</row>
    <row r="883" spans="1:51" ht="13.2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</row>
    <row r="884" spans="1:51" ht="13.2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</row>
    <row r="885" spans="1:51" ht="13.2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</row>
    <row r="886" spans="1:51" ht="13.2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</row>
    <row r="887" spans="1:51" ht="13.2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</row>
    <row r="888" spans="1:51" ht="13.2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</row>
    <row r="889" spans="1:51" ht="13.2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</row>
    <row r="890" spans="1:51" ht="13.2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</row>
    <row r="891" spans="1:51" ht="13.2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</row>
    <row r="892" spans="1:51" ht="13.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</row>
    <row r="893" spans="1:51" ht="13.2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</row>
    <row r="894" spans="1:51" ht="13.2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</row>
    <row r="895" spans="1:51" ht="13.2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</row>
    <row r="896" spans="1:51" ht="13.2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</row>
    <row r="897" spans="1:51" ht="13.2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</row>
    <row r="898" spans="1:51" ht="13.2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</row>
    <row r="899" spans="1:51" ht="13.2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</row>
    <row r="900" spans="1:51" ht="13.2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</row>
    <row r="901" spans="1:51" ht="13.2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</row>
    <row r="902" spans="1:51" ht="13.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</row>
    <row r="903" spans="1:51" ht="13.2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</row>
    <row r="904" spans="1:51" ht="13.2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</row>
    <row r="905" spans="1:51" ht="13.2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</row>
    <row r="906" spans="1:51" ht="13.2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</row>
    <row r="907" spans="1:51" ht="13.2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</row>
    <row r="908" spans="1:51" ht="13.2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</row>
    <row r="909" spans="1:51" ht="13.2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</row>
    <row r="910" spans="1:51" ht="13.2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</row>
    <row r="911" spans="1:51" ht="13.2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</row>
    <row r="912" spans="1:51" ht="13.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</row>
    <row r="913" spans="1:51" ht="13.2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</row>
    <row r="914" spans="1:51" ht="13.2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</row>
    <row r="915" spans="1:51" ht="13.2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</row>
    <row r="916" spans="1:51" ht="13.2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</row>
    <row r="917" spans="1:51" ht="13.2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</row>
    <row r="918" spans="1:51" ht="13.2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</row>
    <row r="919" spans="1:51" ht="13.2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</row>
    <row r="920" spans="1:51" ht="13.2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</row>
    <row r="921" spans="1:51" ht="13.2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</row>
    <row r="922" spans="1:51" ht="13.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</row>
    <row r="923" spans="1:51" ht="13.2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</row>
    <row r="924" spans="1:51" ht="13.2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</row>
    <row r="925" spans="1:51" ht="13.2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</row>
    <row r="926" spans="1:51" ht="13.2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</row>
    <row r="927" spans="1:51" ht="13.2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</row>
    <row r="928" spans="1:51" ht="13.2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</row>
    <row r="929" spans="1:51" ht="13.2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</row>
    <row r="930" spans="1:51" ht="13.2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</row>
    <row r="931" spans="1:51" ht="13.2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</row>
    <row r="932" spans="1:51" ht="13.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</row>
    <row r="933" spans="1:51" ht="13.2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</row>
    <row r="934" spans="1:51" ht="13.2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</row>
    <row r="935" spans="1:51" ht="13.2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</row>
    <row r="936" spans="1:51" ht="13.2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</row>
    <row r="937" spans="1:51" ht="13.2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</row>
    <row r="938" spans="1:51" ht="13.2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</row>
    <row r="939" spans="1:51" ht="13.2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</row>
    <row r="940" spans="1:51" ht="13.2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</row>
    <row r="941" spans="1:51" ht="13.2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</row>
    <row r="942" spans="1:51" ht="13.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</row>
    <row r="943" spans="1:51" ht="13.2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</row>
    <row r="944" spans="1:51" ht="13.2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</row>
    <row r="945" spans="1:51" ht="13.2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</row>
    <row r="946" spans="1:51" ht="13.2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</row>
    <row r="947" spans="1:51" ht="13.2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</row>
    <row r="948" spans="1:51" ht="13.2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</row>
    <row r="949" spans="1:51" ht="13.2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</row>
    <row r="950" spans="1:51" ht="13.2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</row>
    <row r="951" spans="1:51" ht="13.2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</row>
    <row r="952" spans="1:51" ht="13.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</row>
    <row r="953" spans="1:51" ht="13.2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</row>
    <row r="954" spans="1:51" ht="13.2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</row>
    <row r="955" spans="1:51" ht="13.2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</row>
    <row r="956" spans="1:51" ht="13.2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</row>
    <row r="957" spans="1:51" ht="13.2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</row>
    <row r="958" spans="1:51" ht="13.2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</row>
    <row r="959" spans="1:51" ht="13.2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</row>
    <row r="960" spans="1:51" ht="13.2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</row>
    <row r="961" spans="1:51" ht="13.2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</row>
    <row r="962" spans="1:51" ht="13.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</row>
    <row r="963" spans="1:51" ht="13.2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</row>
    <row r="964" spans="1:51" ht="13.2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</row>
    <row r="965" spans="1:51" ht="13.2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</row>
    <row r="966" spans="1:51" ht="13.2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</row>
    <row r="967" spans="1:51" ht="13.2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</row>
    <row r="968" spans="1:51" ht="13.2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</row>
    <row r="969" spans="1:51" ht="13.2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</row>
    <row r="970" spans="1:51" ht="13.2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</row>
    <row r="971" spans="1:51" ht="13.2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</row>
    <row r="972" spans="1:51" ht="13.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</row>
    <row r="973" spans="1:51" ht="13.2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</row>
    <row r="974" spans="1:51" ht="13.2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</row>
    <row r="975" spans="1:51" ht="13.2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</row>
    <row r="976" spans="1:51" ht="13.2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</row>
    <row r="977" spans="1:51" ht="13.2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</row>
    <row r="978" spans="1:51" ht="13.2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</row>
    <row r="979" spans="1:51" ht="13.2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</row>
    <row r="980" spans="1:51" ht="13.2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</row>
    <row r="981" spans="1:51" ht="13.2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</row>
    <row r="982" spans="1:51" ht="13.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</row>
    <row r="983" spans="1:51" ht="13.2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</row>
    <row r="984" spans="1:51" ht="13.2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</row>
    <row r="985" spans="1:51" ht="13.2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</row>
    <row r="986" spans="1:51" ht="13.2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</row>
    <row r="987" spans="1:51" ht="13.2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</row>
    <row r="988" spans="1:51" ht="13.2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</row>
    <row r="989" spans="1:51" ht="13.2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</row>
    <row r="990" spans="1:51" ht="13.2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</row>
    <row r="991" spans="1:51" ht="13.2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</row>
    <row r="992" spans="1:51" ht="13.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</row>
    <row r="993" spans="1:51" ht="13.2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</row>
    <row r="994" spans="1:51" ht="13.2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</row>
    <row r="995" spans="1:51" ht="13.2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</row>
    <row r="996" spans="1:51" ht="13.2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</row>
    <row r="997" spans="1:51" ht="13.2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</row>
    <row r="998" spans="1:51" ht="13.2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</row>
    <row r="999" spans="1:51" ht="13.2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</row>
    <row r="1000" spans="1:51" ht="13.2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</row>
    <row r="1001" spans="1:51" ht="13.2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</row>
    <row r="1002" spans="1:51" ht="13.2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</row>
    <row r="1003" spans="1:51" ht="13.2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</row>
    <row r="1004" spans="1:51" ht="13.2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</row>
    <row r="1005" spans="1:51" ht="13.2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</row>
    <row r="1006" spans="1:51" ht="13.2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/>
    </row>
    <row r="1007" spans="1:51" ht="13.2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</row>
    <row r="1008" spans="1:51" ht="13.2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</row>
    <row r="1009" spans="1:51" ht="13.2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  <c r="AC1009" s="22"/>
      <c r="AD1009" s="22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</row>
    <row r="1010" spans="1:51" ht="13.2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  <c r="AC1010" s="22"/>
      <c r="AD1010" s="22"/>
      <c r="AE1010" s="22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/>
    </row>
    <row r="1011" spans="1:51" ht="13.2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  <c r="AC1011" s="22"/>
      <c r="AD1011" s="22"/>
      <c r="AE1011" s="22"/>
      <c r="AF1011" s="22"/>
      <c r="AG1011" s="22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/>
    </row>
    <row r="1012" spans="1:51" ht="13.2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  <c r="AC1012" s="22"/>
      <c r="AD1012" s="22"/>
      <c r="AE1012" s="22"/>
      <c r="AF1012" s="22"/>
      <c r="AG1012" s="22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/>
    </row>
    <row r="1013" spans="1:51" ht="13.2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  <c r="AC1013" s="22"/>
      <c r="AD1013" s="22"/>
      <c r="AE1013" s="22"/>
      <c r="AF1013" s="22"/>
      <c r="AG1013" s="22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/>
    </row>
    <row r="1014" spans="1:51" ht="13.2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  <c r="AC1014" s="22"/>
      <c r="AD1014" s="22"/>
      <c r="AE1014" s="22"/>
      <c r="AF1014" s="22"/>
      <c r="AG1014" s="22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/>
    </row>
    <row r="1015" spans="1:51" ht="13.2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2"/>
      <c r="AC1015" s="22"/>
      <c r="AD1015" s="22"/>
      <c r="AE1015" s="22"/>
      <c r="AF1015" s="22"/>
      <c r="AG1015" s="22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  <c r="AY1015" s="22"/>
    </row>
    <row r="1016" spans="1:51" ht="13.2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2"/>
      <c r="AC1016" s="22"/>
      <c r="AD1016" s="22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/>
    </row>
    <row r="1017" spans="1:51" ht="13.2">
      <c r="A1017" s="22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  <c r="AB1017" s="22"/>
      <c r="AC1017" s="22"/>
      <c r="AD1017" s="22"/>
      <c r="AE1017" s="22"/>
      <c r="AF1017" s="22"/>
      <c r="AG1017" s="22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</row>
  </sheetData>
  <mergeCells count="16">
    <mergeCell ref="A25:R25"/>
    <mergeCell ref="B26:E26"/>
    <mergeCell ref="B64:C64"/>
    <mergeCell ref="E64:F64"/>
    <mergeCell ref="H26:L26"/>
    <mergeCell ref="N26:R26"/>
    <mergeCell ref="A41:L41"/>
    <mergeCell ref="B42:C42"/>
    <mergeCell ref="E42:G42"/>
    <mergeCell ref="H42:J42"/>
    <mergeCell ref="A63:F63"/>
    <mergeCell ref="A1:W1"/>
    <mergeCell ref="B2:E2"/>
    <mergeCell ref="H2:L2"/>
    <mergeCell ref="N2:R2"/>
    <mergeCell ref="T2:W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Y1017"/>
  <sheetViews>
    <sheetView workbookViewId="0"/>
  </sheetViews>
  <sheetFormatPr defaultColWidth="12.6640625" defaultRowHeight="15.75" customHeight="1"/>
  <cols>
    <col min="1" max="1" width="26.88671875" customWidth="1"/>
    <col min="2" max="2" width="9" customWidth="1"/>
    <col min="3" max="3" width="8.6640625" customWidth="1"/>
    <col min="4" max="4" width="7.109375" customWidth="1"/>
    <col min="5" max="7" width="8.109375" customWidth="1"/>
    <col min="8" max="8" width="8.6640625" customWidth="1"/>
    <col min="9" max="9" width="7.88671875" customWidth="1"/>
    <col min="10" max="10" width="11" customWidth="1"/>
    <col min="11" max="11" width="8.44140625" customWidth="1"/>
    <col min="12" max="13" width="9.33203125" customWidth="1"/>
    <col min="14" max="14" width="8.6640625" customWidth="1"/>
    <col min="15" max="15" width="7.88671875" customWidth="1"/>
    <col min="16" max="16" width="9.21875" customWidth="1"/>
    <col min="17" max="17" width="9.88671875" customWidth="1"/>
    <col min="18" max="18" width="9.33203125" customWidth="1"/>
    <col min="19" max="19" width="7.109375" customWidth="1"/>
    <col min="20" max="20" width="10.109375" customWidth="1"/>
    <col min="21" max="21" width="9" customWidth="1"/>
    <col min="22" max="22" width="11.33203125" customWidth="1"/>
    <col min="23" max="23" width="5.88671875" customWidth="1"/>
    <col min="24" max="24" width="7.109375" customWidth="1"/>
    <col min="25" max="26" width="9.88671875" customWidth="1"/>
    <col min="27" max="27" width="7.77734375" customWidth="1"/>
    <col min="29" max="29" width="7.6640625" customWidth="1"/>
    <col min="30" max="30" width="4.44140625" customWidth="1"/>
    <col min="32" max="34" width="8.77734375" customWidth="1"/>
    <col min="35" max="35" width="10.44140625" customWidth="1"/>
    <col min="36" max="50" width="8.77734375" customWidth="1"/>
  </cols>
  <sheetData>
    <row r="1" spans="1:51" ht="15.75" customHeight="1">
      <c r="A1" s="270" t="s">
        <v>1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2"/>
      <c r="X1" s="9"/>
      <c r="Y1" s="12"/>
      <c r="Z1" s="9"/>
      <c r="AA1" s="14"/>
      <c r="AB1" s="12"/>
      <c r="AC1" s="18" t="s">
        <v>2</v>
      </c>
      <c r="AD1" s="20" t="s">
        <v>3</v>
      </c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</row>
    <row r="2" spans="1:51" ht="15.75" customHeight="1">
      <c r="A2" s="9"/>
      <c r="B2" s="273" t="s">
        <v>18</v>
      </c>
      <c r="C2" s="271"/>
      <c r="D2" s="271"/>
      <c r="E2" s="271"/>
      <c r="F2" s="14"/>
      <c r="G2" s="14"/>
      <c r="H2" s="273" t="s">
        <v>19</v>
      </c>
      <c r="I2" s="271"/>
      <c r="J2" s="271"/>
      <c r="K2" s="271"/>
      <c r="L2" s="271"/>
      <c r="M2" s="14"/>
      <c r="N2" s="273" t="s">
        <v>23</v>
      </c>
      <c r="O2" s="271"/>
      <c r="P2" s="271"/>
      <c r="Q2" s="271"/>
      <c r="R2" s="271"/>
      <c r="S2" s="14"/>
      <c r="T2" s="273" t="s">
        <v>14</v>
      </c>
      <c r="U2" s="271"/>
      <c r="V2" s="271"/>
      <c r="W2" s="271"/>
      <c r="X2" s="14"/>
      <c r="Y2" s="14"/>
      <c r="Z2" s="14"/>
      <c r="AA2" s="14"/>
      <c r="AB2" s="40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</row>
    <row r="3" spans="1:51" ht="15.75" customHeight="1">
      <c r="A3" s="42"/>
      <c r="B3" s="43" t="s">
        <v>26</v>
      </c>
      <c r="C3" s="43" t="s">
        <v>31</v>
      </c>
      <c r="D3" s="43" t="s">
        <v>27</v>
      </c>
      <c r="E3" s="43" t="s">
        <v>28</v>
      </c>
      <c r="F3" s="43" t="s">
        <v>29</v>
      </c>
      <c r="G3" s="44"/>
      <c r="H3" s="43" t="s">
        <v>26</v>
      </c>
      <c r="I3" s="43" t="s">
        <v>31</v>
      </c>
      <c r="J3" s="43" t="s">
        <v>27</v>
      </c>
      <c r="K3" s="43" t="s">
        <v>28</v>
      </c>
      <c r="L3" s="43" t="s">
        <v>29</v>
      </c>
      <c r="M3" s="22"/>
      <c r="N3" s="43" t="s">
        <v>26</v>
      </c>
      <c r="O3" s="43" t="s">
        <v>31</v>
      </c>
      <c r="P3" s="43" t="s">
        <v>27</v>
      </c>
      <c r="Q3" s="43" t="s">
        <v>28</v>
      </c>
      <c r="R3" s="43" t="s">
        <v>29</v>
      </c>
      <c r="S3" s="22"/>
      <c r="T3" s="43" t="s">
        <v>26</v>
      </c>
      <c r="U3" s="43" t="s">
        <v>27</v>
      </c>
      <c r="V3" s="43" t="s">
        <v>28</v>
      </c>
      <c r="W3" s="43" t="s">
        <v>29</v>
      </c>
      <c r="X3" s="43" t="s">
        <v>32</v>
      </c>
      <c r="Y3" s="18" t="s">
        <v>33</v>
      </c>
      <c r="Z3" s="18" t="s">
        <v>34</v>
      </c>
      <c r="AA3" s="18" t="s">
        <v>15</v>
      </c>
      <c r="AB3" s="52" t="s">
        <v>35</v>
      </c>
      <c r="AC3" s="22"/>
      <c r="AD3" s="22"/>
      <c r="AE3" s="53" t="s">
        <v>37</v>
      </c>
      <c r="AF3" s="53" t="s">
        <v>38</v>
      </c>
      <c r="AG3" s="54" t="s">
        <v>39</v>
      </c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</row>
    <row r="4" spans="1:51" ht="15.75" customHeight="1">
      <c r="A4" s="42" t="s">
        <v>36</v>
      </c>
      <c r="B4" s="55">
        <v>39</v>
      </c>
      <c r="C4" s="22"/>
      <c r="D4" s="22"/>
      <c r="E4" s="59">
        <f t="shared" ref="E4:E7" si="0">SUM(B4:D4)</f>
        <v>39</v>
      </c>
      <c r="F4" s="60">
        <v>24</v>
      </c>
      <c r="G4" s="62">
        <f t="shared" ref="G4:G17" si="1">E4/F4</f>
        <v>1.625</v>
      </c>
      <c r="H4" s="55">
        <v>13</v>
      </c>
      <c r="I4" s="22"/>
      <c r="J4" s="22"/>
      <c r="K4" s="59">
        <f t="shared" ref="K4:K7" si="2">SUM(H4:J4)</f>
        <v>13</v>
      </c>
      <c r="L4" s="60">
        <v>12</v>
      </c>
      <c r="M4" s="62">
        <f t="shared" ref="M4:M17" si="3">K4/L4</f>
        <v>1.0833333333333333</v>
      </c>
      <c r="N4" s="55">
        <v>66</v>
      </c>
      <c r="O4" s="55">
        <v>3</v>
      </c>
      <c r="P4" s="22">
        <v>1</v>
      </c>
      <c r="Q4" s="59">
        <f t="shared" ref="Q4:Q7" si="4">SUM(N4:P4)</f>
        <v>70</v>
      </c>
      <c r="R4" s="60">
        <v>69</v>
      </c>
      <c r="S4" s="62">
        <f t="shared" ref="S4:S17" si="5">Q4/R4</f>
        <v>1.0144927536231885</v>
      </c>
      <c r="T4" s="55">
        <f t="shared" ref="T4:T7" si="6">N4+H4+B4+O4+I4</f>
        <v>121</v>
      </c>
      <c r="U4" s="55">
        <f t="shared" ref="U4:U7" si="7">P4+J4+D4</f>
        <v>1</v>
      </c>
      <c r="V4" s="59">
        <f t="shared" ref="V4:V7" si="8">SUM(T4:U4)</f>
        <v>122</v>
      </c>
      <c r="W4" s="60">
        <f t="shared" ref="W4:W7" si="9">F4+L4+R4</f>
        <v>105</v>
      </c>
      <c r="X4" s="67">
        <f t="shared" ref="X4:X7" si="10">W4-V4</f>
        <v>-17</v>
      </c>
      <c r="Y4" s="55">
        <f t="shared" ref="Y4:Y7" ca="1" si="11">ROUND(X4/$Y$24*7,0)</f>
        <v>9</v>
      </c>
      <c r="Z4" s="55">
        <f t="shared" ref="Z4:AA4" si="12">V4</f>
        <v>122</v>
      </c>
      <c r="AA4" s="55">
        <f t="shared" si="12"/>
        <v>105</v>
      </c>
      <c r="AB4" s="71">
        <f t="shared" ref="AB4:AB17" si="13">Z4/AA4</f>
        <v>1.161904761904762</v>
      </c>
      <c r="AC4" s="73">
        <v>46295</v>
      </c>
      <c r="AD4" s="74" t="s">
        <v>43</v>
      </c>
      <c r="AE4" s="66">
        <v>25</v>
      </c>
      <c r="AF4" s="66">
        <v>27</v>
      </c>
      <c r="AG4" s="79">
        <f t="shared" ref="AG4:AG7" si="14">AE4-AF4</f>
        <v>-2</v>
      </c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</row>
    <row r="5" spans="1:51" ht="15.75" customHeight="1">
      <c r="A5" s="42" t="s">
        <v>40</v>
      </c>
      <c r="B5" s="55">
        <v>25</v>
      </c>
      <c r="C5" s="22"/>
      <c r="D5" s="22"/>
      <c r="E5" s="59">
        <f t="shared" si="0"/>
        <v>25</v>
      </c>
      <c r="F5" s="60">
        <v>19</v>
      </c>
      <c r="G5" s="62">
        <f t="shared" si="1"/>
        <v>1.3157894736842106</v>
      </c>
      <c r="H5" s="55">
        <v>9</v>
      </c>
      <c r="I5" s="22"/>
      <c r="J5" s="22"/>
      <c r="K5" s="59">
        <f t="shared" si="2"/>
        <v>9</v>
      </c>
      <c r="L5" s="60">
        <v>11</v>
      </c>
      <c r="M5" s="62">
        <f t="shared" si="3"/>
        <v>0.81818181818181823</v>
      </c>
      <c r="N5" s="55">
        <v>50</v>
      </c>
      <c r="O5" s="55">
        <v>2</v>
      </c>
      <c r="P5" s="22"/>
      <c r="Q5" s="59">
        <f t="shared" si="4"/>
        <v>52</v>
      </c>
      <c r="R5" s="60">
        <v>47</v>
      </c>
      <c r="S5" s="62">
        <f t="shared" si="5"/>
        <v>1.1063829787234043</v>
      </c>
      <c r="T5" s="55">
        <f t="shared" si="6"/>
        <v>86</v>
      </c>
      <c r="U5" s="55">
        <f t="shared" si="7"/>
        <v>0</v>
      </c>
      <c r="V5" s="59">
        <f t="shared" si="8"/>
        <v>86</v>
      </c>
      <c r="W5" s="60">
        <f t="shared" si="9"/>
        <v>77</v>
      </c>
      <c r="X5" s="67">
        <f t="shared" si="10"/>
        <v>-9</v>
      </c>
      <c r="Y5" s="55">
        <f t="shared" ca="1" si="11"/>
        <v>5</v>
      </c>
      <c r="Z5" s="55">
        <f t="shared" ref="Z5:AA5" si="15">V5</f>
        <v>86</v>
      </c>
      <c r="AA5" s="55">
        <f t="shared" si="15"/>
        <v>77</v>
      </c>
      <c r="AB5" s="71">
        <f t="shared" si="13"/>
        <v>1.1168831168831168</v>
      </c>
      <c r="AC5" s="73">
        <v>46295</v>
      </c>
      <c r="AD5" s="74" t="s">
        <v>49</v>
      </c>
      <c r="AE5" s="66">
        <v>20</v>
      </c>
      <c r="AF5" s="66">
        <v>20</v>
      </c>
      <c r="AG5" s="79">
        <f t="shared" si="14"/>
        <v>0</v>
      </c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</row>
    <row r="6" spans="1:51" ht="15.75" customHeight="1">
      <c r="A6" s="42" t="s">
        <v>41</v>
      </c>
      <c r="B6" s="55">
        <v>34</v>
      </c>
      <c r="C6" s="22"/>
      <c r="D6" s="22"/>
      <c r="E6" s="59">
        <f t="shared" si="0"/>
        <v>34</v>
      </c>
      <c r="F6" s="60">
        <v>19</v>
      </c>
      <c r="G6" s="62">
        <f t="shared" si="1"/>
        <v>1.7894736842105263</v>
      </c>
      <c r="H6" s="55">
        <v>13</v>
      </c>
      <c r="I6" s="22"/>
      <c r="J6" s="22"/>
      <c r="K6" s="59">
        <f t="shared" si="2"/>
        <v>13</v>
      </c>
      <c r="L6" s="60">
        <v>11</v>
      </c>
      <c r="M6" s="62">
        <f t="shared" si="3"/>
        <v>1.1818181818181819</v>
      </c>
      <c r="N6" s="55">
        <v>82</v>
      </c>
      <c r="O6" s="55">
        <v>6</v>
      </c>
      <c r="P6" s="22"/>
      <c r="Q6" s="59">
        <f t="shared" si="4"/>
        <v>88</v>
      </c>
      <c r="R6" s="60">
        <v>55</v>
      </c>
      <c r="S6" s="62">
        <f t="shared" si="5"/>
        <v>1.6</v>
      </c>
      <c r="T6" s="55">
        <f t="shared" si="6"/>
        <v>135</v>
      </c>
      <c r="U6" s="55">
        <f t="shared" si="7"/>
        <v>0</v>
      </c>
      <c r="V6" s="59">
        <f t="shared" si="8"/>
        <v>135</v>
      </c>
      <c r="W6" s="60">
        <f t="shared" si="9"/>
        <v>85</v>
      </c>
      <c r="X6" s="67">
        <f t="shared" si="10"/>
        <v>-50</v>
      </c>
      <c r="Y6" s="55">
        <f t="shared" ca="1" si="11"/>
        <v>27</v>
      </c>
      <c r="Z6" s="55">
        <f t="shared" ref="Z6:AA6" si="16">V6</f>
        <v>135</v>
      </c>
      <c r="AA6" s="55">
        <f t="shared" si="16"/>
        <v>85</v>
      </c>
      <c r="AB6" s="71">
        <f t="shared" si="13"/>
        <v>1.588235294117647</v>
      </c>
      <c r="AC6" s="73">
        <v>46295</v>
      </c>
      <c r="AD6" s="74" t="s">
        <v>49</v>
      </c>
      <c r="AE6" s="66">
        <v>20</v>
      </c>
      <c r="AF6" s="66">
        <v>20</v>
      </c>
      <c r="AG6" s="79">
        <f t="shared" si="14"/>
        <v>0</v>
      </c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</row>
    <row r="7" spans="1:51" ht="15.75" customHeight="1">
      <c r="A7" s="42" t="s">
        <v>48</v>
      </c>
      <c r="B7" s="84">
        <v>36</v>
      </c>
      <c r="C7" s="22"/>
      <c r="D7" s="84">
        <v>8</v>
      </c>
      <c r="E7" s="59">
        <f t="shared" si="0"/>
        <v>44</v>
      </c>
      <c r="F7" s="60">
        <v>32</v>
      </c>
      <c r="G7" s="62">
        <f t="shared" si="1"/>
        <v>1.375</v>
      </c>
      <c r="H7" s="55">
        <v>14</v>
      </c>
      <c r="I7" s="22"/>
      <c r="J7" s="55">
        <v>5</v>
      </c>
      <c r="K7" s="59">
        <f t="shared" si="2"/>
        <v>19</v>
      </c>
      <c r="L7" s="60">
        <v>18</v>
      </c>
      <c r="M7" s="62">
        <f t="shared" si="3"/>
        <v>1.0555555555555556</v>
      </c>
      <c r="N7" s="55">
        <v>71</v>
      </c>
      <c r="O7" s="55">
        <v>6</v>
      </c>
      <c r="P7" s="55">
        <v>11</v>
      </c>
      <c r="Q7" s="59">
        <f t="shared" si="4"/>
        <v>88</v>
      </c>
      <c r="R7" s="60">
        <v>90</v>
      </c>
      <c r="S7" s="62">
        <f t="shared" si="5"/>
        <v>0.97777777777777775</v>
      </c>
      <c r="T7" s="55">
        <f t="shared" si="6"/>
        <v>127</v>
      </c>
      <c r="U7" s="55">
        <f t="shared" si="7"/>
        <v>24</v>
      </c>
      <c r="V7" s="59">
        <f t="shared" si="8"/>
        <v>151</v>
      </c>
      <c r="W7" s="60">
        <f t="shared" si="9"/>
        <v>140</v>
      </c>
      <c r="X7" s="67">
        <f t="shared" si="10"/>
        <v>-11</v>
      </c>
      <c r="Y7" s="55">
        <f t="shared" ca="1" si="11"/>
        <v>6</v>
      </c>
      <c r="Z7" s="55">
        <f t="shared" ref="Z7:AA7" si="17">V7</f>
        <v>151</v>
      </c>
      <c r="AA7" s="55">
        <f t="shared" si="17"/>
        <v>140</v>
      </c>
      <c r="AB7" s="71">
        <f t="shared" si="13"/>
        <v>1.0785714285714285</v>
      </c>
      <c r="AC7" s="73">
        <v>46295</v>
      </c>
      <c r="AD7" s="74" t="s">
        <v>43</v>
      </c>
      <c r="AE7" s="66">
        <v>35</v>
      </c>
      <c r="AF7" s="66">
        <v>25</v>
      </c>
      <c r="AG7" s="79">
        <f t="shared" si="14"/>
        <v>10</v>
      </c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</row>
    <row r="8" spans="1:51">
      <c r="A8" s="85" t="s">
        <v>44</v>
      </c>
      <c r="B8" s="87">
        <f t="shared" ref="B8:F8" si="18">SUM(B4:B7)</f>
        <v>134</v>
      </c>
      <c r="C8" s="87">
        <f t="shared" si="18"/>
        <v>0</v>
      </c>
      <c r="D8" s="87">
        <f t="shared" si="18"/>
        <v>8</v>
      </c>
      <c r="E8" s="87">
        <f t="shared" si="18"/>
        <v>142</v>
      </c>
      <c r="F8" s="87">
        <f t="shared" si="18"/>
        <v>94</v>
      </c>
      <c r="G8" s="88">
        <f t="shared" si="1"/>
        <v>1.5106382978723405</v>
      </c>
      <c r="H8" s="87">
        <f>SUM(H3:H7)</f>
        <v>49</v>
      </c>
      <c r="I8" s="87">
        <f t="shared" ref="I8:L8" si="19">SUM(I4:I7)</f>
        <v>0</v>
      </c>
      <c r="J8" s="87">
        <f t="shared" si="19"/>
        <v>5</v>
      </c>
      <c r="K8" s="87">
        <f t="shared" si="19"/>
        <v>54</v>
      </c>
      <c r="L8" s="87">
        <f t="shared" si="19"/>
        <v>52</v>
      </c>
      <c r="M8" s="88">
        <f t="shared" si="3"/>
        <v>1.0384615384615385</v>
      </c>
      <c r="N8" s="87">
        <f t="shared" ref="N8:R8" si="20">SUM(N4:N7)</f>
        <v>269</v>
      </c>
      <c r="O8" s="87">
        <f t="shared" si="20"/>
        <v>17</v>
      </c>
      <c r="P8" s="87">
        <f t="shared" si="20"/>
        <v>12</v>
      </c>
      <c r="Q8" s="87">
        <f t="shared" si="20"/>
        <v>298</v>
      </c>
      <c r="R8" s="87">
        <f t="shared" si="20"/>
        <v>261</v>
      </c>
      <c r="S8" s="88">
        <f t="shared" si="5"/>
        <v>1.1417624521072798</v>
      </c>
      <c r="T8" s="87">
        <f t="shared" ref="T8:X8" si="21">SUM(T4:T7)</f>
        <v>469</v>
      </c>
      <c r="U8" s="87">
        <f t="shared" si="21"/>
        <v>25</v>
      </c>
      <c r="V8" s="87">
        <f t="shared" si="21"/>
        <v>494</v>
      </c>
      <c r="W8" s="87">
        <f t="shared" si="21"/>
        <v>407</v>
      </c>
      <c r="X8" s="87">
        <f t="shared" si="21"/>
        <v>-87</v>
      </c>
      <c r="Y8" s="87">
        <f ca="1">ROUND(X8/Y24*7,0)</f>
        <v>47</v>
      </c>
      <c r="Z8" s="87">
        <f t="shared" ref="Z8:AA8" si="22">SUM(Z4:Z7)</f>
        <v>494</v>
      </c>
      <c r="AA8" s="87">
        <f t="shared" si="22"/>
        <v>407</v>
      </c>
      <c r="AB8" s="71">
        <f t="shared" si="13"/>
        <v>1.2137592137592137</v>
      </c>
      <c r="AC8" s="22"/>
      <c r="AD8" s="22"/>
      <c r="AE8" s="78">
        <f t="shared" ref="AE8:AG8" si="23">SUM(AE4:AE7)</f>
        <v>100</v>
      </c>
      <c r="AF8" s="78">
        <f t="shared" si="23"/>
        <v>92</v>
      </c>
      <c r="AG8" s="78">
        <f t="shared" si="23"/>
        <v>8</v>
      </c>
      <c r="AH8" s="91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</row>
    <row r="9" spans="1:51" ht="15.75" customHeight="1">
      <c r="A9" s="37" t="s">
        <v>52</v>
      </c>
      <c r="B9" s="55">
        <v>27</v>
      </c>
      <c r="C9" s="22"/>
      <c r="D9" s="55"/>
      <c r="E9" s="59">
        <f t="shared" ref="E9:E12" si="24">SUM(B9:D9)</f>
        <v>27</v>
      </c>
      <c r="F9" s="60">
        <v>19</v>
      </c>
      <c r="G9" s="62">
        <f t="shared" si="1"/>
        <v>1.4210526315789473</v>
      </c>
      <c r="H9" s="55">
        <v>13</v>
      </c>
      <c r="I9" s="22"/>
      <c r="J9" s="55"/>
      <c r="K9" s="59">
        <f t="shared" ref="K9:K12" si="25">SUM(H9:J9)</f>
        <v>13</v>
      </c>
      <c r="L9" s="60">
        <v>11</v>
      </c>
      <c r="M9" s="62">
        <f t="shared" si="3"/>
        <v>1.1818181818181819</v>
      </c>
      <c r="N9" s="55">
        <v>36</v>
      </c>
      <c r="O9" s="22">
        <v>9</v>
      </c>
      <c r="P9" s="55"/>
      <c r="Q9" s="59">
        <f t="shared" ref="Q9:Q12" si="26">SUM(N9:P9)</f>
        <v>45</v>
      </c>
      <c r="R9" s="60">
        <v>57</v>
      </c>
      <c r="S9" s="62">
        <f t="shared" si="5"/>
        <v>0.78947368421052633</v>
      </c>
      <c r="T9" s="55">
        <f t="shared" ref="T9:T12" si="27">N9+H9+B9+O9+I9</f>
        <v>85</v>
      </c>
      <c r="U9" s="55">
        <f t="shared" ref="U9:U12" si="28">P9+J9+D9</f>
        <v>0</v>
      </c>
      <c r="V9" s="59">
        <f t="shared" ref="V9:V12" si="29">SUM(T9:U9)</f>
        <v>85</v>
      </c>
      <c r="W9" s="60">
        <f t="shared" ref="W9:W12" si="30">F9+L9+R9</f>
        <v>87</v>
      </c>
      <c r="X9" s="67">
        <f t="shared" ref="X9:X12" si="31">W9-V9</f>
        <v>2</v>
      </c>
      <c r="Y9" s="55">
        <f t="shared" ref="Y9:Y12" ca="1" si="32">ROUND(X9/$Y$24*7,0)</f>
        <v>-1</v>
      </c>
      <c r="Z9" s="55">
        <f t="shared" ref="Z9:AA9" si="33">V9</f>
        <v>85</v>
      </c>
      <c r="AA9" s="55">
        <f t="shared" si="33"/>
        <v>87</v>
      </c>
      <c r="AB9" s="71">
        <f t="shared" si="13"/>
        <v>0.97701149425287359</v>
      </c>
      <c r="AC9" s="73">
        <v>46295</v>
      </c>
      <c r="AD9" s="74" t="s">
        <v>56</v>
      </c>
      <c r="AE9" s="66">
        <v>20</v>
      </c>
      <c r="AF9" s="66">
        <v>11</v>
      </c>
      <c r="AG9" s="79">
        <f t="shared" ref="AG9:AG12" si="34">AE9-AF9</f>
        <v>9</v>
      </c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</row>
    <row r="10" spans="1:51" ht="15.75" customHeight="1">
      <c r="A10" s="37" t="s">
        <v>51</v>
      </c>
      <c r="B10" s="55">
        <v>30</v>
      </c>
      <c r="C10" s="22"/>
      <c r="D10" s="55">
        <v>4</v>
      </c>
      <c r="E10" s="59">
        <f t="shared" si="24"/>
        <v>34</v>
      </c>
      <c r="F10" s="60">
        <v>19</v>
      </c>
      <c r="G10" s="62">
        <f t="shared" si="1"/>
        <v>1.7894736842105263</v>
      </c>
      <c r="H10" s="55">
        <v>21</v>
      </c>
      <c r="I10" s="22"/>
      <c r="J10" s="55">
        <v>0</v>
      </c>
      <c r="K10" s="59">
        <f t="shared" si="25"/>
        <v>21</v>
      </c>
      <c r="L10" s="60">
        <v>11</v>
      </c>
      <c r="M10" s="62">
        <f t="shared" si="3"/>
        <v>1.9090909090909092</v>
      </c>
      <c r="N10" s="55">
        <v>50</v>
      </c>
      <c r="O10" s="22">
        <v>3</v>
      </c>
      <c r="P10" s="55">
        <v>3</v>
      </c>
      <c r="Q10" s="59">
        <f t="shared" si="26"/>
        <v>56</v>
      </c>
      <c r="R10" s="60">
        <v>63</v>
      </c>
      <c r="S10" s="62">
        <f t="shared" si="5"/>
        <v>0.88888888888888884</v>
      </c>
      <c r="T10" s="55">
        <f t="shared" si="27"/>
        <v>104</v>
      </c>
      <c r="U10" s="55">
        <f t="shared" si="28"/>
        <v>7</v>
      </c>
      <c r="V10" s="59">
        <f t="shared" si="29"/>
        <v>111</v>
      </c>
      <c r="W10" s="60">
        <f t="shared" si="30"/>
        <v>93</v>
      </c>
      <c r="X10" s="67">
        <f t="shared" si="31"/>
        <v>-18</v>
      </c>
      <c r="Y10" s="55">
        <f t="shared" ca="1" si="32"/>
        <v>10</v>
      </c>
      <c r="Z10" s="55">
        <f t="shared" ref="Z10:AA10" si="35">V10</f>
        <v>111</v>
      </c>
      <c r="AA10" s="55">
        <f t="shared" si="35"/>
        <v>93</v>
      </c>
      <c r="AB10" s="71">
        <f t="shared" si="13"/>
        <v>1.1935483870967742</v>
      </c>
      <c r="AC10" s="73">
        <v>46295</v>
      </c>
      <c r="AD10" s="74" t="s">
        <v>56</v>
      </c>
      <c r="AE10" s="66">
        <v>20</v>
      </c>
      <c r="AF10" s="66">
        <v>22</v>
      </c>
      <c r="AG10" s="79">
        <f t="shared" si="34"/>
        <v>-2</v>
      </c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</row>
    <row r="11" spans="1:51" ht="15.75" customHeight="1">
      <c r="A11" s="37" t="s">
        <v>46</v>
      </c>
      <c r="B11" s="55">
        <v>23</v>
      </c>
      <c r="C11" s="22"/>
      <c r="D11" s="55"/>
      <c r="E11" s="59">
        <f t="shared" si="24"/>
        <v>23</v>
      </c>
      <c r="F11" s="60">
        <v>21</v>
      </c>
      <c r="G11" s="62">
        <f t="shared" si="1"/>
        <v>1.0952380952380953</v>
      </c>
      <c r="H11" s="55">
        <v>19</v>
      </c>
      <c r="I11" s="22"/>
      <c r="J11" s="55"/>
      <c r="K11" s="59">
        <f t="shared" si="25"/>
        <v>19</v>
      </c>
      <c r="L11" s="60">
        <v>13</v>
      </c>
      <c r="M11" s="62">
        <f t="shared" si="3"/>
        <v>1.4615384615384615</v>
      </c>
      <c r="N11" s="55">
        <v>59</v>
      </c>
      <c r="O11" s="22">
        <v>4</v>
      </c>
      <c r="P11" s="55"/>
      <c r="Q11" s="59">
        <f t="shared" si="26"/>
        <v>63</v>
      </c>
      <c r="R11" s="60">
        <v>62</v>
      </c>
      <c r="S11" s="62">
        <f t="shared" si="5"/>
        <v>1.0161290322580645</v>
      </c>
      <c r="T11" s="55">
        <f t="shared" si="27"/>
        <v>105</v>
      </c>
      <c r="U11" s="55">
        <f t="shared" si="28"/>
        <v>0</v>
      </c>
      <c r="V11" s="59">
        <f t="shared" si="29"/>
        <v>105</v>
      </c>
      <c r="W11" s="60">
        <f t="shared" si="30"/>
        <v>96</v>
      </c>
      <c r="X11" s="67">
        <f t="shared" si="31"/>
        <v>-9</v>
      </c>
      <c r="Y11" s="55">
        <f t="shared" ca="1" si="32"/>
        <v>5</v>
      </c>
      <c r="Z11" s="55">
        <f t="shared" ref="Z11:AA11" si="36">V11</f>
        <v>105</v>
      </c>
      <c r="AA11" s="55">
        <f t="shared" si="36"/>
        <v>96</v>
      </c>
      <c r="AB11" s="71">
        <f t="shared" si="13"/>
        <v>1.09375</v>
      </c>
      <c r="AC11" s="73">
        <v>46295</v>
      </c>
      <c r="AD11" s="74" t="s">
        <v>56</v>
      </c>
      <c r="AE11" s="66">
        <v>20</v>
      </c>
      <c r="AF11" s="66">
        <v>25</v>
      </c>
      <c r="AG11" s="79">
        <f t="shared" si="34"/>
        <v>-5</v>
      </c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51" ht="15.75" customHeight="1">
      <c r="A12" s="37" t="s">
        <v>53</v>
      </c>
      <c r="B12" s="55">
        <v>48</v>
      </c>
      <c r="C12" s="22"/>
      <c r="D12" s="55"/>
      <c r="E12" s="59">
        <f t="shared" si="24"/>
        <v>48</v>
      </c>
      <c r="F12" s="60">
        <v>34</v>
      </c>
      <c r="G12" s="62">
        <f t="shared" si="1"/>
        <v>1.411764705882353</v>
      </c>
      <c r="H12" s="55">
        <v>25</v>
      </c>
      <c r="I12" s="22"/>
      <c r="J12" s="55"/>
      <c r="K12" s="59">
        <f t="shared" si="25"/>
        <v>25</v>
      </c>
      <c r="L12" s="60">
        <v>20</v>
      </c>
      <c r="M12" s="62">
        <f t="shared" si="3"/>
        <v>1.25</v>
      </c>
      <c r="N12" s="55">
        <v>82</v>
      </c>
      <c r="O12" s="22"/>
      <c r="P12" s="55"/>
      <c r="Q12" s="59">
        <f t="shared" si="26"/>
        <v>82</v>
      </c>
      <c r="R12" s="60">
        <v>97</v>
      </c>
      <c r="S12" s="62">
        <f t="shared" si="5"/>
        <v>0.84536082474226804</v>
      </c>
      <c r="T12" s="55">
        <f t="shared" si="27"/>
        <v>155</v>
      </c>
      <c r="U12" s="55">
        <f t="shared" si="28"/>
        <v>0</v>
      </c>
      <c r="V12" s="59">
        <f t="shared" si="29"/>
        <v>155</v>
      </c>
      <c r="W12" s="60">
        <f t="shared" si="30"/>
        <v>151</v>
      </c>
      <c r="X12" s="67">
        <f t="shared" si="31"/>
        <v>-4</v>
      </c>
      <c r="Y12" s="55">
        <f t="shared" ca="1" si="32"/>
        <v>2</v>
      </c>
      <c r="Z12" s="55">
        <f t="shared" ref="Z12:AA12" si="37">V12</f>
        <v>155</v>
      </c>
      <c r="AA12" s="55">
        <f t="shared" si="37"/>
        <v>151</v>
      </c>
      <c r="AB12" s="71">
        <f t="shared" si="13"/>
        <v>1.0264900662251655</v>
      </c>
      <c r="AC12" s="73">
        <v>46295</v>
      </c>
      <c r="AD12" s="74" t="s">
        <v>56</v>
      </c>
      <c r="AE12" s="66">
        <v>35</v>
      </c>
      <c r="AF12" s="66">
        <v>23</v>
      </c>
      <c r="AG12" s="79">
        <f t="shared" si="34"/>
        <v>12</v>
      </c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51" ht="15.75" customHeight="1">
      <c r="A13" s="76" t="s">
        <v>54</v>
      </c>
      <c r="B13" s="87">
        <f t="shared" ref="B13:F13" si="38">SUM(B9:B12)</f>
        <v>128</v>
      </c>
      <c r="C13" s="87">
        <f t="shared" si="38"/>
        <v>0</v>
      </c>
      <c r="D13" s="87">
        <f t="shared" si="38"/>
        <v>4</v>
      </c>
      <c r="E13" s="87">
        <f t="shared" si="38"/>
        <v>132</v>
      </c>
      <c r="F13" s="87">
        <f t="shared" si="38"/>
        <v>93</v>
      </c>
      <c r="G13" s="88">
        <f t="shared" si="1"/>
        <v>1.4193548387096775</v>
      </c>
      <c r="H13" s="87">
        <f t="shared" ref="H13:L13" si="39">SUM(H9:H12)</f>
        <v>78</v>
      </c>
      <c r="I13" s="87">
        <f t="shared" si="39"/>
        <v>0</v>
      </c>
      <c r="J13" s="87">
        <f t="shared" si="39"/>
        <v>0</v>
      </c>
      <c r="K13" s="87">
        <f t="shared" si="39"/>
        <v>78</v>
      </c>
      <c r="L13" s="87">
        <f t="shared" si="39"/>
        <v>55</v>
      </c>
      <c r="M13" s="88">
        <f t="shared" si="3"/>
        <v>1.4181818181818182</v>
      </c>
      <c r="N13" s="87">
        <f t="shared" ref="N13:R13" si="40">SUM(N9:N12)</f>
        <v>227</v>
      </c>
      <c r="O13" s="87">
        <f t="shared" si="40"/>
        <v>16</v>
      </c>
      <c r="P13" s="87">
        <f t="shared" si="40"/>
        <v>3</v>
      </c>
      <c r="Q13" s="87">
        <f t="shared" si="40"/>
        <v>246</v>
      </c>
      <c r="R13" s="87">
        <f t="shared" si="40"/>
        <v>279</v>
      </c>
      <c r="S13" s="88">
        <f t="shared" si="5"/>
        <v>0.88172043010752688</v>
      </c>
      <c r="T13" s="87">
        <f t="shared" ref="T13:X13" si="41">SUM(T9:T12)</f>
        <v>449</v>
      </c>
      <c r="U13" s="87">
        <f t="shared" si="41"/>
        <v>7</v>
      </c>
      <c r="V13" s="87">
        <f t="shared" si="41"/>
        <v>456</v>
      </c>
      <c r="W13" s="87">
        <f t="shared" si="41"/>
        <v>427</v>
      </c>
      <c r="X13" s="87">
        <f t="shared" si="41"/>
        <v>-29</v>
      </c>
      <c r="Y13" s="87">
        <f ca="1">ROUND(X13/Y24*7,0)</f>
        <v>16</v>
      </c>
      <c r="Z13" s="87">
        <f t="shared" ref="Z13:AA13" si="42">SUM(Z9:Z12)</f>
        <v>456</v>
      </c>
      <c r="AA13" s="87">
        <f t="shared" si="42"/>
        <v>427</v>
      </c>
      <c r="AB13" s="71">
        <f t="shared" si="13"/>
        <v>1.0679156908665106</v>
      </c>
      <c r="AC13" s="73"/>
      <c r="AD13" s="74"/>
      <c r="AE13" s="78">
        <f t="shared" ref="AE13:AG13" si="43">SUM(AE9:AE12)</f>
        <v>95</v>
      </c>
      <c r="AF13" s="78">
        <f t="shared" si="43"/>
        <v>81</v>
      </c>
      <c r="AG13" s="78">
        <f t="shared" si="43"/>
        <v>14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</row>
    <row r="14" spans="1:51" ht="15.75" customHeight="1">
      <c r="A14" s="42" t="s">
        <v>55</v>
      </c>
      <c r="B14" s="55">
        <v>26</v>
      </c>
      <c r="C14" s="22"/>
      <c r="D14" s="55">
        <v>13</v>
      </c>
      <c r="E14" s="59">
        <f t="shared" ref="E14:E16" si="44">SUM(B14:D14)</f>
        <v>39</v>
      </c>
      <c r="F14" s="60">
        <v>22</v>
      </c>
      <c r="G14" s="62">
        <f t="shared" si="1"/>
        <v>1.7727272727272727</v>
      </c>
      <c r="H14" s="55">
        <v>17</v>
      </c>
      <c r="I14" s="22"/>
      <c r="J14" s="55">
        <v>8</v>
      </c>
      <c r="K14" s="59">
        <f t="shared" ref="K14:K16" si="45">SUM(H14:J14)</f>
        <v>25</v>
      </c>
      <c r="L14" s="60">
        <v>13</v>
      </c>
      <c r="M14" s="62">
        <f t="shared" si="3"/>
        <v>1.9230769230769231</v>
      </c>
      <c r="N14" s="55">
        <v>54</v>
      </c>
      <c r="O14" s="55">
        <v>7</v>
      </c>
      <c r="P14" s="55">
        <v>4</v>
      </c>
      <c r="Q14" s="59">
        <f t="shared" ref="Q14:Q16" si="46">SUM(N14:P14)</f>
        <v>65</v>
      </c>
      <c r="R14" s="60">
        <v>70</v>
      </c>
      <c r="S14" s="62">
        <f t="shared" si="5"/>
        <v>0.9285714285714286</v>
      </c>
      <c r="T14" s="55">
        <f t="shared" ref="T14:T16" si="47">N14+H14+B14+O14+I14</f>
        <v>104</v>
      </c>
      <c r="U14" s="55">
        <f t="shared" ref="U14:U16" si="48">P14+J14+D14</f>
        <v>25</v>
      </c>
      <c r="V14" s="59">
        <f t="shared" ref="V14:V16" si="49">SUM(T14:U14)</f>
        <v>129</v>
      </c>
      <c r="W14" s="60">
        <f t="shared" ref="W14:W16" si="50">F14+L14+R14</f>
        <v>105</v>
      </c>
      <c r="X14" s="67">
        <f t="shared" ref="X14:X16" si="51">W14-V14</f>
        <v>-24</v>
      </c>
      <c r="Y14" s="55">
        <f t="shared" ref="Y14:Y16" ca="1" si="52">ROUND(X14/$Y$24*7,0)</f>
        <v>13</v>
      </c>
      <c r="Z14" s="55">
        <f t="shared" ref="Z14:AA14" si="53">V14</f>
        <v>129</v>
      </c>
      <c r="AA14" s="55">
        <f t="shared" si="53"/>
        <v>105</v>
      </c>
      <c r="AB14" s="71">
        <f t="shared" si="13"/>
        <v>1.2285714285714286</v>
      </c>
      <c r="AC14" s="73">
        <v>46295</v>
      </c>
      <c r="AD14" s="74" t="s">
        <v>49</v>
      </c>
      <c r="AE14" s="66">
        <v>25</v>
      </c>
      <c r="AF14" s="66">
        <v>17</v>
      </c>
      <c r="AG14" s="79">
        <f t="shared" ref="AG14:AG16" si="54">AE14-AF14</f>
        <v>8</v>
      </c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</row>
    <row r="15" spans="1:51" ht="15.75" customHeight="1">
      <c r="A15" s="42" t="s">
        <v>57</v>
      </c>
      <c r="B15" s="55">
        <v>30</v>
      </c>
      <c r="C15" s="55">
        <v>0</v>
      </c>
      <c r="D15" s="55">
        <v>2</v>
      </c>
      <c r="E15" s="59">
        <f t="shared" si="44"/>
        <v>32</v>
      </c>
      <c r="F15" s="60">
        <v>23</v>
      </c>
      <c r="G15" s="62">
        <f t="shared" si="1"/>
        <v>1.3913043478260869</v>
      </c>
      <c r="H15" s="55">
        <v>18</v>
      </c>
      <c r="I15" s="22"/>
      <c r="J15" s="55">
        <v>1</v>
      </c>
      <c r="K15" s="59">
        <f t="shared" si="45"/>
        <v>19</v>
      </c>
      <c r="L15" s="60">
        <v>13</v>
      </c>
      <c r="M15" s="62">
        <f t="shared" si="3"/>
        <v>1.4615384615384615</v>
      </c>
      <c r="N15" s="55">
        <v>57</v>
      </c>
      <c r="O15" s="55">
        <v>5</v>
      </c>
      <c r="P15" s="55">
        <v>3</v>
      </c>
      <c r="Q15" s="59">
        <f t="shared" si="46"/>
        <v>65</v>
      </c>
      <c r="R15" s="60">
        <v>72</v>
      </c>
      <c r="S15" s="62">
        <f t="shared" si="5"/>
        <v>0.90277777777777779</v>
      </c>
      <c r="T15" s="55">
        <f t="shared" si="47"/>
        <v>110</v>
      </c>
      <c r="U15" s="55">
        <f t="shared" si="48"/>
        <v>6</v>
      </c>
      <c r="V15" s="59">
        <f t="shared" si="49"/>
        <v>116</v>
      </c>
      <c r="W15" s="60">
        <f t="shared" si="50"/>
        <v>108</v>
      </c>
      <c r="X15" s="67">
        <f t="shared" si="51"/>
        <v>-8</v>
      </c>
      <c r="Y15" s="55">
        <f t="shared" ca="1" si="52"/>
        <v>4</v>
      </c>
      <c r="Z15" s="55">
        <f t="shared" ref="Z15:AA15" si="55">V15</f>
        <v>116</v>
      </c>
      <c r="AA15" s="55">
        <f t="shared" si="55"/>
        <v>108</v>
      </c>
      <c r="AB15" s="71">
        <f t="shared" si="13"/>
        <v>1.0740740740740742</v>
      </c>
      <c r="AC15" s="73">
        <v>46295</v>
      </c>
      <c r="AD15" s="74" t="s">
        <v>49</v>
      </c>
      <c r="AE15" s="66">
        <v>25</v>
      </c>
      <c r="AF15" s="66">
        <v>23</v>
      </c>
      <c r="AG15" s="79">
        <f t="shared" si="54"/>
        <v>2</v>
      </c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</row>
    <row r="16" spans="1:51" ht="15.75" customHeight="1">
      <c r="A16" s="42" t="s">
        <v>58</v>
      </c>
      <c r="B16" s="55">
        <v>8</v>
      </c>
      <c r="C16" s="22"/>
      <c r="D16" s="22"/>
      <c r="E16" s="59">
        <f t="shared" si="44"/>
        <v>8</v>
      </c>
      <c r="F16" s="60">
        <v>8</v>
      </c>
      <c r="G16" s="62">
        <f t="shared" si="1"/>
        <v>1</v>
      </c>
      <c r="H16" s="55">
        <v>9</v>
      </c>
      <c r="I16" s="22"/>
      <c r="J16" s="22"/>
      <c r="K16" s="59">
        <f t="shared" si="45"/>
        <v>9</v>
      </c>
      <c r="L16" s="60">
        <v>3</v>
      </c>
      <c r="M16" s="62">
        <f t="shared" si="3"/>
        <v>3</v>
      </c>
      <c r="N16" s="55">
        <v>21</v>
      </c>
      <c r="O16" s="55">
        <v>1</v>
      </c>
      <c r="P16" s="22"/>
      <c r="Q16" s="59">
        <f t="shared" si="46"/>
        <v>22</v>
      </c>
      <c r="R16" s="60">
        <v>23</v>
      </c>
      <c r="S16" s="62">
        <f t="shared" si="5"/>
        <v>0.95652173913043481</v>
      </c>
      <c r="T16" s="55">
        <f t="shared" si="47"/>
        <v>39</v>
      </c>
      <c r="U16" s="55">
        <f t="shared" si="48"/>
        <v>0</v>
      </c>
      <c r="V16" s="59">
        <f t="shared" si="49"/>
        <v>39</v>
      </c>
      <c r="W16" s="60">
        <f t="shared" si="50"/>
        <v>34</v>
      </c>
      <c r="X16" s="67">
        <f t="shared" si="51"/>
        <v>-5</v>
      </c>
      <c r="Y16" s="55">
        <f t="shared" ca="1" si="52"/>
        <v>3</v>
      </c>
      <c r="Z16" s="55">
        <f t="shared" ref="Z16:AA16" si="56">V16</f>
        <v>39</v>
      </c>
      <c r="AA16" s="55">
        <f t="shared" si="56"/>
        <v>34</v>
      </c>
      <c r="AB16" s="71">
        <f t="shared" si="13"/>
        <v>1.1470588235294117</v>
      </c>
      <c r="AC16" s="73">
        <v>46295</v>
      </c>
      <c r="AD16" s="74" t="s">
        <v>49</v>
      </c>
      <c r="AE16" s="66">
        <v>10</v>
      </c>
      <c r="AF16" s="66">
        <v>13</v>
      </c>
      <c r="AG16" s="79">
        <f t="shared" si="54"/>
        <v>-3</v>
      </c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</row>
    <row r="17" spans="1:51">
      <c r="A17" s="85" t="s">
        <v>59</v>
      </c>
      <c r="B17" s="87">
        <f t="shared" ref="B17:F17" si="57">SUM(B14:B16)</f>
        <v>64</v>
      </c>
      <c r="C17" s="87">
        <f t="shared" si="57"/>
        <v>0</v>
      </c>
      <c r="D17" s="87">
        <f t="shared" si="57"/>
        <v>15</v>
      </c>
      <c r="E17" s="87">
        <f t="shared" si="57"/>
        <v>79</v>
      </c>
      <c r="F17" s="87">
        <f t="shared" si="57"/>
        <v>53</v>
      </c>
      <c r="G17" s="88">
        <f t="shared" si="1"/>
        <v>1.4905660377358489</v>
      </c>
      <c r="H17" s="87">
        <f t="shared" ref="H17:L17" si="58">SUM(H14:H16)</f>
        <v>44</v>
      </c>
      <c r="I17" s="87">
        <f t="shared" si="58"/>
        <v>0</v>
      </c>
      <c r="J17" s="87">
        <f t="shared" si="58"/>
        <v>9</v>
      </c>
      <c r="K17" s="87">
        <f t="shared" si="58"/>
        <v>53</v>
      </c>
      <c r="L17" s="87">
        <f t="shared" si="58"/>
        <v>29</v>
      </c>
      <c r="M17" s="88">
        <f t="shared" si="3"/>
        <v>1.8275862068965518</v>
      </c>
      <c r="N17" s="87">
        <f t="shared" ref="N17:R17" si="59">SUM(N14:N16)</f>
        <v>132</v>
      </c>
      <c r="O17" s="87">
        <f t="shared" si="59"/>
        <v>13</v>
      </c>
      <c r="P17" s="87">
        <f t="shared" si="59"/>
        <v>7</v>
      </c>
      <c r="Q17" s="87">
        <f t="shared" si="59"/>
        <v>152</v>
      </c>
      <c r="R17" s="87">
        <f t="shared" si="59"/>
        <v>165</v>
      </c>
      <c r="S17" s="88">
        <f t="shared" si="5"/>
        <v>0.92121212121212126</v>
      </c>
      <c r="T17" s="87">
        <f t="shared" ref="T17:X17" si="60">SUM(T14:T16)</f>
        <v>253</v>
      </c>
      <c r="U17" s="87">
        <f t="shared" si="60"/>
        <v>31</v>
      </c>
      <c r="V17" s="87">
        <f t="shared" si="60"/>
        <v>284</v>
      </c>
      <c r="W17" s="87">
        <f t="shared" si="60"/>
        <v>247</v>
      </c>
      <c r="X17" s="87">
        <f t="shared" si="60"/>
        <v>-37</v>
      </c>
      <c r="Y17" s="87">
        <f ca="1">ROUND(X17/Y24*7,0)</f>
        <v>20</v>
      </c>
      <c r="Z17" s="87">
        <f t="shared" ref="Z17:AA17" si="61">SUM(Z14:Z16)</f>
        <v>284</v>
      </c>
      <c r="AA17" s="87">
        <f t="shared" si="61"/>
        <v>247</v>
      </c>
      <c r="AB17" s="71">
        <f t="shared" si="13"/>
        <v>1.1497975708502024</v>
      </c>
      <c r="AC17" s="72"/>
      <c r="AD17" s="22"/>
      <c r="AE17" s="78">
        <f t="shared" ref="AE17:AG17" si="62">SUM(AE14:AE16)</f>
        <v>60</v>
      </c>
      <c r="AF17" s="78">
        <f t="shared" si="62"/>
        <v>53</v>
      </c>
      <c r="AG17" s="78">
        <f t="shared" si="62"/>
        <v>7</v>
      </c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</row>
    <row r="18" spans="1:51">
      <c r="A18" s="4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109"/>
      <c r="AC18" s="22"/>
      <c r="AD18" s="22"/>
      <c r="AE18" s="66"/>
      <c r="AF18" s="66"/>
      <c r="AG18" s="79">
        <f t="shared" ref="AG18:AG19" si="63">AE18-AF18</f>
        <v>0</v>
      </c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</row>
    <row r="19" spans="1:51">
      <c r="A19" s="4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109"/>
      <c r="AC19" s="22"/>
      <c r="AD19" s="22"/>
      <c r="AE19" s="66"/>
      <c r="AF19" s="66"/>
      <c r="AG19" s="79">
        <f t="shared" si="63"/>
        <v>0</v>
      </c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</row>
    <row r="20" spans="1:51">
      <c r="A20" s="111" t="s">
        <v>14</v>
      </c>
      <c r="B20" s="113">
        <f t="shared" ref="B20:F20" si="64">SUM(B8+B13+B17)</f>
        <v>326</v>
      </c>
      <c r="C20" s="113">
        <f t="shared" si="64"/>
        <v>0</v>
      </c>
      <c r="D20" s="113">
        <f t="shared" si="64"/>
        <v>27</v>
      </c>
      <c r="E20" s="113">
        <f t="shared" si="64"/>
        <v>353</v>
      </c>
      <c r="F20" s="113">
        <f t="shared" si="64"/>
        <v>240</v>
      </c>
      <c r="G20" s="114">
        <f>E20/F20</f>
        <v>1.4708333333333334</v>
      </c>
      <c r="H20" s="113">
        <f t="shared" ref="H20:L20" si="65">SUM(H8+H13+H17)</f>
        <v>171</v>
      </c>
      <c r="I20" s="113">
        <f t="shared" si="65"/>
        <v>0</v>
      </c>
      <c r="J20" s="113">
        <f t="shared" si="65"/>
        <v>14</v>
      </c>
      <c r="K20" s="113">
        <f t="shared" si="65"/>
        <v>185</v>
      </c>
      <c r="L20" s="113">
        <f t="shared" si="65"/>
        <v>136</v>
      </c>
      <c r="M20" s="114">
        <f>K20/L20</f>
        <v>1.3602941176470589</v>
      </c>
      <c r="N20" s="113">
        <f t="shared" ref="N20:R20" si="66">SUM(N8+N13+N17)</f>
        <v>628</v>
      </c>
      <c r="O20" s="113">
        <f t="shared" si="66"/>
        <v>46</v>
      </c>
      <c r="P20" s="113">
        <f t="shared" si="66"/>
        <v>22</v>
      </c>
      <c r="Q20" s="113">
        <f t="shared" si="66"/>
        <v>696</v>
      </c>
      <c r="R20" s="113">
        <f t="shared" si="66"/>
        <v>705</v>
      </c>
      <c r="S20" s="114">
        <f>Q20/R20</f>
        <v>0.98723404255319147</v>
      </c>
      <c r="T20" s="113">
        <f t="shared" ref="T20:X20" si="67">SUM(T8+T13+T17)</f>
        <v>1171</v>
      </c>
      <c r="U20" s="113">
        <f t="shared" si="67"/>
        <v>63</v>
      </c>
      <c r="V20" s="113">
        <f t="shared" si="67"/>
        <v>1234</v>
      </c>
      <c r="W20" s="113">
        <f t="shared" si="67"/>
        <v>1081</v>
      </c>
      <c r="X20" s="113">
        <f t="shared" si="67"/>
        <v>-153</v>
      </c>
      <c r="Y20" s="113">
        <f ca="1">ROUND(X20/Y24*7,0)</f>
        <v>82</v>
      </c>
      <c r="Z20" s="113">
        <f t="shared" ref="Z20:AA20" si="68">Z8+Z13+Z17</f>
        <v>1234</v>
      </c>
      <c r="AA20" s="113">
        <f t="shared" si="68"/>
        <v>1081</v>
      </c>
      <c r="AB20" s="119">
        <f>Z20/AA20</f>
        <v>1.1415356151711378</v>
      </c>
      <c r="AC20" s="72"/>
      <c r="AD20" s="22"/>
      <c r="AE20" s="110">
        <f t="shared" ref="AE20:AG20" si="69">AE17+AE13+AE8</f>
        <v>255</v>
      </c>
      <c r="AF20" s="110">
        <f t="shared" si="69"/>
        <v>226</v>
      </c>
      <c r="AG20" s="110">
        <f t="shared" si="69"/>
        <v>29</v>
      </c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</row>
    <row r="21" spans="1:5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31">
        <f t="shared" ref="AE21:AG21" si="70">AE20*750</f>
        <v>191250</v>
      </c>
      <c r="AF21" s="31">
        <f t="shared" si="70"/>
        <v>169500</v>
      </c>
      <c r="AG21" s="31">
        <f t="shared" si="70"/>
        <v>21750</v>
      </c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</row>
    <row r="22" spans="1:5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122">
        <v>46295</v>
      </c>
      <c r="Z22" s="22"/>
      <c r="AA22" s="55">
        <f>Z17-AA17</f>
        <v>37</v>
      </c>
      <c r="AB22" s="22"/>
      <c r="AC22" s="95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</row>
    <row r="23" spans="1:5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123">
        <f ca="1">TODAY()</f>
        <v>46308</v>
      </c>
      <c r="Z23" s="22"/>
      <c r="AA23" s="22"/>
      <c r="AB23" s="22"/>
      <c r="AC23" s="95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</row>
    <row r="24" spans="1:5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55">
        <f ca="1">Y22-Y23</f>
        <v>-13</v>
      </c>
      <c r="Z24" s="22"/>
      <c r="AA24" s="22"/>
      <c r="AB24" s="22"/>
      <c r="AC24" s="95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</row>
    <row r="25" spans="1:51" ht="15.75" customHeight="1">
      <c r="A25" s="274" t="s">
        <v>63</v>
      </c>
      <c r="B25" s="275"/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6"/>
      <c r="S25" s="18" t="s">
        <v>2</v>
      </c>
      <c r="T25" s="20" t="s">
        <v>3</v>
      </c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</row>
    <row r="26" spans="1:51" ht="15.75" customHeight="1">
      <c r="A26" s="32"/>
      <c r="B26" s="277" t="s">
        <v>18</v>
      </c>
      <c r="C26" s="278"/>
      <c r="D26" s="278"/>
      <c r="E26" s="278"/>
      <c r="F26" s="277" t="s">
        <v>73</v>
      </c>
      <c r="G26" s="278"/>
      <c r="H26" s="278"/>
      <c r="I26" s="278"/>
      <c r="J26" s="277" t="s">
        <v>23</v>
      </c>
      <c r="K26" s="278"/>
      <c r="L26" s="278"/>
      <c r="M26" s="278"/>
      <c r="N26" s="128"/>
      <c r="O26" s="277" t="s">
        <v>14</v>
      </c>
      <c r="P26" s="278"/>
      <c r="Q26" s="278"/>
      <c r="R26" s="279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</row>
    <row r="27" spans="1:51" ht="57.6">
      <c r="A27" s="32"/>
      <c r="B27" s="38" t="s">
        <v>65</v>
      </c>
      <c r="C27" s="38" t="s">
        <v>66</v>
      </c>
      <c r="D27" s="38" t="s">
        <v>28</v>
      </c>
      <c r="E27" s="38" t="s">
        <v>67</v>
      </c>
      <c r="F27" s="38" t="s">
        <v>65</v>
      </c>
      <c r="G27" s="38" t="s">
        <v>66</v>
      </c>
      <c r="H27" s="38" t="s">
        <v>28</v>
      </c>
      <c r="I27" s="38" t="s">
        <v>67</v>
      </c>
      <c r="J27" s="38" t="s">
        <v>65</v>
      </c>
      <c r="K27" s="38" t="s">
        <v>66</v>
      </c>
      <c r="L27" s="38" t="s">
        <v>28</v>
      </c>
      <c r="M27" s="38" t="s">
        <v>67</v>
      </c>
      <c r="N27" s="38"/>
      <c r="O27" s="38" t="s">
        <v>65</v>
      </c>
      <c r="P27" s="38" t="s">
        <v>66</v>
      </c>
      <c r="Q27" s="38" t="s">
        <v>28</v>
      </c>
      <c r="R27" s="46" t="s">
        <v>67</v>
      </c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</row>
    <row r="28" spans="1:51" ht="14.4">
      <c r="A28" s="32" t="s">
        <v>24</v>
      </c>
      <c r="B28" s="39">
        <v>114</v>
      </c>
      <c r="C28" s="39">
        <v>0</v>
      </c>
      <c r="D28" s="56">
        <f>SUM(B28:C28)</f>
        <v>114</v>
      </c>
      <c r="E28" s="57">
        <v>126</v>
      </c>
      <c r="F28" s="124">
        <v>55</v>
      </c>
      <c r="G28" s="39">
        <v>0</v>
      </c>
      <c r="H28" s="56">
        <f>SUM(F28:G28)</f>
        <v>55</v>
      </c>
      <c r="I28" s="57">
        <v>55</v>
      </c>
      <c r="J28" s="124">
        <v>232</v>
      </c>
      <c r="K28" s="124">
        <v>0</v>
      </c>
      <c r="L28" s="56">
        <f>J28+K28</f>
        <v>232</v>
      </c>
      <c r="M28" s="57">
        <v>240</v>
      </c>
      <c r="N28" s="65"/>
      <c r="O28" s="66">
        <f t="shared" ref="O28:P28" si="71">J28+F28+B28</f>
        <v>401</v>
      </c>
      <c r="P28" s="66">
        <f t="shared" si="71"/>
        <v>0</v>
      </c>
      <c r="Q28" s="56">
        <f>P28+O28</f>
        <v>401</v>
      </c>
      <c r="R28" s="68">
        <f>M28+I28+E28</f>
        <v>421</v>
      </c>
      <c r="S28" s="125">
        <v>46295</v>
      </c>
      <c r="T28" s="22" t="s">
        <v>43</v>
      </c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</row>
    <row r="29" spans="1:51" ht="14.4">
      <c r="A29" s="35" t="s">
        <v>44</v>
      </c>
      <c r="B29" s="78">
        <f t="shared" ref="B29:M29" si="72">SUM(B28)</f>
        <v>114</v>
      </c>
      <c r="C29" s="78">
        <f t="shared" si="72"/>
        <v>0</v>
      </c>
      <c r="D29" s="78">
        <f t="shared" si="72"/>
        <v>114</v>
      </c>
      <c r="E29" s="78">
        <f t="shared" si="72"/>
        <v>126</v>
      </c>
      <c r="F29" s="78">
        <f t="shared" si="72"/>
        <v>55</v>
      </c>
      <c r="G29" s="78">
        <f t="shared" si="72"/>
        <v>0</v>
      </c>
      <c r="H29" s="78">
        <f t="shared" si="72"/>
        <v>55</v>
      </c>
      <c r="I29" s="78">
        <f t="shared" si="72"/>
        <v>55</v>
      </c>
      <c r="J29" s="78">
        <f t="shared" si="72"/>
        <v>232</v>
      </c>
      <c r="K29" s="78">
        <f t="shared" si="72"/>
        <v>0</v>
      </c>
      <c r="L29" s="78">
        <f t="shared" si="72"/>
        <v>232</v>
      </c>
      <c r="M29" s="78">
        <f t="shared" si="72"/>
        <v>240</v>
      </c>
      <c r="N29" s="65"/>
      <c r="O29" s="78">
        <f t="shared" ref="O29:R29" si="73">SUM(O28)</f>
        <v>401</v>
      </c>
      <c r="P29" s="78">
        <f t="shared" si="73"/>
        <v>0</v>
      </c>
      <c r="Q29" s="78">
        <f t="shared" si="73"/>
        <v>401</v>
      </c>
      <c r="R29" s="92">
        <f t="shared" si="73"/>
        <v>421</v>
      </c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</row>
    <row r="30" spans="1:51" ht="14.4">
      <c r="A30" s="32" t="s">
        <v>51</v>
      </c>
      <c r="B30" s="39">
        <v>9</v>
      </c>
      <c r="C30" s="66">
        <v>0</v>
      </c>
      <c r="D30" s="56">
        <f>SUM(B30:C30)</f>
        <v>9</v>
      </c>
      <c r="E30" s="57">
        <v>35</v>
      </c>
      <c r="F30" s="124">
        <v>31</v>
      </c>
      <c r="G30" s="66">
        <v>0</v>
      </c>
      <c r="H30" s="56">
        <f>SUM(F30:G30)</f>
        <v>31</v>
      </c>
      <c r="I30" s="57">
        <v>10</v>
      </c>
      <c r="J30" s="124">
        <v>47</v>
      </c>
      <c r="K30" s="124">
        <v>30</v>
      </c>
      <c r="L30" s="56">
        <f>K30+J30</f>
        <v>77</v>
      </c>
      <c r="M30" s="57">
        <v>85</v>
      </c>
      <c r="N30" s="65"/>
      <c r="O30" s="66">
        <v>82</v>
      </c>
      <c r="P30" s="66">
        <v>0</v>
      </c>
      <c r="Q30" s="56">
        <f>P30+O30</f>
        <v>82</v>
      </c>
      <c r="R30" s="68">
        <f>M30+I30+E30</f>
        <v>130</v>
      </c>
      <c r="S30" s="95">
        <v>46295</v>
      </c>
      <c r="T30" s="55" t="s">
        <v>56</v>
      </c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</row>
    <row r="31" spans="1:51" ht="14.4">
      <c r="A31" s="35" t="s">
        <v>54</v>
      </c>
      <c r="B31" s="78">
        <f t="shared" ref="B31:M31" si="74">SUM(B30)</f>
        <v>9</v>
      </c>
      <c r="C31" s="78">
        <f t="shared" si="74"/>
        <v>0</v>
      </c>
      <c r="D31" s="78">
        <f t="shared" si="74"/>
        <v>9</v>
      </c>
      <c r="E31" s="78">
        <f t="shared" si="74"/>
        <v>35</v>
      </c>
      <c r="F31" s="78">
        <f t="shared" si="74"/>
        <v>31</v>
      </c>
      <c r="G31" s="78">
        <f t="shared" si="74"/>
        <v>0</v>
      </c>
      <c r="H31" s="78">
        <f t="shared" si="74"/>
        <v>31</v>
      </c>
      <c r="I31" s="78">
        <f t="shared" si="74"/>
        <v>10</v>
      </c>
      <c r="J31" s="78">
        <f t="shared" si="74"/>
        <v>47</v>
      </c>
      <c r="K31" s="78">
        <f t="shared" si="74"/>
        <v>30</v>
      </c>
      <c r="L31" s="78">
        <f t="shared" si="74"/>
        <v>77</v>
      </c>
      <c r="M31" s="78">
        <f t="shared" si="74"/>
        <v>85</v>
      </c>
      <c r="N31" s="65"/>
      <c r="O31" s="78">
        <f t="shared" ref="O31:R31" si="75">SUM(O30)</f>
        <v>82</v>
      </c>
      <c r="P31" s="78">
        <f t="shared" si="75"/>
        <v>0</v>
      </c>
      <c r="Q31" s="78">
        <f t="shared" si="75"/>
        <v>82</v>
      </c>
      <c r="R31" s="92">
        <f t="shared" si="75"/>
        <v>130</v>
      </c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</row>
    <row r="32" spans="1:51" ht="14.4">
      <c r="A32" s="32" t="s">
        <v>55</v>
      </c>
      <c r="B32" s="39">
        <v>41</v>
      </c>
      <c r="C32" s="66">
        <v>0</v>
      </c>
      <c r="D32" s="56">
        <f t="shared" ref="D32:D33" si="76">SUM(B32:C32)</f>
        <v>41</v>
      </c>
      <c r="E32" s="57">
        <v>58</v>
      </c>
      <c r="F32" s="124">
        <v>62</v>
      </c>
      <c r="G32" s="66">
        <v>0</v>
      </c>
      <c r="H32" s="56">
        <f t="shared" ref="H32:H33" si="77">SUM(F32:G32)</f>
        <v>62</v>
      </c>
      <c r="I32" s="57">
        <v>32</v>
      </c>
      <c r="J32" s="124">
        <v>91</v>
      </c>
      <c r="K32" s="124">
        <v>0</v>
      </c>
      <c r="L32" s="56">
        <f t="shared" ref="L32:L33" si="78">K32+J32</f>
        <v>91</v>
      </c>
      <c r="M32" s="57">
        <v>91</v>
      </c>
      <c r="N32" s="65"/>
      <c r="O32" s="66">
        <f t="shared" ref="O32:P32" si="79">J32+F32+B32</f>
        <v>194</v>
      </c>
      <c r="P32" s="66">
        <f t="shared" si="79"/>
        <v>0</v>
      </c>
      <c r="Q32" s="56">
        <f t="shared" ref="Q32:Q33" si="80">P32+O32</f>
        <v>194</v>
      </c>
      <c r="R32" s="68">
        <f t="shared" ref="R32:R33" si="81">M32+I32+E32</f>
        <v>181</v>
      </c>
      <c r="S32" s="95">
        <v>46295</v>
      </c>
      <c r="T32" s="22" t="s">
        <v>75</v>
      </c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</row>
    <row r="33" spans="1:51" ht="14.4">
      <c r="A33" s="32" t="s">
        <v>57</v>
      </c>
      <c r="B33" s="39">
        <v>4</v>
      </c>
      <c r="C33" s="66">
        <v>0</v>
      </c>
      <c r="D33" s="56">
        <f t="shared" si="76"/>
        <v>4</v>
      </c>
      <c r="E33" s="57"/>
      <c r="F33" s="124">
        <v>2</v>
      </c>
      <c r="G33" s="66">
        <v>0</v>
      </c>
      <c r="H33" s="56">
        <f t="shared" si="77"/>
        <v>2</v>
      </c>
      <c r="I33" s="57"/>
      <c r="J33" s="124"/>
      <c r="K33" s="124"/>
      <c r="L33" s="56">
        <f t="shared" si="78"/>
        <v>0</v>
      </c>
      <c r="M33" s="57"/>
      <c r="N33" s="65"/>
      <c r="O33" s="66">
        <f t="shared" ref="O33:P33" si="82">J33+F33+B33</f>
        <v>6</v>
      </c>
      <c r="P33" s="66">
        <f t="shared" si="82"/>
        <v>0</v>
      </c>
      <c r="Q33" s="56">
        <f t="shared" si="80"/>
        <v>6</v>
      </c>
      <c r="R33" s="68">
        <f t="shared" si="81"/>
        <v>0</v>
      </c>
      <c r="S33" s="95">
        <v>46293</v>
      </c>
      <c r="T33" s="22" t="s">
        <v>61</v>
      </c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</row>
    <row r="34" spans="1:51" ht="14.4">
      <c r="A34" s="35" t="s">
        <v>59</v>
      </c>
      <c r="B34" s="78">
        <f t="shared" ref="B34:M34" si="83">SUM(B32+B33)</f>
        <v>45</v>
      </c>
      <c r="C34" s="78">
        <f t="shared" si="83"/>
        <v>0</v>
      </c>
      <c r="D34" s="78">
        <f t="shared" si="83"/>
        <v>45</v>
      </c>
      <c r="E34" s="78">
        <f t="shared" si="83"/>
        <v>58</v>
      </c>
      <c r="F34" s="78">
        <f t="shared" si="83"/>
        <v>64</v>
      </c>
      <c r="G34" s="78">
        <f t="shared" si="83"/>
        <v>0</v>
      </c>
      <c r="H34" s="78">
        <f t="shared" si="83"/>
        <v>64</v>
      </c>
      <c r="I34" s="78">
        <f t="shared" si="83"/>
        <v>32</v>
      </c>
      <c r="J34" s="78">
        <f t="shared" si="83"/>
        <v>91</v>
      </c>
      <c r="K34" s="78">
        <f t="shared" si="83"/>
        <v>0</v>
      </c>
      <c r="L34" s="78">
        <f t="shared" si="83"/>
        <v>91</v>
      </c>
      <c r="M34" s="78">
        <f t="shared" si="83"/>
        <v>91</v>
      </c>
      <c r="N34" s="65"/>
      <c r="O34" s="78">
        <f t="shared" ref="O34:R34" si="84">SUM(O32+O33)</f>
        <v>200</v>
      </c>
      <c r="P34" s="78">
        <f t="shared" si="84"/>
        <v>0</v>
      </c>
      <c r="Q34" s="78">
        <f t="shared" si="84"/>
        <v>200</v>
      </c>
      <c r="R34" s="78">
        <f t="shared" si="84"/>
        <v>181</v>
      </c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</row>
    <row r="35" spans="1:51" ht="14.4">
      <c r="A35" s="3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5"/>
      <c r="O35" s="66"/>
      <c r="P35" s="66"/>
      <c r="Q35" s="66"/>
      <c r="R35" s="104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</row>
    <row r="36" spans="1:51" ht="14.4">
      <c r="A36" s="32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104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</row>
    <row r="37" spans="1:51" ht="14.4">
      <c r="A37" s="126" t="s">
        <v>14</v>
      </c>
      <c r="B37" s="97">
        <f t="shared" ref="B37:M37" si="85">B34+B31+B29</f>
        <v>168</v>
      </c>
      <c r="C37" s="97">
        <f t="shared" si="85"/>
        <v>0</v>
      </c>
      <c r="D37" s="97">
        <f t="shared" si="85"/>
        <v>168</v>
      </c>
      <c r="E37" s="97">
        <f t="shared" si="85"/>
        <v>219</v>
      </c>
      <c r="F37" s="97">
        <f t="shared" si="85"/>
        <v>150</v>
      </c>
      <c r="G37" s="97">
        <f t="shared" si="85"/>
        <v>0</v>
      </c>
      <c r="H37" s="97">
        <f t="shared" si="85"/>
        <v>150</v>
      </c>
      <c r="I37" s="97">
        <f t="shared" si="85"/>
        <v>97</v>
      </c>
      <c r="J37" s="97">
        <f t="shared" si="85"/>
        <v>370</v>
      </c>
      <c r="K37" s="97">
        <f t="shared" si="85"/>
        <v>30</v>
      </c>
      <c r="L37" s="97">
        <f t="shared" si="85"/>
        <v>400</v>
      </c>
      <c r="M37" s="97">
        <f t="shared" si="85"/>
        <v>416</v>
      </c>
      <c r="N37" s="127"/>
      <c r="O37" s="97">
        <f t="shared" ref="O37:R37" si="86">O34+O31+O29</f>
        <v>683</v>
      </c>
      <c r="P37" s="97">
        <f t="shared" si="86"/>
        <v>0</v>
      </c>
      <c r="Q37" s="97">
        <f t="shared" si="86"/>
        <v>683</v>
      </c>
      <c r="R37" s="99">
        <f t="shared" si="86"/>
        <v>732</v>
      </c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</row>
    <row r="38" spans="1:51" ht="13.2"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</row>
    <row r="39" spans="1:51" ht="14.4">
      <c r="O39" s="15"/>
      <c r="P39" s="120"/>
      <c r="R39" s="129">
        <f>Q37/R37</f>
        <v>0.93306010928961747</v>
      </c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</row>
    <row r="40" spans="1:51" ht="13.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</row>
    <row r="41" spans="1:51" ht="14.4">
      <c r="A41" s="270" t="s">
        <v>71</v>
      </c>
      <c r="B41" s="271"/>
      <c r="C41" s="271"/>
      <c r="D41" s="271"/>
      <c r="E41" s="271"/>
      <c r="F41" s="271"/>
      <c r="G41" s="271"/>
      <c r="H41" s="271"/>
      <c r="I41" s="271"/>
      <c r="J41" s="271"/>
      <c r="K41" s="271"/>
      <c r="L41" s="272"/>
      <c r="M41" s="18" t="s">
        <v>2</v>
      </c>
      <c r="N41" s="20" t="s">
        <v>3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</row>
    <row r="42" spans="1:51" ht="14.4">
      <c r="A42" s="9"/>
      <c r="B42" s="273" t="s">
        <v>18</v>
      </c>
      <c r="C42" s="271"/>
      <c r="D42" s="14"/>
      <c r="E42" s="273" t="s">
        <v>19</v>
      </c>
      <c r="F42" s="271"/>
      <c r="G42" s="271"/>
      <c r="H42" s="273" t="s">
        <v>23</v>
      </c>
      <c r="I42" s="271"/>
      <c r="J42" s="271"/>
      <c r="K42" s="28" t="s">
        <v>14</v>
      </c>
      <c r="L42" s="40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</row>
    <row r="43" spans="1:51" ht="28.8">
      <c r="A43" s="42"/>
      <c r="B43" s="43" t="s">
        <v>26</v>
      </c>
      <c r="C43" s="43" t="s">
        <v>29</v>
      </c>
      <c r="D43" s="22"/>
      <c r="E43" s="43" t="s">
        <v>26</v>
      </c>
      <c r="F43" s="43" t="s">
        <v>29</v>
      </c>
      <c r="G43" s="22"/>
      <c r="H43" s="43" t="s">
        <v>26</v>
      </c>
      <c r="I43" s="43" t="s">
        <v>29</v>
      </c>
      <c r="J43" s="22"/>
      <c r="K43" s="43" t="s">
        <v>26</v>
      </c>
      <c r="L43" s="138" t="s">
        <v>29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</row>
    <row r="44" spans="1:51" ht="13.2">
      <c r="A44" s="42" t="s">
        <v>36</v>
      </c>
      <c r="B44" s="55">
        <v>56</v>
      </c>
      <c r="C44" s="60">
        <v>63</v>
      </c>
      <c r="D44" s="62">
        <f t="shared" ref="D44:D57" si="87">B44/C44</f>
        <v>0.88888888888888884</v>
      </c>
      <c r="E44" s="55">
        <v>59</v>
      </c>
      <c r="F44" s="60">
        <v>62</v>
      </c>
      <c r="G44" s="62">
        <f t="shared" ref="G44:G57" si="88">E44/F44</f>
        <v>0.95161290322580649</v>
      </c>
      <c r="H44" s="22">
        <v>59</v>
      </c>
      <c r="I44" s="60">
        <v>62</v>
      </c>
      <c r="J44" s="62">
        <f t="shared" ref="J44:J57" si="89">H44/I44</f>
        <v>0.95161290322580649</v>
      </c>
      <c r="K44" s="55">
        <f t="shared" ref="K44:L44" si="90">H44+E44+B44</f>
        <v>174</v>
      </c>
      <c r="L44" s="139">
        <f t="shared" si="90"/>
        <v>187</v>
      </c>
      <c r="M44" s="73">
        <v>46295</v>
      </c>
      <c r="N44" s="22" t="s">
        <v>43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</row>
    <row r="45" spans="1:51" ht="13.2">
      <c r="A45" s="42" t="s">
        <v>40</v>
      </c>
      <c r="B45" s="55">
        <v>51</v>
      </c>
      <c r="C45" s="60">
        <v>55</v>
      </c>
      <c r="D45" s="62">
        <f t="shared" si="87"/>
        <v>0.92727272727272725</v>
      </c>
      <c r="E45" s="55">
        <v>41</v>
      </c>
      <c r="F45" s="60">
        <v>54</v>
      </c>
      <c r="G45" s="62">
        <f t="shared" si="88"/>
        <v>0.7592592592592593</v>
      </c>
      <c r="H45" s="22">
        <v>43</v>
      </c>
      <c r="I45" s="60">
        <v>54</v>
      </c>
      <c r="J45" s="62">
        <f t="shared" si="89"/>
        <v>0.79629629629629628</v>
      </c>
      <c r="K45" s="55">
        <f t="shared" ref="K45:L45" si="91">H45+E45+B45</f>
        <v>135</v>
      </c>
      <c r="L45" s="139">
        <f t="shared" si="91"/>
        <v>163</v>
      </c>
      <c r="M45" s="73">
        <v>46295</v>
      </c>
      <c r="N45" s="22" t="s">
        <v>43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</row>
    <row r="46" spans="1:51" ht="13.2">
      <c r="A46" s="42" t="s">
        <v>41</v>
      </c>
      <c r="B46" s="55">
        <v>44</v>
      </c>
      <c r="C46" s="60">
        <v>51</v>
      </c>
      <c r="D46" s="62">
        <f t="shared" si="87"/>
        <v>0.86274509803921573</v>
      </c>
      <c r="E46" s="55">
        <v>36</v>
      </c>
      <c r="F46" s="60">
        <v>50</v>
      </c>
      <c r="G46" s="62">
        <f t="shared" si="88"/>
        <v>0.72</v>
      </c>
      <c r="H46" s="22">
        <v>52</v>
      </c>
      <c r="I46" s="60">
        <v>50</v>
      </c>
      <c r="J46" s="62">
        <f t="shared" si="89"/>
        <v>1.04</v>
      </c>
      <c r="K46" s="55">
        <f t="shared" ref="K46:L46" si="92">H46+E46+B46</f>
        <v>132</v>
      </c>
      <c r="L46" s="139">
        <f t="shared" si="92"/>
        <v>151</v>
      </c>
      <c r="M46" s="73">
        <v>46295</v>
      </c>
      <c r="N46" s="22" t="s">
        <v>43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</row>
    <row r="47" spans="1:51" ht="13.2">
      <c r="A47" s="42" t="s">
        <v>48</v>
      </c>
      <c r="B47" s="84">
        <v>61</v>
      </c>
      <c r="C47" s="60">
        <v>60</v>
      </c>
      <c r="D47" s="62">
        <f t="shared" si="87"/>
        <v>1.0166666666666666</v>
      </c>
      <c r="E47" s="55">
        <v>60</v>
      </c>
      <c r="F47" s="60">
        <v>59</v>
      </c>
      <c r="G47" s="62">
        <f t="shared" si="88"/>
        <v>1.0169491525423728</v>
      </c>
      <c r="H47" s="22">
        <v>56</v>
      </c>
      <c r="I47" s="60">
        <v>59</v>
      </c>
      <c r="J47" s="62">
        <f t="shared" si="89"/>
        <v>0.94915254237288138</v>
      </c>
      <c r="K47" s="55">
        <f t="shared" ref="K47:L47" si="93">H47+E47+B47</f>
        <v>177</v>
      </c>
      <c r="L47" s="139">
        <f t="shared" si="93"/>
        <v>178</v>
      </c>
      <c r="M47" s="73">
        <v>46295</v>
      </c>
      <c r="N47" s="22" t="s">
        <v>43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</row>
    <row r="48" spans="1:51" ht="13.2">
      <c r="A48" s="85" t="s">
        <v>44</v>
      </c>
      <c r="B48" s="87">
        <f t="shared" ref="B48:C48" si="94">SUM(B44:B47)</f>
        <v>212</v>
      </c>
      <c r="C48" s="87">
        <f t="shared" si="94"/>
        <v>229</v>
      </c>
      <c r="D48" s="62">
        <f t="shared" si="87"/>
        <v>0.92576419213973804</v>
      </c>
      <c r="E48" s="87">
        <f t="shared" ref="E48:F48" si="95">SUM(E44:E47)</f>
        <v>196</v>
      </c>
      <c r="F48" s="87">
        <f t="shared" si="95"/>
        <v>225</v>
      </c>
      <c r="G48" s="62">
        <f t="shared" si="88"/>
        <v>0.87111111111111106</v>
      </c>
      <c r="H48" s="87">
        <f t="shared" ref="H48:I48" si="96">SUM(H44:H47)</f>
        <v>210</v>
      </c>
      <c r="I48" s="87">
        <f t="shared" si="96"/>
        <v>225</v>
      </c>
      <c r="J48" s="62">
        <f t="shared" si="89"/>
        <v>0.93333333333333335</v>
      </c>
      <c r="K48" s="87">
        <f t="shared" ref="K48:L48" si="97">SUM(K44:K47)</f>
        <v>618</v>
      </c>
      <c r="L48" s="140">
        <f t="shared" si="97"/>
        <v>679</v>
      </c>
      <c r="M48" s="95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</row>
    <row r="49" spans="1:51" ht="13.2">
      <c r="A49" s="37" t="s">
        <v>52</v>
      </c>
      <c r="B49" s="66">
        <v>62</v>
      </c>
      <c r="C49" s="57">
        <v>51</v>
      </c>
      <c r="D49" s="61">
        <f t="shared" si="87"/>
        <v>1.2156862745098038</v>
      </c>
      <c r="E49" s="39">
        <v>43</v>
      </c>
      <c r="F49" s="57">
        <v>50</v>
      </c>
      <c r="G49" s="61">
        <f t="shared" si="88"/>
        <v>0.86</v>
      </c>
      <c r="H49" s="39">
        <v>50</v>
      </c>
      <c r="I49" s="57">
        <v>50</v>
      </c>
      <c r="J49" s="61">
        <f t="shared" si="89"/>
        <v>1</v>
      </c>
      <c r="K49" s="66">
        <f t="shared" ref="K49:L49" si="98">H49+E49+B49</f>
        <v>155</v>
      </c>
      <c r="L49" s="68">
        <f t="shared" si="98"/>
        <v>151</v>
      </c>
      <c r="M49" s="95">
        <v>46295</v>
      </c>
      <c r="N49" s="22" t="s">
        <v>56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</row>
    <row r="50" spans="1:51" ht="13.2">
      <c r="A50" s="37" t="s">
        <v>51</v>
      </c>
      <c r="B50" s="66">
        <v>70</v>
      </c>
      <c r="C50" s="57">
        <v>45</v>
      </c>
      <c r="D50" s="61">
        <f t="shared" si="87"/>
        <v>1.5555555555555556</v>
      </c>
      <c r="E50" s="39">
        <v>53</v>
      </c>
      <c r="F50" s="57">
        <v>44</v>
      </c>
      <c r="G50" s="61">
        <f t="shared" si="88"/>
        <v>1.2045454545454546</v>
      </c>
      <c r="H50" s="39">
        <v>50</v>
      </c>
      <c r="I50" s="57">
        <v>44</v>
      </c>
      <c r="J50" s="61">
        <f t="shared" si="89"/>
        <v>1.1363636363636365</v>
      </c>
      <c r="K50" s="66">
        <f t="shared" ref="K50:L50" si="99">H50+E50+B50</f>
        <v>173</v>
      </c>
      <c r="L50" s="68">
        <f t="shared" si="99"/>
        <v>133</v>
      </c>
      <c r="M50" s="95">
        <v>46295</v>
      </c>
      <c r="N50" s="22" t="s">
        <v>56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</row>
    <row r="51" spans="1:51" ht="13.2">
      <c r="A51" s="37" t="s">
        <v>46</v>
      </c>
      <c r="B51" s="66">
        <v>36</v>
      </c>
      <c r="C51" s="57">
        <v>47</v>
      </c>
      <c r="D51" s="61">
        <f t="shared" si="87"/>
        <v>0.76595744680851063</v>
      </c>
      <c r="E51" s="39">
        <v>33</v>
      </c>
      <c r="F51" s="57">
        <v>46</v>
      </c>
      <c r="G51" s="61">
        <f t="shared" si="88"/>
        <v>0.71739130434782605</v>
      </c>
      <c r="H51" s="39">
        <v>53</v>
      </c>
      <c r="I51" s="57">
        <v>46</v>
      </c>
      <c r="J51" s="61">
        <f t="shared" si="89"/>
        <v>1.1521739130434783</v>
      </c>
      <c r="K51" s="66">
        <f t="shared" ref="K51:L51" si="100">H51+E51+B51</f>
        <v>122</v>
      </c>
      <c r="L51" s="68">
        <f t="shared" si="100"/>
        <v>139</v>
      </c>
      <c r="M51" s="95">
        <v>46295</v>
      </c>
      <c r="N51" s="22" t="s">
        <v>56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</row>
    <row r="52" spans="1:51" ht="13.2">
      <c r="A52" s="37" t="s">
        <v>53</v>
      </c>
      <c r="B52" s="66">
        <v>90</v>
      </c>
      <c r="C52" s="57">
        <v>91</v>
      </c>
      <c r="D52" s="61">
        <f t="shared" si="87"/>
        <v>0.98901098901098905</v>
      </c>
      <c r="E52" s="39">
        <v>92</v>
      </c>
      <c r="F52" s="57">
        <v>89</v>
      </c>
      <c r="G52" s="61">
        <f t="shared" si="88"/>
        <v>1.0337078651685394</v>
      </c>
      <c r="H52" s="39">
        <v>98</v>
      </c>
      <c r="I52" s="57">
        <v>89</v>
      </c>
      <c r="J52" s="61">
        <f t="shared" si="89"/>
        <v>1.101123595505618</v>
      </c>
      <c r="K52" s="66">
        <f t="shared" ref="K52:L52" si="101">H52+E52+B52</f>
        <v>280</v>
      </c>
      <c r="L52" s="68">
        <f t="shared" si="101"/>
        <v>269</v>
      </c>
      <c r="M52" s="95">
        <v>46295</v>
      </c>
      <c r="N52" s="22" t="s">
        <v>56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</row>
    <row r="53" spans="1:51" ht="13.2">
      <c r="A53" s="76" t="s">
        <v>54</v>
      </c>
      <c r="B53" s="141">
        <f t="shared" ref="B53:C53" si="102">SUM(B49:B52)</f>
        <v>258</v>
      </c>
      <c r="C53" s="141">
        <f t="shared" si="102"/>
        <v>234</v>
      </c>
      <c r="D53" s="61">
        <f t="shared" si="87"/>
        <v>1.1025641025641026</v>
      </c>
      <c r="E53" s="141">
        <f t="shared" ref="E53:F53" si="103">SUM(E49:E52)</f>
        <v>221</v>
      </c>
      <c r="F53" s="141">
        <f t="shared" si="103"/>
        <v>229</v>
      </c>
      <c r="G53" s="61">
        <f t="shared" si="88"/>
        <v>0.96506550218340614</v>
      </c>
      <c r="H53" s="141">
        <f t="shared" ref="H53:I53" si="104">SUM(H49:H52)</f>
        <v>251</v>
      </c>
      <c r="I53" s="141">
        <f t="shared" si="104"/>
        <v>229</v>
      </c>
      <c r="J53" s="61">
        <f t="shared" si="89"/>
        <v>1.0960698689956332</v>
      </c>
      <c r="K53" s="141">
        <f t="shared" ref="K53:L53" si="105">SUM(K49:K52)</f>
        <v>730</v>
      </c>
      <c r="L53" s="142">
        <f t="shared" si="105"/>
        <v>692</v>
      </c>
      <c r="M53" s="95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</row>
    <row r="54" spans="1:51" ht="13.2">
      <c r="A54" s="42" t="s">
        <v>55</v>
      </c>
      <c r="B54" s="55">
        <v>45</v>
      </c>
      <c r="C54" s="60">
        <v>36</v>
      </c>
      <c r="D54" s="62">
        <f t="shared" si="87"/>
        <v>1.25</v>
      </c>
      <c r="E54" s="55">
        <v>58</v>
      </c>
      <c r="F54" s="60">
        <v>36</v>
      </c>
      <c r="G54" s="62">
        <f t="shared" si="88"/>
        <v>1.6111111111111112</v>
      </c>
      <c r="H54" s="22">
        <v>40</v>
      </c>
      <c r="I54" s="60">
        <v>36</v>
      </c>
      <c r="J54" s="62">
        <f t="shared" si="89"/>
        <v>1.1111111111111112</v>
      </c>
      <c r="K54" s="55">
        <f t="shared" ref="K54:L54" si="106">H54+E54+B54</f>
        <v>143</v>
      </c>
      <c r="L54" s="139">
        <f t="shared" si="106"/>
        <v>108</v>
      </c>
      <c r="M54" s="73">
        <v>46295</v>
      </c>
      <c r="N54" s="22" t="s">
        <v>43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</row>
    <row r="55" spans="1:51" ht="13.2">
      <c r="A55" s="42" t="s">
        <v>57</v>
      </c>
      <c r="B55" s="55">
        <v>54</v>
      </c>
      <c r="C55" s="60">
        <v>47</v>
      </c>
      <c r="D55" s="62">
        <f t="shared" si="87"/>
        <v>1.1489361702127661</v>
      </c>
      <c r="E55" s="55">
        <v>37</v>
      </c>
      <c r="F55" s="60">
        <v>46</v>
      </c>
      <c r="G55" s="62">
        <f t="shared" si="88"/>
        <v>0.80434782608695654</v>
      </c>
      <c r="H55" s="22">
        <v>46</v>
      </c>
      <c r="I55" s="60">
        <v>46</v>
      </c>
      <c r="J55" s="62">
        <f t="shared" si="89"/>
        <v>1</v>
      </c>
      <c r="K55" s="55">
        <f t="shared" ref="K55:L55" si="107">H55+E55+B55</f>
        <v>137</v>
      </c>
      <c r="L55" s="139">
        <f t="shared" si="107"/>
        <v>139</v>
      </c>
      <c r="M55" s="73">
        <v>46295</v>
      </c>
      <c r="N55" s="22" t="s">
        <v>43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</row>
    <row r="56" spans="1:51" ht="13.2">
      <c r="A56" s="42" t="s">
        <v>58</v>
      </c>
      <c r="B56" s="55">
        <v>23</v>
      </c>
      <c r="C56" s="60">
        <v>22</v>
      </c>
      <c r="D56" s="62">
        <f t="shared" si="87"/>
        <v>1.0454545454545454</v>
      </c>
      <c r="E56" s="55">
        <v>27</v>
      </c>
      <c r="F56" s="60">
        <v>21</v>
      </c>
      <c r="G56" s="62">
        <f t="shared" si="88"/>
        <v>1.2857142857142858</v>
      </c>
      <c r="H56" s="22">
        <v>24</v>
      </c>
      <c r="I56" s="60">
        <v>21</v>
      </c>
      <c r="J56" s="62">
        <f t="shared" si="89"/>
        <v>1.1428571428571428</v>
      </c>
      <c r="K56" s="55">
        <f t="shared" ref="K56:L56" si="108">H56+E56+B56</f>
        <v>74</v>
      </c>
      <c r="L56" s="139">
        <f t="shared" si="108"/>
        <v>64</v>
      </c>
      <c r="M56" s="73">
        <v>46295</v>
      </c>
      <c r="N56" s="22" t="s">
        <v>43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</row>
    <row r="57" spans="1:51" ht="13.2">
      <c r="A57" s="85" t="s">
        <v>59</v>
      </c>
      <c r="B57" s="87">
        <f t="shared" ref="B57:C57" si="109">SUM(B54:B56)</f>
        <v>122</v>
      </c>
      <c r="C57" s="87">
        <f t="shared" si="109"/>
        <v>105</v>
      </c>
      <c r="D57" s="62">
        <f t="shared" si="87"/>
        <v>1.161904761904762</v>
      </c>
      <c r="E57" s="87">
        <f t="shared" ref="E57:F57" si="110">SUM(E54:E56)</f>
        <v>122</v>
      </c>
      <c r="F57" s="87">
        <f t="shared" si="110"/>
        <v>103</v>
      </c>
      <c r="G57" s="62">
        <f t="shared" si="88"/>
        <v>1.1844660194174756</v>
      </c>
      <c r="H57" s="87">
        <f t="shared" ref="H57:I57" si="111">SUM(H54:H56)</f>
        <v>110</v>
      </c>
      <c r="I57" s="87">
        <f t="shared" si="111"/>
        <v>103</v>
      </c>
      <c r="J57" s="62">
        <f t="shared" si="89"/>
        <v>1.0679611650485437</v>
      </c>
      <c r="K57" s="87">
        <f t="shared" ref="K57:L57" si="112">SUM(K54:K56)</f>
        <v>354</v>
      </c>
      <c r="L57" s="140">
        <f t="shared" si="112"/>
        <v>311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</row>
    <row r="58" spans="1:51" ht="13.2">
      <c r="A58" s="7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104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</row>
    <row r="59" spans="1:51" ht="13.2">
      <c r="A59" s="37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104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</row>
    <row r="60" spans="1:51" ht="13.2">
      <c r="A60" s="96" t="s">
        <v>14</v>
      </c>
      <c r="B60" s="97">
        <f t="shared" ref="B60:C60" si="113">B57+B53+B48</f>
        <v>592</v>
      </c>
      <c r="C60" s="97">
        <f t="shared" si="113"/>
        <v>568</v>
      </c>
      <c r="D60" s="144">
        <f>B60/C60</f>
        <v>1.0422535211267605</v>
      </c>
      <c r="E60" s="97">
        <f t="shared" ref="E60:F60" si="114">E57+E53+E48</f>
        <v>539</v>
      </c>
      <c r="F60" s="97">
        <f t="shared" si="114"/>
        <v>557</v>
      </c>
      <c r="G60" s="144">
        <f>E60/F60</f>
        <v>0.96768402154398558</v>
      </c>
      <c r="H60" s="97">
        <f t="shared" ref="H60:I60" si="115">H57+H53+H48</f>
        <v>571</v>
      </c>
      <c r="I60" s="97">
        <f t="shared" si="115"/>
        <v>557</v>
      </c>
      <c r="J60" s="144">
        <f>H60/I60</f>
        <v>1.0251346499102334</v>
      </c>
      <c r="K60" s="97">
        <f t="shared" ref="K60:L60" si="116">K57+K53+K48</f>
        <v>1702</v>
      </c>
      <c r="L60" s="99">
        <f t="shared" si="116"/>
        <v>1682</v>
      </c>
      <c r="M60" s="22">
        <f>K60/L60</f>
        <v>1.0118906064209274</v>
      </c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</row>
    <row r="61" spans="1:51" ht="13.2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</row>
    <row r="62" spans="1:51" ht="13.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145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</row>
    <row r="63" spans="1:51" ht="14.4">
      <c r="A63" s="270" t="s">
        <v>76</v>
      </c>
      <c r="B63" s="271"/>
      <c r="C63" s="271"/>
      <c r="D63" s="271"/>
      <c r="E63" s="271"/>
      <c r="F63" s="272"/>
      <c r="G63" s="18" t="s">
        <v>2</v>
      </c>
      <c r="H63" s="20" t="s">
        <v>3</v>
      </c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</row>
    <row r="64" spans="1:51" ht="14.4">
      <c r="A64" s="9"/>
      <c r="B64" s="273" t="s">
        <v>81</v>
      </c>
      <c r="C64" s="271"/>
      <c r="D64" s="14"/>
      <c r="E64" s="273" t="s">
        <v>78</v>
      </c>
      <c r="F64" s="27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</row>
    <row r="65" spans="1:51" ht="14.4">
      <c r="A65" s="42"/>
      <c r="B65" s="43" t="s">
        <v>79</v>
      </c>
      <c r="C65" s="43" t="s">
        <v>29</v>
      </c>
      <c r="D65" s="22"/>
      <c r="E65" s="22"/>
      <c r="F65" s="109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</row>
    <row r="66" spans="1:51" ht="13.2">
      <c r="A66" s="42" t="s">
        <v>36</v>
      </c>
      <c r="B66" s="55">
        <v>2</v>
      </c>
      <c r="C66" s="60">
        <v>7</v>
      </c>
      <c r="D66" s="62">
        <f t="shared" ref="D66:D79" si="117">B66/C66</f>
        <v>0.2857142857142857</v>
      </c>
      <c r="E66" s="22"/>
      <c r="F66" s="139"/>
      <c r="G66" s="95">
        <v>46293</v>
      </c>
      <c r="H66" s="22" t="s">
        <v>43</v>
      </c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</row>
    <row r="67" spans="1:51" ht="13.2">
      <c r="A67" s="42" t="s">
        <v>40</v>
      </c>
      <c r="B67" s="55">
        <v>0</v>
      </c>
      <c r="C67" s="60">
        <v>5</v>
      </c>
      <c r="D67" s="62">
        <f t="shared" si="117"/>
        <v>0</v>
      </c>
      <c r="E67" s="22"/>
      <c r="F67" s="146"/>
      <c r="G67" s="95">
        <v>46293</v>
      </c>
      <c r="H67" s="22" t="s">
        <v>43</v>
      </c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</row>
    <row r="68" spans="1:51" ht="13.2">
      <c r="A68" s="42" t="s">
        <v>41</v>
      </c>
      <c r="B68" s="55">
        <v>1</v>
      </c>
      <c r="C68" s="60">
        <v>6</v>
      </c>
      <c r="D68" s="62">
        <f t="shared" si="117"/>
        <v>0.16666666666666666</v>
      </c>
      <c r="E68" s="22"/>
      <c r="F68" s="146"/>
      <c r="G68" s="95">
        <v>46293</v>
      </c>
      <c r="H68" s="22" t="s">
        <v>43</v>
      </c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</row>
    <row r="69" spans="1:51" ht="13.2">
      <c r="A69" s="42" t="s">
        <v>48</v>
      </c>
      <c r="B69" s="55">
        <v>3</v>
      </c>
      <c r="C69" s="60">
        <v>8</v>
      </c>
      <c r="D69" s="62">
        <f t="shared" si="117"/>
        <v>0.375</v>
      </c>
      <c r="E69" s="22"/>
      <c r="F69" s="139">
        <v>5</v>
      </c>
      <c r="G69" s="95">
        <v>46293</v>
      </c>
      <c r="H69" s="22" t="s">
        <v>43</v>
      </c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</row>
    <row r="70" spans="1:51" ht="13.2">
      <c r="A70" s="85" t="s">
        <v>44</v>
      </c>
      <c r="B70" s="87">
        <f t="shared" ref="B70:C70" si="118">SUM(B66:B69)</f>
        <v>6</v>
      </c>
      <c r="C70" s="87">
        <f t="shared" si="118"/>
        <v>26</v>
      </c>
      <c r="D70" s="62">
        <f t="shared" si="117"/>
        <v>0.23076923076923078</v>
      </c>
      <c r="E70" s="22"/>
      <c r="F70" s="140">
        <f>SUM(F66:F69)</f>
        <v>5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</row>
    <row r="71" spans="1:51" ht="13.2">
      <c r="A71" s="37" t="s">
        <v>52</v>
      </c>
      <c r="B71" s="66">
        <v>0</v>
      </c>
      <c r="C71" s="57">
        <v>6</v>
      </c>
      <c r="D71" s="61">
        <f t="shared" si="117"/>
        <v>0</v>
      </c>
      <c r="E71" s="22"/>
      <c r="F71" s="139"/>
      <c r="G71" s="95">
        <v>46295</v>
      </c>
      <c r="H71" s="22" t="s">
        <v>56</v>
      </c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</row>
    <row r="72" spans="1:51" ht="13.2">
      <c r="A72" s="37" t="s">
        <v>51</v>
      </c>
      <c r="B72" s="66">
        <v>5</v>
      </c>
      <c r="C72" s="57">
        <v>5</v>
      </c>
      <c r="D72" s="61">
        <f t="shared" si="117"/>
        <v>1</v>
      </c>
      <c r="E72" s="22"/>
      <c r="F72" s="146"/>
      <c r="G72" s="95">
        <v>46295</v>
      </c>
      <c r="H72" s="22" t="s">
        <v>56</v>
      </c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</row>
    <row r="73" spans="1:51" ht="13.2">
      <c r="A73" s="37" t="s">
        <v>46</v>
      </c>
      <c r="B73" s="66">
        <v>2</v>
      </c>
      <c r="C73" s="57">
        <v>5</v>
      </c>
      <c r="D73" s="61">
        <f t="shared" si="117"/>
        <v>0.4</v>
      </c>
      <c r="E73" s="22"/>
      <c r="F73" s="146">
        <v>1</v>
      </c>
      <c r="G73" s="95">
        <v>46295</v>
      </c>
      <c r="H73" s="22" t="s">
        <v>56</v>
      </c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</row>
    <row r="74" spans="1:51" ht="13.2">
      <c r="A74" s="37" t="s">
        <v>53</v>
      </c>
      <c r="B74" s="66">
        <v>0</v>
      </c>
      <c r="C74" s="57">
        <v>9</v>
      </c>
      <c r="D74" s="61">
        <f t="shared" si="117"/>
        <v>0</v>
      </c>
      <c r="E74" s="22"/>
      <c r="F74" s="139">
        <v>1</v>
      </c>
      <c r="G74" s="95">
        <v>46295</v>
      </c>
      <c r="H74" s="22" t="s">
        <v>56</v>
      </c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</row>
    <row r="75" spans="1:51" ht="13.2">
      <c r="A75" s="76" t="s">
        <v>54</v>
      </c>
      <c r="B75" s="141">
        <f t="shared" ref="B75:C75" si="119">SUM(B71:B74)</f>
        <v>7</v>
      </c>
      <c r="C75" s="141">
        <f t="shared" si="119"/>
        <v>25</v>
      </c>
      <c r="D75" s="61">
        <f t="shared" si="117"/>
        <v>0.28000000000000003</v>
      </c>
      <c r="E75" s="22"/>
      <c r="F75" s="140">
        <f>SUM(F71:F74)</f>
        <v>2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</row>
    <row r="76" spans="1:51" ht="13.2">
      <c r="A76" s="42" t="s">
        <v>55</v>
      </c>
      <c r="B76" s="55">
        <v>11</v>
      </c>
      <c r="C76" s="60">
        <v>6</v>
      </c>
      <c r="D76" s="62">
        <f t="shared" si="117"/>
        <v>1.8333333333333333</v>
      </c>
      <c r="E76" s="22"/>
      <c r="F76" s="139">
        <v>6</v>
      </c>
      <c r="G76" s="95">
        <v>46293</v>
      </c>
      <c r="H76" s="22" t="s">
        <v>43</v>
      </c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</row>
    <row r="77" spans="1:51" ht="13.2">
      <c r="A77" s="42" t="s">
        <v>57</v>
      </c>
      <c r="B77" s="55">
        <v>4</v>
      </c>
      <c r="C77" s="60">
        <v>7</v>
      </c>
      <c r="D77" s="62">
        <f t="shared" si="117"/>
        <v>0.5714285714285714</v>
      </c>
      <c r="E77" s="22"/>
      <c r="F77" s="139"/>
      <c r="G77" s="95">
        <v>46293</v>
      </c>
      <c r="H77" s="22" t="s">
        <v>43</v>
      </c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</row>
    <row r="78" spans="1:51" ht="13.2">
      <c r="A78" s="42" t="s">
        <v>58</v>
      </c>
      <c r="B78" s="55">
        <v>0</v>
      </c>
      <c r="C78" s="60">
        <v>2</v>
      </c>
      <c r="D78" s="62">
        <f t="shared" si="117"/>
        <v>0</v>
      </c>
      <c r="E78" s="22"/>
      <c r="F78" s="146"/>
      <c r="G78" s="95">
        <v>46293</v>
      </c>
      <c r="H78" s="22" t="s">
        <v>43</v>
      </c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</row>
    <row r="79" spans="1:51" ht="13.2">
      <c r="A79" s="85" t="s">
        <v>59</v>
      </c>
      <c r="B79" s="87">
        <f t="shared" ref="B79:C79" si="120">SUM(B76:B78)</f>
        <v>15</v>
      </c>
      <c r="C79" s="87">
        <f t="shared" si="120"/>
        <v>15</v>
      </c>
      <c r="D79" s="62">
        <f t="shared" si="117"/>
        <v>1</v>
      </c>
      <c r="E79" s="22"/>
      <c r="F79" s="140">
        <f>SUM(F76:F78)</f>
        <v>6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</row>
    <row r="80" spans="1:51" ht="13.2">
      <c r="A80" s="76"/>
      <c r="B80" s="66"/>
      <c r="C80" s="66"/>
      <c r="D80" s="66"/>
      <c r="E80" s="22"/>
      <c r="F80" s="109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</row>
    <row r="81" spans="1:51" ht="13.2">
      <c r="A81" s="37"/>
      <c r="B81" s="66"/>
      <c r="C81" s="66"/>
      <c r="D81" s="66"/>
      <c r="E81" s="22"/>
      <c r="F81" s="109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</row>
    <row r="82" spans="1:51" ht="13.2">
      <c r="A82" s="96" t="s">
        <v>14</v>
      </c>
      <c r="B82" s="97">
        <f>B70+B75+B79</f>
        <v>28</v>
      </c>
      <c r="C82" s="97">
        <f>C79+C75+C70</f>
        <v>66</v>
      </c>
      <c r="D82" s="144">
        <f>B82/C82</f>
        <v>0.42424242424242425</v>
      </c>
      <c r="E82" s="147"/>
      <c r="F82" s="148">
        <f>F70+F75+F79</f>
        <v>13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</row>
    <row r="83" spans="1:51" ht="13.2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</row>
    <row r="84" spans="1:51" ht="13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</row>
    <row r="85" spans="1:51" ht="13.2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</row>
    <row r="86" spans="1:51" ht="13.2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</row>
    <row r="87" spans="1:51" ht="13.2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</row>
    <row r="88" spans="1:51" ht="13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</row>
    <row r="89" spans="1:51" ht="13.2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</row>
    <row r="90" spans="1:51" ht="13.2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</row>
    <row r="91" spans="1:51" ht="13.2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</row>
    <row r="92" spans="1:51" ht="13.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</row>
    <row r="93" spans="1:51" ht="13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</row>
    <row r="94" spans="1:51" ht="13.2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</row>
    <row r="95" spans="1:51" ht="13.2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</row>
    <row r="96" spans="1:51" ht="13.2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</row>
    <row r="97" spans="1:51" ht="13.2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</row>
    <row r="98" spans="1:51" ht="13.2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</row>
    <row r="99" spans="1:51" ht="13.2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</row>
    <row r="100" spans="1:51" ht="13.2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</row>
    <row r="101" spans="1:51" ht="13.2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</row>
    <row r="102" spans="1:51" ht="13.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</row>
    <row r="103" spans="1:51" ht="13.2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</row>
    <row r="104" spans="1:51" ht="13.2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</row>
    <row r="105" spans="1:51" ht="13.2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</row>
    <row r="106" spans="1:51" ht="13.2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</row>
    <row r="107" spans="1:51" ht="13.2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</row>
    <row r="108" spans="1:51" ht="13.2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</row>
    <row r="109" spans="1:51" ht="13.2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</row>
    <row r="110" spans="1:51" ht="13.2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</row>
    <row r="111" spans="1:51" ht="13.2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</row>
    <row r="112" spans="1:51" ht="13.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</row>
    <row r="113" spans="1:51" ht="13.2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</row>
    <row r="114" spans="1:51" ht="13.2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</row>
    <row r="115" spans="1:51" ht="13.2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</row>
    <row r="116" spans="1:51" ht="13.2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</row>
    <row r="117" spans="1:51" ht="13.2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</row>
    <row r="118" spans="1:51" ht="13.2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</row>
    <row r="119" spans="1:51" ht="13.2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</row>
    <row r="120" spans="1:51" ht="13.2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</row>
    <row r="121" spans="1:51" ht="13.2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</row>
    <row r="122" spans="1:51" ht="13.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</row>
    <row r="123" spans="1:51" ht="13.2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</row>
    <row r="124" spans="1:51" ht="13.2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</row>
    <row r="125" spans="1:51" ht="13.2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</row>
    <row r="126" spans="1:51" ht="13.2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</row>
    <row r="127" spans="1:51" ht="13.2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</row>
    <row r="128" spans="1:51" ht="13.2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</row>
    <row r="129" spans="1:51" ht="13.2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</row>
    <row r="130" spans="1:51" ht="13.2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</row>
    <row r="131" spans="1:51" ht="13.2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</row>
    <row r="132" spans="1:51" ht="13.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</row>
    <row r="133" spans="1:51" ht="13.2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</row>
    <row r="134" spans="1:51" ht="13.2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</row>
    <row r="135" spans="1:51" ht="13.2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</row>
    <row r="136" spans="1:51" ht="13.2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</row>
    <row r="137" spans="1:51" ht="13.2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</row>
    <row r="138" spans="1:51" ht="13.2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</row>
    <row r="139" spans="1:51" ht="13.2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</row>
    <row r="140" spans="1:51" ht="13.2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</row>
    <row r="141" spans="1:51" ht="13.2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</row>
    <row r="142" spans="1:51" ht="13.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</row>
    <row r="143" spans="1:51" ht="13.2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</row>
    <row r="144" spans="1:51" ht="13.2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</row>
    <row r="145" spans="1:51" ht="13.2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</row>
    <row r="146" spans="1:51" ht="13.2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</row>
    <row r="147" spans="1:51" ht="13.2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</row>
    <row r="148" spans="1:51" ht="13.2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</row>
    <row r="149" spans="1:51" ht="13.2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</row>
    <row r="150" spans="1:51" ht="13.2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</row>
    <row r="151" spans="1:51" ht="13.2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</row>
    <row r="152" spans="1:51" ht="13.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</row>
    <row r="153" spans="1:51" ht="13.2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</row>
    <row r="154" spans="1:51" ht="13.2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</row>
    <row r="155" spans="1:51" ht="13.2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</row>
    <row r="156" spans="1:51" ht="13.2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</row>
    <row r="157" spans="1:51" ht="13.2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</row>
    <row r="158" spans="1:51" ht="13.2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</row>
    <row r="159" spans="1:51" ht="13.2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</row>
    <row r="160" spans="1:51" ht="13.2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</row>
    <row r="161" spans="1:51" ht="13.2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</row>
    <row r="162" spans="1:51" ht="13.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</row>
    <row r="163" spans="1:51" ht="13.2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</row>
    <row r="164" spans="1:51" ht="13.2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</row>
    <row r="165" spans="1:51" ht="13.2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</row>
    <row r="166" spans="1:51" ht="13.2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</row>
    <row r="167" spans="1:51" ht="13.2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</row>
    <row r="168" spans="1:51" ht="13.2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</row>
    <row r="169" spans="1:51" ht="13.2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</row>
    <row r="170" spans="1:51" ht="13.2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</row>
    <row r="171" spans="1:51" ht="13.2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</row>
    <row r="172" spans="1:51" ht="13.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</row>
    <row r="173" spans="1:51" ht="13.2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</row>
    <row r="174" spans="1:51" ht="13.2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</row>
    <row r="175" spans="1:51" ht="13.2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</row>
    <row r="176" spans="1:51" ht="13.2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</row>
    <row r="177" spans="1:51" ht="13.2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</row>
    <row r="178" spans="1:51" ht="13.2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</row>
    <row r="179" spans="1:51" ht="13.2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</row>
    <row r="180" spans="1:51" ht="13.2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</row>
    <row r="181" spans="1:51" ht="13.2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</row>
    <row r="182" spans="1:51" ht="13.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</row>
    <row r="183" spans="1:51" ht="13.2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</row>
    <row r="184" spans="1:51" ht="13.2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</row>
    <row r="185" spans="1:51" ht="13.2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</row>
    <row r="186" spans="1:51" ht="13.2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</row>
    <row r="187" spans="1:51" ht="13.2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</row>
    <row r="188" spans="1:51" ht="13.2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</row>
    <row r="189" spans="1:51" ht="13.2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</row>
    <row r="190" spans="1:51" ht="13.2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</row>
    <row r="191" spans="1:51" ht="13.2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</row>
    <row r="192" spans="1:51" ht="13.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</row>
    <row r="193" spans="1:51" ht="13.2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</row>
    <row r="194" spans="1:51" ht="13.2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</row>
    <row r="195" spans="1:51" ht="13.2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</row>
    <row r="196" spans="1:51" ht="13.2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</row>
    <row r="197" spans="1:51" ht="13.2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</row>
    <row r="198" spans="1:51" ht="13.2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</row>
    <row r="199" spans="1:51" ht="13.2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</row>
    <row r="200" spans="1:51" ht="13.2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</row>
    <row r="201" spans="1:51" ht="13.2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</row>
    <row r="202" spans="1:51" ht="13.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</row>
    <row r="203" spans="1:51" ht="13.2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</row>
    <row r="204" spans="1:51" ht="13.2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</row>
    <row r="205" spans="1:51" ht="13.2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</row>
    <row r="206" spans="1:51" ht="13.2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</row>
    <row r="207" spans="1:51" ht="13.2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</row>
    <row r="208" spans="1:51" ht="13.2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</row>
    <row r="209" spans="1:51" ht="13.2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</row>
    <row r="210" spans="1:51" ht="13.2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</row>
    <row r="211" spans="1:51" ht="13.2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</row>
    <row r="212" spans="1:51" ht="13.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</row>
    <row r="213" spans="1:51" ht="13.2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</row>
    <row r="214" spans="1:51" ht="13.2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</row>
    <row r="215" spans="1:51" ht="13.2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</row>
    <row r="216" spans="1:51" ht="13.2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</row>
    <row r="217" spans="1:51" ht="13.2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</row>
    <row r="218" spans="1:51" ht="13.2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</row>
    <row r="219" spans="1:51" ht="13.2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</row>
    <row r="220" spans="1:51" ht="13.2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</row>
    <row r="221" spans="1:51" ht="13.2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</row>
    <row r="222" spans="1:51" ht="13.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</row>
    <row r="223" spans="1:51" ht="13.2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</row>
    <row r="224" spans="1:51" ht="13.2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</row>
    <row r="225" spans="1:51" ht="13.2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</row>
    <row r="226" spans="1:51" ht="13.2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</row>
    <row r="227" spans="1:51" ht="13.2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</row>
    <row r="228" spans="1:51" ht="13.2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</row>
    <row r="229" spans="1:51" ht="13.2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</row>
    <row r="230" spans="1:51" ht="13.2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</row>
    <row r="231" spans="1:51" ht="13.2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</row>
    <row r="232" spans="1:51" ht="13.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</row>
    <row r="233" spans="1:51" ht="13.2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</row>
    <row r="234" spans="1:51" ht="13.2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</row>
    <row r="235" spans="1:51" ht="13.2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</row>
    <row r="236" spans="1:51" ht="13.2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</row>
    <row r="237" spans="1:51" ht="13.2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</row>
    <row r="238" spans="1:51" ht="13.2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</row>
    <row r="239" spans="1:51" ht="13.2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</row>
    <row r="240" spans="1:51" ht="13.2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</row>
    <row r="241" spans="1:51" ht="13.2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</row>
    <row r="242" spans="1:51" ht="13.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</row>
    <row r="243" spans="1:51" ht="13.2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</row>
    <row r="244" spans="1:51" ht="13.2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</row>
    <row r="245" spans="1:51" ht="13.2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</row>
    <row r="246" spans="1:51" ht="13.2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</row>
    <row r="247" spans="1:51" ht="13.2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</row>
    <row r="248" spans="1:51" ht="13.2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</row>
    <row r="249" spans="1:51" ht="13.2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</row>
    <row r="250" spans="1:51" ht="13.2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</row>
    <row r="251" spans="1:51" ht="13.2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</row>
    <row r="252" spans="1:51" ht="13.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</row>
    <row r="253" spans="1:51" ht="13.2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</row>
    <row r="254" spans="1:51" ht="13.2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</row>
    <row r="255" spans="1:51" ht="13.2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</row>
    <row r="256" spans="1:51" ht="13.2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</row>
    <row r="257" spans="1:51" ht="13.2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</row>
    <row r="258" spans="1:51" ht="13.2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</row>
    <row r="259" spans="1:51" ht="13.2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</row>
    <row r="260" spans="1:51" ht="13.2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</row>
    <row r="261" spans="1:51" ht="13.2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</row>
    <row r="262" spans="1:51" ht="13.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</row>
    <row r="263" spans="1:51" ht="13.2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</row>
    <row r="264" spans="1:51" ht="13.2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</row>
    <row r="265" spans="1:51" ht="13.2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</row>
    <row r="266" spans="1:51" ht="13.2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</row>
    <row r="267" spans="1:51" ht="13.2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</row>
    <row r="268" spans="1:51" ht="13.2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</row>
    <row r="269" spans="1:51" ht="13.2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</row>
    <row r="270" spans="1:51" ht="13.2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</row>
    <row r="271" spans="1:51" ht="13.2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</row>
    <row r="272" spans="1:51" ht="13.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</row>
    <row r="273" spans="1:51" ht="13.2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</row>
    <row r="274" spans="1:51" ht="13.2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</row>
    <row r="275" spans="1:51" ht="13.2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</row>
    <row r="276" spans="1:51" ht="13.2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</row>
    <row r="277" spans="1:51" ht="13.2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</row>
    <row r="278" spans="1:51" ht="13.2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</row>
    <row r="279" spans="1:51" ht="13.2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</row>
    <row r="280" spans="1:51" ht="13.2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</row>
    <row r="281" spans="1:51" ht="13.2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</row>
    <row r="282" spans="1:51" ht="13.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</row>
    <row r="283" spans="1:51" ht="13.2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</row>
    <row r="284" spans="1:51" ht="13.2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</row>
    <row r="285" spans="1:51" ht="13.2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</row>
    <row r="286" spans="1:51" ht="13.2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</row>
    <row r="287" spans="1:51" ht="13.2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</row>
    <row r="288" spans="1:51" ht="13.2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</row>
    <row r="289" spans="1:51" ht="13.2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</row>
    <row r="290" spans="1:51" ht="13.2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</row>
    <row r="291" spans="1:51" ht="13.2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</row>
    <row r="292" spans="1:51" ht="13.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</row>
    <row r="293" spans="1:51" ht="13.2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</row>
    <row r="294" spans="1:51" ht="13.2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</row>
    <row r="295" spans="1:51" ht="13.2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</row>
    <row r="296" spans="1:51" ht="13.2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</row>
    <row r="297" spans="1:51" ht="13.2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</row>
    <row r="298" spans="1:51" ht="13.2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</row>
    <row r="299" spans="1:51" ht="13.2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</row>
    <row r="300" spans="1:51" ht="13.2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</row>
    <row r="301" spans="1:51" ht="13.2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</row>
    <row r="302" spans="1:51" ht="13.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</row>
    <row r="303" spans="1:51" ht="13.2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</row>
    <row r="304" spans="1:51" ht="13.2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</row>
    <row r="305" spans="1:51" ht="13.2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</row>
    <row r="306" spans="1:51" ht="13.2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</row>
    <row r="307" spans="1:51" ht="13.2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</row>
    <row r="308" spans="1:51" ht="13.2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</row>
    <row r="309" spans="1:51" ht="13.2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</row>
    <row r="310" spans="1:51" ht="13.2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</row>
    <row r="311" spans="1:51" ht="13.2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</row>
    <row r="312" spans="1:51" ht="13.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</row>
    <row r="313" spans="1:51" ht="13.2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</row>
    <row r="314" spans="1:51" ht="13.2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</row>
    <row r="315" spans="1:51" ht="13.2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</row>
    <row r="316" spans="1:51" ht="13.2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</row>
    <row r="317" spans="1:51" ht="13.2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</row>
    <row r="318" spans="1:51" ht="13.2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</row>
    <row r="319" spans="1:51" ht="13.2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</row>
    <row r="320" spans="1:51" ht="13.2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</row>
    <row r="321" spans="1:51" ht="13.2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</row>
    <row r="322" spans="1:51" ht="13.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</row>
    <row r="323" spans="1:51" ht="13.2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</row>
    <row r="324" spans="1:51" ht="13.2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</row>
    <row r="325" spans="1:51" ht="13.2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</row>
    <row r="326" spans="1:51" ht="13.2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</row>
    <row r="327" spans="1:51" ht="13.2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</row>
    <row r="328" spans="1:51" ht="13.2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</row>
    <row r="329" spans="1:51" ht="13.2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</row>
    <row r="330" spans="1:51" ht="13.2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</row>
    <row r="331" spans="1:51" ht="13.2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</row>
    <row r="332" spans="1:51" ht="13.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</row>
    <row r="333" spans="1:51" ht="13.2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</row>
    <row r="334" spans="1:51" ht="13.2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</row>
    <row r="335" spans="1:51" ht="13.2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</row>
    <row r="336" spans="1:51" ht="13.2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</row>
    <row r="337" spans="1:51" ht="13.2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</row>
    <row r="338" spans="1:51" ht="13.2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</row>
    <row r="339" spans="1:51" ht="13.2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</row>
    <row r="340" spans="1:51" ht="13.2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</row>
    <row r="341" spans="1:51" ht="13.2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</row>
    <row r="342" spans="1:51" ht="13.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</row>
    <row r="343" spans="1:51" ht="13.2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</row>
    <row r="344" spans="1:51" ht="13.2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</row>
    <row r="345" spans="1:51" ht="13.2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</row>
    <row r="346" spans="1:51" ht="13.2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</row>
    <row r="347" spans="1:51" ht="13.2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</row>
    <row r="348" spans="1:51" ht="13.2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</row>
    <row r="349" spans="1:51" ht="13.2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</row>
    <row r="350" spans="1:51" ht="13.2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</row>
    <row r="351" spans="1:51" ht="13.2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</row>
    <row r="352" spans="1:51" ht="13.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</row>
    <row r="353" spans="1:51" ht="13.2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</row>
    <row r="354" spans="1:51" ht="13.2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</row>
    <row r="355" spans="1:51" ht="13.2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</row>
    <row r="356" spans="1:51" ht="13.2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</row>
    <row r="357" spans="1:51" ht="13.2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</row>
    <row r="358" spans="1:51" ht="13.2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</row>
    <row r="359" spans="1:51" ht="13.2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</row>
    <row r="360" spans="1:51" ht="13.2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</row>
    <row r="361" spans="1:51" ht="13.2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</row>
    <row r="362" spans="1:51" ht="13.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</row>
    <row r="363" spans="1:51" ht="13.2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</row>
    <row r="364" spans="1:51" ht="13.2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</row>
    <row r="365" spans="1:51" ht="13.2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</row>
    <row r="366" spans="1:51" ht="13.2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</row>
    <row r="367" spans="1:51" ht="13.2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</row>
    <row r="368" spans="1:51" ht="13.2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</row>
    <row r="369" spans="1:51" ht="13.2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</row>
    <row r="370" spans="1:51" ht="13.2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</row>
    <row r="371" spans="1:51" ht="13.2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</row>
    <row r="372" spans="1:51" ht="13.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</row>
    <row r="373" spans="1:51" ht="13.2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</row>
    <row r="374" spans="1:51" ht="13.2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</row>
    <row r="375" spans="1:51" ht="13.2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</row>
    <row r="376" spans="1:51" ht="13.2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</row>
    <row r="377" spans="1:51" ht="13.2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</row>
    <row r="378" spans="1:51" ht="13.2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</row>
    <row r="379" spans="1:51" ht="13.2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</row>
    <row r="380" spans="1:51" ht="13.2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</row>
    <row r="381" spans="1:51" ht="13.2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</row>
    <row r="382" spans="1:51" ht="13.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</row>
    <row r="383" spans="1:51" ht="13.2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</row>
    <row r="384" spans="1:51" ht="13.2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</row>
    <row r="385" spans="1:51" ht="13.2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</row>
    <row r="386" spans="1:51" ht="13.2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</row>
    <row r="387" spans="1:51" ht="13.2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</row>
    <row r="388" spans="1:51" ht="13.2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</row>
    <row r="389" spans="1:51" ht="13.2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</row>
    <row r="390" spans="1:51" ht="13.2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</row>
    <row r="391" spans="1:51" ht="13.2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</row>
    <row r="392" spans="1:51" ht="13.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</row>
    <row r="393" spans="1:51" ht="13.2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</row>
    <row r="394" spans="1:51" ht="13.2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</row>
    <row r="395" spans="1:51" ht="13.2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</row>
    <row r="396" spans="1:51" ht="13.2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</row>
    <row r="397" spans="1:51" ht="13.2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</row>
    <row r="398" spans="1:51" ht="13.2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</row>
    <row r="399" spans="1:51" ht="13.2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</row>
    <row r="400" spans="1:51" ht="13.2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</row>
    <row r="401" spans="1:51" ht="13.2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</row>
    <row r="402" spans="1:51" ht="13.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</row>
    <row r="403" spans="1:51" ht="13.2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</row>
    <row r="404" spans="1:51" ht="13.2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</row>
    <row r="405" spans="1:51" ht="13.2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</row>
    <row r="406" spans="1:51" ht="13.2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</row>
    <row r="407" spans="1:51" ht="13.2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</row>
    <row r="408" spans="1:51" ht="13.2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</row>
    <row r="409" spans="1:51" ht="13.2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</row>
    <row r="410" spans="1:51" ht="13.2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</row>
    <row r="411" spans="1:51" ht="13.2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</row>
    <row r="412" spans="1:51" ht="13.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</row>
    <row r="413" spans="1:51" ht="13.2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</row>
    <row r="414" spans="1:51" ht="13.2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</row>
    <row r="415" spans="1:51" ht="13.2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</row>
    <row r="416" spans="1:51" ht="13.2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</row>
    <row r="417" spans="1:51" ht="13.2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</row>
    <row r="418" spans="1:51" ht="13.2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</row>
    <row r="419" spans="1:51" ht="13.2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</row>
    <row r="420" spans="1:51" ht="13.2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</row>
    <row r="421" spans="1:51" ht="13.2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</row>
    <row r="422" spans="1:51" ht="13.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</row>
    <row r="423" spans="1:51" ht="13.2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</row>
    <row r="424" spans="1:51" ht="13.2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</row>
    <row r="425" spans="1:51" ht="13.2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</row>
    <row r="426" spans="1:51" ht="13.2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</row>
    <row r="427" spans="1:51" ht="13.2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</row>
    <row r="428" spans="1:51" ht="13.2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</row>
    <row r="429" spans="1:51" ht="13.2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</row>
    <row r="430" spans="1:51" ht="13.2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</row>
    <row r="431" spans="1:51" ht="13.2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</row>
    <row r="432" spans="1:51" ht="13.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</row>
    <row r="433" spans="1:51" ht="13.2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</row>
    <row r="434" spans="1:51" ht="13.2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</row>
    <row r="435" spans="1:51" ht="13.2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</row>
    <row r="436" spans="1:51" ht="13.2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</row>
    <row r="437" spans="1:51" ht="13.2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</row>
    <row r="438" spans="1:51" ht="13.2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</row>
    <row r="439" spans="1:51" ht="13.2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</row>
    <row r="440" spans="1:51" ht="13.2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</row>
    <row r="441" spans="1:51" ht="13.2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</row>
    <row r="442" spans="1:51" ht="13.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</row>
    <row r="443" spans="1:51" ht="13.2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</row>
    <row r="444" spans="1:51" ht="13.2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</row>
    <row r="445" spans="1:51" ht="13.2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</row>
    <row r="446" spans="1:51" ht="13.2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</row>
    <row r="447" spans="1:51" ht="13.2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</row>
    <row r="448" spans="1:51" ht="13.2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</row>
    <row r="449" spans="1:51" ht="13.2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</row>
    <row r="450" spans="1:51" ht="13.2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</row>
    <row r="451" spans="1:51" ht="13.2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</row>
    <row r="452" spans="1:51" ht="13.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</row>
    <row r="453" spans="1:51" ht="13.2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</row>
    <row r="454" spans="1:51" ht="13.2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</row>
    <row r="455" spans="1:51" ht="13.2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</row>
    <row r="456" spans="1:51" ht="13.2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</row>
    <row r="457" spans="1:51" ht="13.2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</row>
    <row r="458" spans="1:51" ht="13.2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</row>
    <row r="459" spans="1:51" ht="13.2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</row>
    <row r="460" spans="1:51" ht="13.2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</row>
    <row r="461" spans="1:51" ht="13.2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</row>
    <row r="462" spans="1:51" ht="13.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</row>
    <row r="463" spans="1:51" ht="13.2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</row>
    <row r="464" spans="1:51" ht="13.2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</row>
    <row r="465" spans="1:51" ht="13.2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</row>
    <row r="466" spans="1:51" ht="13.2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</row>
    <row r="467" spans="1:51" ht="13.2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</row>
    <row r="468" spans="1:51" ht="13.2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</row>
    <row r="469" spans="1:51" ht="13.2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</row>
    <row r="470" spans="1:51" ht="13.2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</row>
    <row r="471" spans="1:51" ht="13.2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</row>
    <row r="472" spans="1:51" ht="13.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</row>
    <row r="473" spans="1:51" ht="13.2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</row>
    <row r="474" spans="1:51" ht="13.2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</row>
    <row r="475" spans="1:51" ht="13.2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</row>
    <row r="476" spans="1:51" ht="13.2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</row>
    <row r="477" spans="1:51" ht="13.2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</row>
    <row r="478" spans="1:51" ht="13.2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</row>
    <row r="479" spans="1:51" ht="13.2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</row>
    <row r="480" spans="1:51" ht="13.2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</row>
    <row r="481" spans="1:51" ht="13.2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</row>
    <row r="482" spans="1:51" ht="13.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</row>
    <row r="483" spans="1:51" ht="13.2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</row>
    <row r="484" spans="1:51" ht="13.2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</row>
    <row r="485" spans="1:51" ht="13.2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</row>
    <row r="486" spans="1:51" ht="13.2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</row>
    <row r="487" spans="1:51" ht="13.2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</row>
    <row r="488" spans="1:51" ht="13.2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</row>
    <row r="489" spans="1:51" ht="13.2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</row>
    <row r="490" spans="1:51" ht="13.2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</row>
    <row r="491" spans="1:51" ht="13.2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</row>
    <row r="492" spans="1:51" ht="13.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</row>
    <row r="493" spans="1:51" ht="13.2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</row>
    <row r="494" spans="1:51" ht="13.2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</row>
    <row r="495" spans="1:51" ht="13.2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</row>
    <row r="496" spans="1:51" ht="13.2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</row>
    <row r="497" spans="1:51" ht="13.2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</row>
    <row r="498" spans="1:51" ht="13.2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</row>
    <row r="499" spans="1:51" ht="13.2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</row>
    <row r="500" spans="1:51" ht="13.2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</row>
    <row r="501" spans="1:51" ht="13.2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</row>
    <row r="502" spans="1:51" ht="13.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</row>
    <row r="503" spans="1:51" ht="13.2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</row>
    <row r="504" spans="1:51" ht="13.2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</row>
    <row r="505" spans="1:51" ht="13.2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</row>
    <row r="506" spans="1:51" ht="13.2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</row>
    <row r="507" spans="1:51" ht="13.2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</row>
    <row r="508" spans="1:51" ht="13.2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</row>
    <row r="509" spans="1:51" ht="13.2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</row>
    <row r="510" spans="1:51" ht="13.2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</row>
    <row r="511" spans="1:51" ht="13.2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</row>
    <row r="512" spans="1:51" ht="13.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</row>
    <row r="513" spans="1:51" ht="13.2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</row>
    <row r="514" spans="1:51" ht="13.2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</row>
    <row r="515" spans="1:51" ht="13.2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</row>
    <row r="516" spans="1:51" ht="13.2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</row>
    <row r="517" spans="1:51" ht="13.2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</row>
    <row r="518" spans="1:51" ht="13.2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</row>
    <row r="519" spans="1:51" ht="13.2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</row>
    <row r="520" spans="1:51" ht="13.2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</row>
    <row r="521" spans="1:51" ht="13.2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</row>
    <row r="522" spans="1:51" ht="13.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</row>
    <row r="523" spans="1:51" ht="13.2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</row>
    <row r="524" spans="1:51" ht="13.2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</row>
    <row r="525" spans="1:51" ht="13.2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</row>
    <row r="526" spans="1:51" ht="13.2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</row>
    <row r="527" spans="1:51" ht="13.2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</row>
    <row r="528" spans="1:51" ht="13.2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</row>
    <row r="529" spans="1:51" ht="13.2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</row>
    <row r="530" spans="1:51" ht="13.2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</row>
    <row r="531" spans="1:51" ht="13.2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</row>
    <row r="532" spans="1:51" ht="13.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</row>
    <row r="533" spans="1:51" ht="13.2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</row>
    <row r="534" spans="1:51" ht="13.2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</row>
    <row r="535" spans="1:51" ht="13.2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</row>
    <row r="536" spans="1:51" ht="13.2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</row>
    <row r="537" spans="1:51" ht="13.2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</row>
    <row r="538" spans="1:51" ht="13.2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</row>
    <row r="539" spans="1:51" ht="13.2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</row>
    <row r="540" spans="1:51" ht="13.2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</row>
    <row r="541" spans="1:51" ht="13.2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</row>
    <row r="542" spans="1:51" ht="13.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</row>
    <row r="543" spans="1:51" ht="13.2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</row>
    <row r="544" spans="1:51" ht="13.2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</row>
    <row r="545" spans="1:51" ht="13.2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</row>
    <row r="546" spans="1:51" ht="13.2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</row>
    <row r="547" spans="1:51" ht="13.2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</row>
    <row r="548" spans="1:51" ht="13.2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</row>
    <row r="549" spans="1:51" ht="13.2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</row>
    <row r="550" spans="1:51" ht="13.2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</row>
    <row r="551" spans="1:51" ht="13.2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</row>
    <row r="552" spans="1:51" ht="13.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</row>
    <row r="553" spans="1:51" ht="13.2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</row>
    <row r="554" spans="1:51" ht="13.2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</row>
    <row r="555" spans="1:51" ht="13.2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</row>
    <row r="556" spans="1:51" ht="13.2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</row>
    <row r="557" spans="1:51" ht="13.2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</row>
    <row r="558" spans="1:51" ht="13.2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</row>
    <row r="559" spans="1:51" ht="13.2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</row>
    <row r="560" spans="1:51" ht="13.2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</row>
    <row r="561" spans="1:51" ht="13.2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</row>
    <row r="562" spans="1:51" ht="13.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</row>
    <row r="563" spans="1:51" ht="13.2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</row>
    <row r="564" spans="1:51" ht="13.2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</row>
    <row r="565" spans="1:51" ht="13.2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</row>
    <row r="566" spans="1:51" ht="13.2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</row>
    <row r="567" spans="1:51" ht="13.2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</row>
    <row r="568" spans="1:51" ht="13.2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</row>
    <row r="569" spans="1:51" ht="13.2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</row>
    <row r="570" spans="1:51" ht="13.2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</row>
    <row r="571" spans="1:51" ht="13.2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</row>
    <row r="572" spans="1:51" ht="13.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</row>
    <row r="573" spans="1:51" ht="13.2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</row>
    <row r="574" spans="1:51" ht="13.2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</row>
    <row r="575" spans="1:51" ht="13.2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</row>
    <row r="576" spans="1:51" ht="13.2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</row>
    <row r="577" spans="1:51" ht="13.2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</row>
    <row r="578" spans="1:51" ht="13.2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</row>
    <row r="579" spans="1:51" ht="13.2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</row>
    <row r="580" spans="1:51" ht="13.2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</row>
    <row r="581" spans="1:51" ht="13.2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</row>
    <row r="582" spans="1:51" ht="13.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</row>
    <row r="583" spans="1:51" ht="13.2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</row>
    <row r="584" spans="1:51" ht="13.2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</row>
    <row r="585" spans="1:51" ht="13.2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</row>
    <row r="586" spans="1:51" ht="13.2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</row>
    <row r="587" spans="1:51" ht="13.2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</row>
    <row r="588" spans="1:51" ht="13.2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</row>
    <row r="589" spans="1:51" ht="13.2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</row>
    <row r="590" spans="1:51" ht="13.2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</row>
    <row r="591" spans="1:51" ht="13.2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</row>
    <row r="592" spans="1:51" ht="13.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</row>
    <row r="593" spans="1:51" ht="13.2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</row>
    <row r="594" spans="1:51" ht="13.2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</row>
    <row r="595" spans="1:51" ht="13.2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</row>
    <row r="596" spans="1:51" ht="13.2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</row>
    <row r="597" spans="1:51" ht="13.2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</row>
    <row r="598" spans="1:51" ht="13.2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</row>
    <row r="599" spans="1:51" ht="13.2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</row>
    <row r="600" spans="1:51" ht="13.2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</row>
    <row r="601" spans="1:51" ht="13.2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</row>
    <row r="602" spans="1:51" ht="13.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</row>
    <row r="603" spans="1:51" ht="13.2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</row>
    <row r="604" spans="1:51" ht="13.2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</row>
    <row r="605" spans="1:51" ht="13.2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</row>
    <row r="606" spans="1:51" ht="13.2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</row>
    <row r="607" spans="1:51" ht="13.2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</row>
    <row r="608" spans="1:51" ht="13.2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</row>
    <row r="609" spans="1:51" ht="13.2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</row>
    <row r="610" spans="1:51" ht="13.2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</row>
    <row r="611" spans="1:51" ht="13.2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</row>
    <row r="612" spans="1:51" ht="13.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</row>
    <row r="613" spans="1:51" ht="13.2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</row>
    <row r="614" spans="1:51" ht="13.2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</row>
    <row r="615" spans="1:51" ht="13.2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</row>
    <row r="616" spans="1:51" ht="13.2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</row>
    <row r="617" spans="1:51" ht="13.2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</row>
    <row r="618" spans="1:51" ht="13.2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</row>
    <row r="619" spans="1:51" ht="13.2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</row>
    <row r="620" spans="1:51" ht="13.2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</row>
    <row r="621" spans="1:51" ht="13.2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</row>
    <row r="622" spans="1:51" ht="13.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</row>
    <row r="623" spans="1:51" ht="13.2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</row>
    <row r="624" spans="1:51" ht="13.2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</row>
    <row r="625" spans="1:51" ht="13.2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</row>
    <row r="626" spans="1:51" ht="13.2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</row>
    <row r="627" spans="1:51" ht="13.2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</row>
    <row r="628" spans="1:51" ht="13.2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</row>
    <row r="629" spans="1:51" ht="13.2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</row>
    <row r="630" spans="1:51" ht="13.2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</row>
    <row r="631" spans="1:51" ht="13.2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</row>
    <row r="632" spans="1:51" ht="13.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</row>
    <row r="633" spans="1:51" ht="13.2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</row>
    <row r="634" spans="1:51" ht="13.2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</row>
    <row r="635" spans="1:51" ht="13.2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</row>
    <row r="636" spans="1:51" ht="13.2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</row>
    <row r="637" spans="1:51" ht="13.2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</row>
    <row r="638" spans="1:51" ht="13.2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</row>
    <row r="639" spans="1:51" ht="13.2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</row>
    <row r="640" spans="1:51" ht="13.2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</row>
    <row r="641" spans="1:51" ht="13.2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</row>
    <row r="642" spans="1:51" ht="13.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</row>
    <row r="643" spans="1:51" ht="13.2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</row>
    <row r="644" spans="1:51" ht="13.2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</row>
    <row r="645" spans="1:51" ht="13.2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</row>
    <row r="646" spans="1:51" ht="13.2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</row>
    <row r="647" spans="1:51" ht="13.2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</row>
    <row r="648" spans="1:51" ht="13.2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</row>
    <row r="649" spans="1:51" ht="13.2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</row>
    <row r="650" spans="1:51" ht="13.2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</row>
    <row r="651" spans="1:51" ht="13.2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</row>
    <row r="652" spans="1:51" ht="13.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</row>
    <row r="653" spans="1:51" ht="13.2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</row>
    <row r="654" spans="1:51" ht="13.2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</row>
    <row r="655" spans="1:51" ht="13.2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</row>
    <row r="656" spans="1:51" ht="13.2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</row>
    <row r="657" spans="1:51" ht="13.2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</row>
    <row r="658" spans="1:51" ht="13.2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</row>
    <row r="659" spans="1:51" ht="13.2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</row>
    <row r="660" spans="1:51" ht="13.2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</row>
    <row r="661" spans="1:51" ht="13.2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</row>
    <row r="662" spans="1:51" ht="13.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</row>
    <row r="663" spans="1:51" ht="13.2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</row>
    <row r="664" spans="1:51" ht="13.2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</row>
    <row r="665" spans="1:51" ht="13.2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</row>
    <row r="666" spans="1:51" ht="13.2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</row>
    <row r="667" spans="1:51" ht="13.2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</row>
    <row r="668" spans="1:51" ht="13.2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</row>
    <row r="669" spans="1:51" ht="13.2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</row>
    <row r="670" spans="1:51" ht="13.2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</row>
    <row r="671" spans="1:51" ht="13.2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</row>
    <row r="672" spans="1:51" ht="13.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</row>
    <row r="673" spans="1:51" ht="13.2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</row>
    <row r="674" spans="1:51" ht="13.2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</row>
    <row r="675" spans="1:51" ht="13.2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</row>
    <row r="676" spans="1:51" ht="13.2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</row>
    <row r="677" spans="1:51" ht="13.2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</row>
    <row r="678" spans="1:51" ht="13.2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</row>
    <row r="679" spans="1:51" ht="13.2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</row>
    <row r="680" spans="1:51" ht="13.2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</row>
    <row r="681" spans="1:51" ht="13.2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</row>
    <row r="682" spans="1:51" ht="13.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</row>
    <row r="683" spans="1:51" ht="13.2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</row>
    <row r="684" spans="1:51" ht="13.2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</row>
    <row r="685" spans="1:51" ht="13.2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</row>
    <row r="686" spans="1:51" ht="13.2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</row>
    <row r="687" spans="1:51" ht="13.2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</row>
    <row r="688" spans="1:51" ht="13.2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</row>
    <row r="689" spans="1:51" ht="13.2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</row>
    <row r="690" spans="1:51" ht="13.2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</row>
    <row r="691" spans="1:51" ht="13.2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</row>
    <row r="692" spans="1:51" ht="13.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</row>
    <row r="693" spans="1:51" ht="13.2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</row>
    <row r="694" spans="1:51" ht="13.2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</row>
    <row r="695" spans="1:51" ht="13.2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</row>
    <row r="696" spans="1:51" ht="13.2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</row>
    <row r="697" spans="1:51" ht="13.2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</row>
    <row r="698" spans="1:51" ht="13.2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</row>
    <row r="699" spans="1:51" ht="13.2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</row>
    <row r="700" spans="1:51" ht="13.2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</row>
    <row r="701" spans="1:51" ht="13.2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</row>
    <row r="702" spans="1:51" ht="13.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</row>
    <row r="703" spans="1:51" ht="13.2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</row>
    <row r="704" spans="1:51" ht="13.2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</row>
    <row r="705" spans="1:51" ht="13.2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</row>
    <row r="706" spans="1:51" ht="13.2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</row>
    <row r="707" spans="1:51" ht="13.2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</row>
    <row r="708" spans="1:51" ht="13.2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</row>
    <row r="709" spans="1:51" ht="13.2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</row>
    <row r="710" spans="1:51" ht="13.2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</row>
    <row r="711" spans="1:51" ht="13.2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</row>
    <row r="712" spans="1:51" ht="13.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</row>
    <row r="713" spans="1:51" ht="13.2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</row>
    <row r="714" spans="1:51" ht="13.2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</row>
    <row r="715" spans="1:51" ht="13.2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</row>
    <row r="716" spans="1:51" ht="13.2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</row>
    <row r="717" spans="1:51" ht="13.2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</row>
    <row r="718" spans="1:51" ht="13.2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</row>
    <row r="719" spans="1:51" ht="13.2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</row>
    <row r="720" spans="1:51" ht="13.2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</row>
    <row r="721" spans="1:51" ht="13.2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</row>
    <row r="722" spans="1:51" ht="13.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</row>
    <row r="723" spans="1:51" ht="13.2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</row>
    <row r="724" spans="1:51" ht="13.2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</row>
    <row r="725" spans="1:51" ht="13.2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</row>
    <row r="726" spans="1:51" ht="13.2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</row>
    <row r="727" spans="1:51" ht="13.2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</row>
    <row r="728" spans="1:51" ht="13.2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</row>
    <row r="729" spans="1:51" ht="13.2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</row>
    <row r="730" spans="1:51" ht="13.2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</row>
    <row r="731" spans="1:51" ht="13.2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</row>
    <row r="732" spans="1:51" ht="13.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</row>
    <row r="733" spans="1:51" ht="13.2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</row>
    <row r="734" spans="1:51" ht="13.2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</row>
    <row r="735" spans="1:51" ht="13.2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</row>
    <row r="736" spans="1:51" ht="13.2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</row>
    <row r="737" spans="1:51" ht="13.2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</row>
    <row r="738" spans="1:51" ht="13.2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</row>
    <row r="739" spans="1:51" ht="13.2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</row>
    <row r="740" spans="1:51" ht="13.2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</row>
    <row r="741" spans="1:51" ht="13.2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</row>
    <row r="742" spans="1:51" ht="13.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</row>
    <row r="743" spans="1:51" ht="13.2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</row>
    <row r="744" spans="1:51" ht="13.2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</row>
    <row r="745" spans="1:51" ht="13.2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</row>
    <row r="746" spans="1:51" ht="13.2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</row>
    <row r="747" spans="1:51" ht="13.2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</row>
    <row r="748" spans="1:51" ht="13.2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</row>
    <row r="749" spans="1:51" ht="13.2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</row>
    <row r="750" spans="1:51" ht="13.2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</row>
    <row r="751" spans="1:51" ht="13.2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</row>
    <row r="752" spans="1:51" ht="13.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</row>
    <row r="753" spans="1:51" ht="13.2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</row>
    <row r="754" spans="1:51" ht="13.2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</row>
    <row r="755" spans="1:51" ht="13.2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</row>
    <row r="756" spans="1:51" ht="13.2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</row>
    <row r="757" spans="1:51" ht="13.2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</row>
    <row r="758" spans="1:51" ht="13.2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</row>
    <row r="759" spans="1:51" ht="13.2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</row>
    <row r="760" spans="1:51" ht="13.2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</row>
    <row r="761" spans="1:51" ht="13.2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</row>
    <row r="762" spans="1:51" ht="13.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</row>
    <row r="763" spans="1:51" ht="13.2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</row>
    <row r="764" spans="1:51" ht="13.2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</row>
    <row r="765" spans="1:51" ht="13.2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</row>
    <row r="766" spans="1:51" ht="13.2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</row>
    <row r="767" spans="1:51" ht="13.2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</row>
    <row r="768" spans="1:51" ht="13.2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</row>
    <row r="769" spans="1:51" ht="13.2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</row>
    <row r="770" spans="1:51" ht="13.2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</row>
    <row r="771" spans="1:51" ht="13.2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</row>
    <row r="772" spans="1:51" ht="13.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</row>
    <row r="773" spans="1:51" ht="13.2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</row>
    <row r="774" spans="1:51" ht="13.2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</row>
    <row r="775" spans="1:51" ht="13.2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</row>
    <row r="776" spans="1:51" ht="13.2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</row>
    <row r="777" spans="1:51" ht="13.2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</row>
    <row r="778" spans="1:51" ht="13.2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</row>
    <row r="779" spans="1:51" ht="13.2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</row>
    <row r="780" spans="1:51" ht="13.2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</row>
    <row r="781" spans="1:51" ht="13.2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</row>
    <row r="782" spans="1:51" ht="13.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</row>
    <row r="783" spans="1:51" ht="13.2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</row>
    <row r="784" spans="1:51" ht="13.2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</row>
    <row r="785" spans="1:51" ht="13.2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</row>
    <row r="786" spans="1:51" ht="13.2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</row>
    <row r="787" spans="1:51" ht="13.2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</row>
    <row r="788" spans="1:51" ht="13.2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</row>
    <row r="789" spans="1:51" ht="13.2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</row>
    <row r="790" spans="1:51" ht="13.2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</row>
    <row r="791" spans="1:51" ht="13.2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</row>
    <row r="792" spans="1:51" ht="13.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</row>
    <row r="793" spans="1:51" ht="13.2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</row>
    <row r="794" spans="1:51" ht="13.2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</row>
    <row r="795" spans="1:51" ht="13.2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</row>
    <row r="796" spans="1:51" ht="13.2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</row>
    <row r="797" spans="1:51" ht="13.2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</row>
    <row r="798" spans="1:51" ht="13.2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</row>
    <row r="799" spans="1:51" ht="13.2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</row>
    <row r="800" spans="1:51" ht="13.2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</row>
    <row r="801" spans="1:51" ht="13.2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</row>
    <row r="802" spans="1:51" ht="13.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</row>
    <row r="803" spans="1:51" ht="13.2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</row>
    <row r="804" spans="1:51" ht="13.2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</row>
    <row r="805" spans="1:51" ht="13.2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</row>
    <row r="806" spans="1:51" ht="13.2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</row>
    <row r="807" spans="1:51" ht="13.2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</row>
    <row r="808" spans="1:51" ht="13.2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</row>
    <row r="809" spans="1:51" ht="13.2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</row>
    <row r="810" spans="1:51" ht="13.2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</row>
    <row r="811" spans="1:51" ht="13.2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</row>
    <row r="812" spans="1:51" ht="13.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</row>
    <row r="813" spans="1:51" ht="13.2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</row>
    <row r="814" spans="1:51" ht="13.2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</row>
    <row r="815" spans="1:51" ht="13.2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</row>
    <row r="816" spans="1:51" ht="13.2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</row>
    <row r="817" spans="1:51" ht="13.2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</row>
    <row r="818" spans="1:51" ht="13.2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</row>
    <row r="819" spans="1:51" ht="13.2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</row>
    <row r="820" spans="1:51" ht="13.2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</row>
    <row r="821" spans="1:51" ht="13.2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</row>
    <row r="822" spans="1:51" ht="13.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</row>
    <row r="823" spans="1:51" ht="13.2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</row>
    <row r="824" spans="1:51" ht="13.2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</row>
    <row r="825" spans="1:51" ht="13.2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</row>
    <row r="826" spans="1:51" ht="13.2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</row>
    <row r="827" spans="1:51" ht="13.2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</row>
    <row r="828" spans="1:51" ht="13.2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</row>
    <row r="829" spans="1:51" ht="13.2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</row>
    <row r="830" spans="1:51" ht="13.2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</row>
    <row r="831" spans="1:51" ht="13.2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</row>
    <row r="832" spans="1:51" ht="13.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</row>
    <row r="833" spans="1:51" ht="13.2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</row>
    <row r="834" spans="1:51" ht="13.2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</row>
    <row r="835" spans="1:51" ht="13.2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</row>
    <row r="836" spans="1:51" ht="13.2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</row>
    <row r="837" spans="1:51" ht="13.2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</row>
    <row r="838" spans="1:51" ht="13.2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</row>
    <row r="839" spans="1:51" ht="13.2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</row>
    <row r="840" spans="1:51" ht="13.2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</row>
    <row r="841" spans="1:51" ht="13.2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</row>
    <row r="842" spans="1:51" ht="13.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</row>
    <row r="843" spans="1:51" ht="13.2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</row>
    <row r="844" spans="1:51" ht="13.2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</row>
    <row r="845" spans="1:51" ht="13.2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</row>
    <row r="846" spans="1:51" ht="13.2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</row>
    <row r="847" spans="1:51" ht="13.2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</row>
    <row r="848" spans="1:51" ht="13.2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</row>
    <row r="849" spans="1:51" ht="13.2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</row>
    <row r="850" spans="1:51" ht="13.2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</row>
    <row r="851" spans="1:51" ht="13.2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</row>
    <row r="852" spans="1:51" ht="13.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</row>
    <row r="853" spans="1:51" ht="13.2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</row>
    <row r="854" spans="1:51" ht="13.2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</row>
    <row r="855" spans="1:51" ht="13.2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</row>
    <row r="856" spans="1:51" ht="13.2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</row>
    <row r="857" spans="1:51" ht="13.2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</row>
    <row r="858" spans="1:51" ht="13.2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</row>
    <row r="859" spans="1:51" ht="13.2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</row>
    <row r="860" spans="1:51" ht="13.2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</row>
    <row r="861" spans="1:51" ht="13.2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</row>
    <row r="862" spans="1:51" ht="13.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</row>
    <row r="863" spans="1:51" ht="13.2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</row>
    <row r="864" spans="1:51" ht="13.2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</row>
    <row r="865" spans="1:51" ht="13.2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</row>
    <row r="866" spans="1:51" ht="13.2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</row>
    <row r="867" spans="1:51" ht="13.2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</row>
    <row r="868" spans="1:51" ht="13.2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</row>
    <row r="869" spans="1:51" ht="13.2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</row>
    <row r="870" spans="1:51" ht="13.2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</row>
    <row r="871" spans="1:51" ht="13.2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</row>
    <row r="872" spans="1:51" ht="13.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</row>
    <row r="873" spans="1:51" ht="13.2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</row>
    <row r="874" spans="1:51" ht="13.2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</row>
    <row r="875" spans="1:51" ht="13.2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</row>
    <row r="876" spans="1:51" ht="13.2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</row>
    <row r="877" spans="1:51" ht="13.2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</row>
    <row r="878" spans="1:51" ht="13.2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</row>
    <row r="879" spans="1:51" ht="13.2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</row>
    <row r="880" spans="1:51" ht="13.2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</row>
    <row r="881" spans="1:51" ht="13.2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</row>
    <row r="882" spans="1:51" ht="13.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</row>
    <row r="883" spans="1:51" ht="13.2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</row>
    <row r="884" spans="1:51" ht="13.2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</row>
    <row r="885" spans="1:51" ht="13.2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</row>
    <row r="886" spans="1:51" ht="13.2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</row>
    <row r="887" spans="1:51" ht="13.2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</row>
    <row r="888" spans="1:51" ht="13.2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</row>
    <row r="889" spans="1:51" ht="13.2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</row>
    <row r="890" spans="1:51" ht="13.2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</row>
    <row r="891" spans="1:51" ht="13.2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</row>
    <row r="892" spans="1:51" ht="13.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</row>
    <row r="893" spans="1:51" ht="13.2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</row>
    <row r="894" spans="1:51" ht="13.2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</row>
    <row r="895" spans="1:51" ht="13.2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</row>
    <row r="896" spans="1:51" ht="13.2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</row>
    <row r="897" spans="1:51" ht="13.2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</row>
    <row r="898" spans="1:51" ht="13.2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</row>
    <row r="899" spans="1:51" ht="13.2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</row>
    <row r="900" spans="1:51" ht="13.2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</row>
    <row r="901" spans="1:51" ht="13.2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</row>
    <row r="902" spans="1:51" ht="13.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</row>
    <row r="903" spans="1:51" ht="13.2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</row>
    <row r="904" spans="1:51" ht="13.2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</row>
    <row r="905" spans="1:51" ht="13.2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</row>
    <row r="906" spans="1:51" ht="13.2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</row>
    <row r="907" spans="1:51" ht="13.2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</row>
    <row r="908" spans="1:51" ht="13.2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</row>
    <row r="909" spans="1:51" ht="13.2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</row>
    <row r="910" spans="1:51" ht="13.2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</row>
    <row r="911" spans="1:51" ht="13.2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</row>
    <row r="912" spans="1:51" ht="13.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</row>
    <row r="913" spans="1:51" ht="13.2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</row>
    <row r="914" spans="1:51" ht="13.2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</row>
    <row r="915" spans="1:51" ht="13.2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</row>
    <row r="916" spans="1:51" ht="13.2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</row>
    <row r="917" spans="1:51" ht="13.2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</row>
    <row r="918" spans="1:51" ht="13.2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</row>
    <row r="919" spans="1:51" ht="13.2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</row>
    <row r="920" spans="1:51" ht="13.2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</row>
    <row r="921" spans="1:51" ht="13.2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</row>
    <row r="922" spans="1:51" ht="13.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</row>
    <row r="923" spans="1:51" ht="13.2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</row>
    <row r="924" spans="1:51" ht="13.2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</row>
    <row r="925" spans="1:51" ht="13.2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</row>
    <row r="926" spans="1:51" ht="13.2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</row>
    <row r="927" spans="1:51" ht="13.2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</row>
    <row r="928" spans="1:51" ht="13.2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</row>
    <row r="929" spans="1:51" ht="13.2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</row>
    <row r="930" spans="1:51" ht="13.2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</row>
    <row r="931" spans="1:51" ht="13.2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</row>
    <row r="932" spans="1:51" ht="13.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</row>
    <row r="933" spans="1:51" ht="13.2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</row>
    <row r="934" spans="1:51" ht="13.2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</row>
    <row r="935" spans="1:51" ht="13.2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</row>
    <row r="936" spans="1:51" ht="13.2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</row>
    <row r="937" spans="1:51" ht="13.2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</row>
    <row r="938" spans="1:51" ht="13.2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</row>
    <row r="939" spans="1:51" ht="13.2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</row>
    <row r="940" spans="1:51" ht="13.2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</row>
    <row r="941" spans="1:51" ht="13.2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</row>
    <row r="942" spans="1:51" ht="13.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</row>
    <row r="943" spans="1:51" ht="13.2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</row>
    <row r="944" spans="1:51" ht="13.2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</row>
    <row r="945" spans="1:51" ht="13.2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</row>
    <row r="946" spans="1:51" ht="13.2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</row>
    <row r="947" spans="1:51" ht="13.2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</row>
    <row r="948" spans="1:51" ht="13.2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</row>
    <row r="949" spans="1:51" ht="13.2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</row>
    <row r="950" spans="1:51" ht="13.2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</row>
    <row r="951" spans="1:51" ht="13.2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</row>
    <row r="952" spans="1:51" ht="13.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</row>
    <row r="953" spans="1:51" ht="13.2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</row>
    <row r="954" spans="1:51" ht="13.2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</row>
    <row r="955" spans="1:51" ht="13.2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</row>
    <row r="956" spans="1:51" ht="13.2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</row>
    <row r="957" spans="1:51" ht="13.2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</row>
    <row r="958" spans="1:51" ht="13.2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</row>
    <row r="959" spans="1:51" ht="13.2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</row>
    <row r="960" spans="1:51" ht="13.2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</row>
    <row r="961" spans="1:51" ht="13.2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</row>
    <row r="962" spans="1:51" ht="13.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</row>
    <row r="963" spans="1:51" ht="13.2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</row>
    <row r="964" spans="1:51" ht="13.2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</row>
    <row r="965" spans="1:51" ht="13.2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</row>
    <row r="966" spans="1:51" ht="13.2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</row>
    <row r="967" spans="1:51" ht="13.2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</row>
    <row r="968" spans="1:51" ht="13.2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</row>
    <row r="969" spans="1:51" ht="13.2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</row>
    <row r="970" spans="1:51" ht="13.2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</row>
    <row r="971" spans="1:51" ht="13.2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</row>
    <row r="972" spans="1:51" ht="13.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</row>
    <row r="973" spans="1:51" ht="13.2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</row>
    <row r="974" spans="1:51" ht="13.2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</row>
    <row r="975" spans="1:51" ht="13.2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</row>
    <row r="976" spans="1:51" ht="13.2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</row>
    <row r="977" spans="1:51" ht="13.2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</row>
    <row r="978" spans="1:51" ht="13.2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</row>
    <row r="979" spans="1:51" ht="13.2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</row>
    <row r="980" spans="1:51" ht="13.2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</row>
    <row r="981" spans="1:51" ht="13.2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</row>
    <row r="982" spans="1:51" ht="13.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</row>
    <row r="983" spans="1:51" ht="13.2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</row>
    <row r="984" spans="1:51" ht="13.2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</row>
    <row r="985" spans="1:51" ht="13.2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</row>
    <row r="986" spans="1:51" ht="13.2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</row>
    <row r="987" spans="1:51" ht="13.2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</row>
    <row r="988" spans="1:51" ht="13.2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</row>
    <row r="989" spans="1:51" ht="13.2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</row>
    <row r="990" spans="1:51" ht="13.2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</row>
    <row r="991" spans="1:51" ht="13.2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</row>
    <row r="992" spans="1:51" ht="13.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</row>
    <row r="993" spans="1:51" ht="13.2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</row>
    <row r="994" spans="1:51" ht="13.2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</row>
    <row r="995" spans="1:51" ht="13.2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</row>
    <row r="996" spans="1:51" ht="13.2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</row>
    <row r="997" spans="1:51" ht="13.2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</row>
    <row r="998" spans="1:51" ht="13.2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</row>
    <row r="999" spans="1:51" ht="13.2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</row>
    <row r="1000" spans="1:51" ht="13.2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</row>
    <row r="1001" spans="1:51" ht="13.2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</row>
    <row r="1002" spans="1:51" ht="13.2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</row>
    <row r="1003" spans="1:51" ht="13.2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</row>
    <row r="1004" spans="1:51" ht="13.2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</row>
    <row r="1005" spans="1:51" ht="13.2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</row>
    <row r="1006" spans="1:51" ht="13.2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/>
    </row>
    <row r="1007" spans="1:51" ht="13.2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</row>
    <row r="1008" spans="1:51" ht="13.2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</row>
    <row r="1009" spans="1:51" ht="13.2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  <c r="AC1009" s="22"/>
      <c r="AD1009" s="22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</row>
    <row r="1010" spans="1:51" ht="13.2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  <c r="AC1010" s="22"/>
      <c r="AD1010" s="22"/>
      <c r="AE1010" s="22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/>
    </row>
    <row r="1011" spans="1:51" ht="13.2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  <c r="AC1011" s="22"/>
      <c r="AD1011" s="22"/>
      <c r="AE1011" s="22"/>
      <c r="AF1011" s="22"/>
      <c r="AG1011" s="22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/>
    </row>
    <row r="1012" spans="1:51" ht="13.2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  <c r="AC1012" s="22"/>
      <c r="AD1012" s="22"/>
      <c r="AE1012" s="22"/>
      <c r="AF1012" s="22"/>
      <c r="AG1012" s="22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/>
    </row>
    <row r="1013" spans="1:51" ht="13.2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  <c r="AC1013" s="22"/>
      <c r="AD1013" s="22"/>
      <c r="AE1013" s="22"/>
      <c r="AF1013" s="22"/>
      <c r="AG1013" s="22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/>
    </row>
    <row r="1014" spans="1:51" ht="13.2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  <c r="AC1014" s="22"/>
      <c r="AD1014" s="22"/>
      <c r="AE1014" s="22"/>
      <c r="AF1014" s="22"/>
      <c r="AG1014" s="22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/>
    </row>
    <row r="1015" spans="1:51" ht="13.2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2"/>
      <c r="AC1015" s="22"/>
      <c r="AD1015" s="22"/>
      <c r="AE1015" s="22"/>
      <c r="AF1015" s="22"/>
      <c r="AG1015" s="22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  <c r="AY1015" s="22"/>
    </row>
    <row r="1016" spans="1:51" ht="13.2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2"/>
      <c r="AC1016" s="22"/>
      <c r="AD1016" s="22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/>
    </row>
    <row r="1017" spans="1:51" ht="13.2">
      <c r="A1017" s="22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  <c r="AB1017" s="22"/>
      <c r="AC1017" s="22"/>
      <c r="AD1017" s="22"/>
      <c r="AE1017" s="22"/>
      <c r="AF1017" s="22"/>
      <c r="AG1017" s="22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</row>
  </sheetData>
  <mergeCells count="17">
    <mergeCell ref="A25:R25"/>
    <mergeCell ref="B26:E26"/>
    <mergeCell ref="O26:R26"/>
    <mergeCell ref="B64:C64"/>
    <mergeCell ref="E64:F64"/>
    <mergeCell ref="F26:I26"/>
    <mergeCell ref="J26:M26"/>
    <mergeCell ref="A41:L41"/>
    <mergeCell ref="B42:C42"/>
    <mergeCell ref="E42:G42"/>
    <mergeCell ref="H42:J42"/>
    <mergeCell ref="A63:F63"/>
    <mergeCell ref="A1:W1"/>
    <mergeCell ref="B2:E2"/>
    <mergeCell ref="H2:L2"/>
    <mergeCell ref="N2:R2"/>
    <mergeCell ref="T2:W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Z59"/>
  <sheetViews>
    <sheetView workbookViewId="0"/>
  </sheetViews>
  <sheetFormatPr defaultColWidth="12.6640625" defaultRowHeight="15.75" customHeight="1"/>
  <cols>
    <col min="1" max="1" width="27.33203125" customWidth="1"/>
    <col min="2" max="2" width="9" customWidth="1"/>
    <col min="3" max="3" width="8.6640625" customWidth="1"/>
    <col min="4" max="4" width="7.109375" customWidth="1"/>
    <col min="5" max="7" width="8.109375" customWidth="1"/>
    <col min="8" max="8" width="8.6640625" customWidth="1"/>
    <col min="9" max="9" width="7.88671875" customWidth="1"/>
    <col min="10" max="10" width="11" customWidth="1"/>
    <col min="11" max="11" width="8.44140625" customWidth="1"/>
    <col min="12" max="13" width="9.33203125" customWidth="1"/>
    <col min="14" max="14" width="8.6640625" customWidth="1"/>
    <col min="15" max="15" width="7.88671875" customWidth="1"/>
    <col min="16" max="16" width="9.21875" customWidth="1"/>
    <col min="17" max="17" width="9.88671875" customWidth="1"/>
    <col min="18" max="18" width="9.33203125" customWidth="1"/>
    <col min="19" max="19" width="7.109375" customWidth="1"/>
    <col min="20" max="20" width="10.109375" customWidth="1"/>
    <col min="21" max="21" width="9" customWidth="1"/>
    <col min="22" max="22" width="11.33203125" customWidth="1"/>
    <col min="23" max="23" width="5.88671875" customWidth="1"/>
    <col min="24" max="24" width="7.109375" customWidth="1"/>
    <col min="25" max="26" width="9.88671875" customWidth="1"/>
    <col min="27" max="27" width="7.77734375" customWidth="1"/>
    <col min="29" max="29" width="7.6640625" customWidth="1"/>
    <col min="30" max="30" width="4.44140625" customWidth="1"/>
    <col min="32" max="34" width="8.77734375" customWidth="1"/>
    <col min="35" max="35" width="10.44140625" customWidth="1"/>
    <col min="36" max="50" width="8.77734375" customWidth="1"/>
  </cols>
  <sheetData>
    <row r="1" spans="1:52">
      <c r="A1" s="1" t="s">
        <v>0</v>
      </c>
      <c r="AC1" s="3"/>
    </row>
    <row r="3" spans="1:52" ht="15.75" customHeight="1">
      <c r="A3" s="286" t="s">
        <v>1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8"/>
      <c r="X3" s="7"/>
      <c r="Y3" s="8"/>
      <c r="Z3" s="8"/>
      <c r="AA3" s="11"/>
      <c r="AB3" s="13"/>
      <c r="AC3" s="15" t="s">
        <v>2</v>
      </c>
      <c r="AD3" s="16" t="s">
        <v>3</v>
      </c>
    </row>
    <row r="4" spans="1:52" ht="15.75" customHeight="1">
      <c r="A4" s="19"/>
      <c r="B4" s="280" t="s">
        <v>4</v>
      </c>
      <c r="C4" s="278"/>
      <c r="D4" s="278"/>
      <c r="E4" s="278"/>
      <c r="F4" s="23"/>
      <c r="G4" s="280" t="s">
        <v>10</v>
      </c>
      <c r="H4" s="278"/>
      <c r="I4" s="278"/>
      <c r="J4" s="278"/>
      <c r="K4" s="278"/>
      <c r="L4" s="23"/>
      <c r="M4" s="280" t="s">
        <v>17</v>
      </c>
      <c r="N4" s="278"/>
      <c r="O4" s="278"/>
      <c r="P4" s="278"/>
      <c r="Q4" s="278"/>
      <c r="R4" s="29"/>
      <c r="S4" s="30"/>
      <c r="T4" s="280" t="s">
        <v>14</v>
      </c>
      <c r="U4" s="278"/>
      <c r="V4" s="278"/>
      <c r="W4" s="279"/>
      <c r="X4" s="25"/>
      <c r="Y4" s="25"/>
      <c r="Z4" s="25"/>
      <c r="AB4" s="34"/>
      <c r="AD4" s="29"/>
    </row>
    <row r="5" spans="1:52" ht="15.75" customHeight="1">
      <c r="A5" s="36"/>
      <c r="B5" s="38" t="s">
        <v>26</v>
      </c>
      <c r="C5" s="38" t="s">
        <v>27</v>
      </c>
      <c r="D5" s="38" t="s">
        <v>28</v>
      </c>
      <c r="E5" s="38" t="s">
        <v>29</v>
      </c>
      <c r="F5" s="38"/>
      <c r="G5" s="38" t="s">
        <v>26</v>
      </c>
      <c r="H5" s="41" t="s">
        <v>31</v>
      </c>
      <c r="I5" s="38" t="s">
        <v>27</v>
      </c>
      <c r="J5" s="38" t="s">
        <v>28</v>
      </c>
      <c r="K5" s="38" t="s">
        <v>29</v>
      </c>
      <c r="L5" s="38"/>
      <c r="M5" s="38" t="s">
        <v>26</v>
      </c>
      <c r="N5" s="41" t="s">
        <v>31</v>
      </c>
      <c r="O5" s="38" t="s">
        <v>27</v>
      </c>
      <c r="P5" s="38" t="s">
        <v>28</v>
      </c>
      <c r="Q5" s="38" t="s">
        <v>29</v>
      </c>
      <c r="R5" s="38"/>
      <c r="S5" s="38" t="s">
        <v>13</v>
      </c>
      <c r="T5" s="38" t="s">
        <v>26</v>
      </c>
      <c r="U5" s="38" t="s">
        <v>27</v>
      </c>
      <c r="V5" s="38" t="s">
        <v>28</v>
      </c>
      <c r="W5" s="46" t="s">
        <v>29</v>
      </c>
      <c r="X5" s="47" t="s">
        <v>32</v>
      </c>
      <c r="Y5" s="48" t="s">
        <v>33</v>
      </c>
      <c r="Z5" s="48" t="s">
        <v>34</v>
      </c>
      <c r="AA5" s="24" t="s">
        <v>15</v>
      </c>
      <c r="AB5" s="50" t="s">
        <v>35</v>
      </c>
      <c r="AD5" s="29"/>
    </row>
    <row r="6" spans="1:52" ht="15.75" customHeight="1">
      <c r="A6" s="51" t="s">
        <v>36</v>
      </c>
      <c r="B6" s="39">
        <v>26</v>
      </c>
      <c r="C6" s="39"/>
      <c r="D6" s="56">
        <f t="shared" ref="D6:D9" si="0">SUM(B6:C6)</f>
        <v>26</v>
      </c>
      <c r="E6" s="57">
        <v>21</v>
      </c>
      <c r="F6" s="61">
        <f t="shared" ref="F6:F19" si="1">D6/E6</f>
        <v>1.2380952380952381</v>
      </c>
      <c r="G6" s="39">
        <v>31</v>
      </c>
      <c r="H6" s="39"/>
      <c r="I6" s="39">
        <v>1</v>
      </c>
      <c r="J6" s="56">
        <f t="shared" ref="J6:J9" si="2">SUM(G6:I6)</f>
        <v>32</v>
      </c>
      <c r="K6" s="57">
        <v>27</v>
      </c>
      <c r="L6" s="61">
        <f t="shared" ref="L6:L19" si="3">J6/K6</f>
        <v>1.1851851851851851</v>
      </c>
      <c r="M6" s="55">
        <v>42</v>
      </c>
      <c r="N6" s="55">
        <v>0</v>
      </c>
      <c r="O6" s="55">
        <v>1</v>
      </c>
      <c r="P6" s="56">
        <f t="shared" ref="P6:P9" si="4">SUM(M6:O6)</f>
        <v>43</v>
      </c>
      <c r="Q6" s="57">
        <v>48</v>
      </c>
      <c r="R6" s="61">
        <f t="shared" ref="R6:R19" si="5">P6/Q6</f>
        <v>0.89583333333333337</v>
      </c>
      <c r="S6" s="65"/>
      <c r="T6" s="66">
        <f t="shared" ref="T6:T9" si="6">M6+G6+B6+N6+H6</f>
        <v>99</v>
      </c>
      <c r="U6" s="66">
        <f t="shared" ref="U6:U9" si="7">O6+I6+C6</f>
        <v>2</v>
      </c>
      <c r="V6" s="56">
        <f t="shared" ref="V6:V9" si="8">SUM(S6:U6)</f>
        <v>101</v>
      </c>
      <c r="W6" s="68">
        <f t="shared" ref="W6:W9" si="9">E6+K6+Q6</f>
        <v>96</v>
      </c>
      <c r="X6" s="69">
        <f t="shared" ref="X6:X9" si="10">W6-V6</f>
        <v>-5</v>
      </c>
      <c r="Y6" s="37">
        <f t="shared" ref="Y6:Y9" ca="1" si="11">ROUND(X6/$Y$26*7,0)</f>
        <v>0</v>
      </c>
      <c r="Z6" s="37">
        <f t="shared" ref="Z6:Z9" si="12">U6+T6</f>
        <v>101</v>
      </c>
      <c r="AA6" s="66">
        <f t="shared" ref="AA6:AA9" si="13">W6</f>
        <v>96</v>
      </c>
      <c r="AB6" s="75">
        <f t="shared" ref="AB6:AB9" si="14">(T6+U6)/W6</f>
        <v>1.0520833333333333</v>
      </c>
      <c r="AC6" s="77">
        <v>46203</v>
      </c>
      <c r="AD6" s="29" t="s">
        <v>43</v>
      </c>
      <c r="AR6" s="29"/>
      <c r="AS6" s="29"/>
      <c r="AT6" s="29"/>
      <c r="AU6" s="29"/>
      <c r="AV6" s="29"/>
      <c r="AW6" s="29"/>
      <c r="AX6" s="29"/>
      <c r="AY6" s="29"/>
      <c r="AZ6" s="29"/>
    </row>
    <row r="7" spans="1:52" ht="15.75" customHeight="1">
      <c r="A7" s="51" t="s">
        <v>40</v>
      </c>
      <c r="B7" s="39">
        <v>23</v>
      </c>
      <c r="C7" s="39"/>
      <c r="D7" s="56">
        <f t="shared" si="0"/>
        <v>23</v>
      </c>
      <c r="E7" s="57">
        <v>15</v>
      </c>
      <c r="F7" s="61">
        <f t="shared" si="1"/>
        <v>1.5333333333333334</v>
      </c>
      <c r="G7" s="39">
        <v>27</v>
      </c>
      <c r="H7" s="39"/>
      <c r="I7" s="39">
        <v>1</v>
      </c>
      <c r="J7" s="56">
        <f t="shared" si="2"/>
        <v>28</v>
      </c>
      <c r="K7" s="57">
        <v>20</v>
      </c>
      <c r="L7" s="61">
        <f t="shared" si="3"/>
        <v>1.4</v>
      </c>
      <c r="M7" s="55">
        <v>25</v>
      </c>
      <c r="N7" s="22"/>
      <c r="O7" s="55">
        <v>1</v>
      </c>
      <c r="P7" s="56">
        <f t="shared" si="4"/>
        <v>26</v>
      </c>
      <c r="Q7" s="57">
        <v>36</v>
      </c>
      <c r="R7" s="61">
        <f t="shared" si="5"/>
        <v>0.72222222222222221</v>
      </c>
      <c r="S7" s="65"/>
      <c r="T7" s="66">
        <f t="shared" si="6"/>
        <v>75</v>
      </c>
      <c r="U7" s="66">
        <f t="shared" si="7"/>
        <v>2</v>
      </c>
      <c r="V7" s="56">
        <f t="shared" si="8"/>
        <v>77</v>
      </c>
      <c r="W7" s="68">
        <f t="shared" si="9"/>
        <v>71</v>
      </c>
      <c r="X7" s="69">
        <f t="shared" si="10"/>
        <v>-6</v>
      </c>
      <c r="Y7" s="37">
        <f t="shared" ca="1" si="11"/>
        <v>0</v>
      </c>
      <c r="Z7" s="37">
        <f t="shared" si="12"/>
        <v>77</v>
      </c>
      <c r="AA7" s="66">
        <f t="shared" si="13"/>
        <v>71</v>
      </c>
      <c r="AB7" s="75">
        <f t="shared" si="14"/>
        <v>1.0845070422535212</v>
      </c>
      <c r="AC7" s="77">
        <v>46203</v>
      </c>
      <c r="AD7" s="29" t="s">
        <v>43</v>
      </c>
      <c r="AR7" s="29"/>
      <c r="AS7" s="29"/>
      <c r="AT7" s="29"/>
      <c r="AU7" s="29"/>
      <c r="AV7" s="29"/>
      <c r="AW7" s="29"/>
      <c r="AX7" s="29"/>
      <c r="AY7" s="29"/>
      <c r="AZ7" s="29"/>
    </row>
    <row r="8" spans="1:52" ht="15.75" customHeight="1">
      <c r="A8" s="51" t="s">
        <v>41</v>
      </c>
      <c r="B8" s="39">
        <v>22</v>
      </c>
      <c r="C8" s="66"/>
      <c r="D8" s="56">
        <f t="shared" si="0"/>
        <v>22</v>
      </c>
      <c r="E8" s="57">
        <v>17</v>
      </c>
      <c r="F8" s="61">
        <f t="shared" si="1"/>
        <v>1.2941176470588236</v>
      </c>
      <c r="G8" s="39">
        <v>41</v>
      </c>
      <c r="H8" s="39"/>
      <c r="I8" s="39"/>
      <c r="J8" s="56">
        <f t="shared" si="2"/>
        <v>41</v>
      </c>
      <c r="K8" s="57">
        <v>23</v>
      </c>
      <c r="L8" s="61">
        <f t="shared" si="3"/>
        <v>1.7826086956521738</v>
      </c>
      <c r="M8" s="55">
        <v>25</v>
      </c>
      <c r="N8" s="55">
        <v>2</v>
      </c>
      <c r="O8" s="22"/>
      <c r="P8" s="56">
        <f t="shared" si="4"/>
        <v>27</v>
      </c>
      <c r="Q8" s="57">
        <v>40</v>
      </c>
      <c r="R8" s="61">
        <f t="shared" si="5"/>
        <v>0.67500000000000004</v>
      </c>
      <c r="S8" s="65"/>
      <c r="T8" s="66">
        <f t="shared" si="6"/>
        <v>90</v>
      </c>
      <c r="U8" s="66">
        <f t="shared" si="7"/>
        <v>0</v>
      </c>
      <c r="V8" s="56">
        <f t="shared" si="8"/>
        <v>90</v>
      </c>
      <c r="W8" s="68">
        <f t="shared" si="9"/>
        <v>80</v>
      </c>
      <c r="X8" s="69">
        <f t="shared" si="10"/>
        <v>-10</v>
      </c>
      <c r="Y8" s="37">
        <f t="shared" ca="1" si="11"/>
        <v>1</v>
      </c>
      <c r="Z8" s="37">
        <f t="shared" si="12"/>
        <v>90</v>
      </c>
      <c r="AA8" s="66">
        <f t="shared" si="13"/>
        <v>80</v>
      </c>
      <c r="AB8" s="75">
        <f t="shared" si="14"/>
        <v>1.125</v>
      </c>
      <c r="AC8" s="77">
        <v>46203</v>
      </c>
      <c r="AD8" s="29" t="s">
        <v>43</v>
      </c>
      <c r="AR8" s="29"/>
      <c r="AS8" s="29"/>
      <c r="AT8" s="29"/>
      <c r="AU8" s="29"/>
      <c r="AV8" s="29"/>
      <c r="AW8" s="29"/>
      <c r="AX8" s="29"/>
      <c r="AY8" s="29"/>
      <c r="AZ8" s="29"/>
    </row>
    <row r="9" spans="1:52" ht="15.75" customHeight="1">
      <c r="A9" s="51" t="s">
        <v>48</v>
      </c>
      <c r="B9" s="70">
        <v>43</v>
      </c>
      <c r="C9" s="86">
        <v>9</v>
      </c>
      <c r="D9" s="56">
        <f t="shared" si="0"/>
        <v>52</v>
      </c>
      <c r="E9" s="57">
        <v>29</v>
      </c>
      <c r="F9" s="61">
        <f t="shared" si="1"/>
        <v>1.7931034482758621</v>
      </c>
      <c r="G9" s="39">
        <v>38</v>
      </c>
      <c r="H9" s="39">
        <v>0</v>
      </c>
      <c r="I9" s="39">
        <v>7</v>
      </c>
      <c r="J9" s="56">
        <f t="shared" si="2"/>
        <v>45</v>
      </c>
      <c r="K9" s="57">
        <v>37</v>
      </c>
      <c r="L9" s="61">
        <f t="shared" si="3"/>
        <v>1.2162162162162162</v>
      </c>
      <c r="M9" s="55">
        <v>43</v>
      </c>
      <c r="N9" s="55">
        <v>1</v>
      </c>
      <c r="O9" s="55">
        <v>6</v>
      </c>
      <c r="P9" s="56">
        <f t="shared" si="4"/>
        <v>50</v>
      </c>
      <c r="Q9" s="57">
        <v>60</v>
      </c>
      <c r="R9" s="61">
        <f t="shared" si="5"/>
        <v>0.83333333333333337</v>
      </c>
      <c r="S9" s="65"/>
      <c r="T9" s="66">
        <f t="shared" si="6"/>
        <v>125</v>
      </c>
      <c r="U9" s="66">
        <f t="shared" si="7"/>
        <v>22</v>
      </c>
      <c r="V9" s="56">
        <f t="shared" si="8"/>
        <v>147</v>
      </c>
      <c r="W9" s="68">
        <f t="shared" si="9"/>
        <v>126</v>
      </c>
      <c r="X9" s="69">
        <f t="shared" si="10"/>
        <v>-21</v>
      </c>
      <c r="Y9" s="37">
        <f t="shared" ca="1" si="11"/>
        <v>1</v>
      </c>
      <c r="Z9" s="37">
        <f t="shared" si="12"/>
        <v>147</v>
      </c>
      <c r="AA9" s="66">
        <f t="shared" si="13"/>
        <v>126</v>
      </c>
      <c r="AB9" s="75">
        <f t="shared" si="14"/>
        <v>1.1666666666666667</v>
      </c>
      <c r="AC9" s="77">
        <v>46203</v>
      </c>
      <c r="AD9" s="29" t="s">
        <v>43</v>
      </c>
      <c r="AR9" s="29"/>
      <c r="AS9" s="29"/>
      <c r="AT9" s="29"/>
      <c r="AU9" s="29"/>
      <c r="AV9" s="29"/>
      <c r="AW9" s="29"/>
      <c r="AX9" s="29"/>
      <c r="AY9" s="29"/>
      <c r="AZ9" s="29"/>
    </row>
    <row r="10" spans="1:52" ht="15.75" customHeight="1">
      <c r="A10" s="89" t="s">
        <v>44</v>
      </c>
      <c r="B10" s="78">
        <f t="shared" ref="B10:E10" si="15">SUM(B6:B9)</f>
        <v>114</v>
      </c>
      <c r="C10" s="78">
        <f t="shared" si="15"/>
        <v>9</v>
      </c>
      <c r="D10" s="78">
        <f t="shared" si="15"/>
        <v>123</v>
      </c>
      <c r="E10" s="78">
        <f t="shared" si="15"/>
        <v>82</v>
      </c>
      <c r="F10" s="90">
        <f t="shared" si="1"/>
        <v>1.5</v>
      </c>
      <c r="G10" s="78">
        <f t="shared" ref="G10:K10" si="16">SUM(G6:G9)</f>
        <v>137</v>
      </c>
      <c r="H10" s="78">
        <f t="shared" si="16"/>
        <v>0</v>
      </c>
      <c r="I10" s="78">
        <f t="shared" si="16"/>
        <v>9</v>
      </c>
      <c r="J10" s="78">
        <f t="shared" si="16"/>
        <v>146</v>
      </c>
      <c r="K10" s="78">
        <f t="shared" si="16"/>
        <v>107</v>
      </c>
      <c r="L10" s="90">
        <f t="shared" si="3"/>
        <v>1.3644859813084111</v>
      </c>
      <c r="M10" s="78">
        <f t="shared" ref="M10:Q10" si="17">SUM(M6:M9)</f>
        <v>135</v>
      </c>
      <c r="N10" s="78">
        <f t="shared" si="17"/>
        <v>3</v>
      </c>
      <c r="O10" s="78">
        <f t="shared" si="17"/>
        <v>8</v>
      </c>
      <c r="P10" s="78">
        <f t="shared" si="17"/>
        <v>146</v>
      </c>
      <c r="Q10" s="78">
        <f t="shared" si="17"/>
        <v>184</v>
      </c>
      <c r="R10" s="90">
        <f t="shared" si="5"/>
        <v>0.79347826086956519</v>
      </c>
      <c r="S10" s="78">
        <f t="shared" ref="S10:X10" si="18">SUM(S6:S9)</f>
        <v>0</v>
      </c>
      <c r="T10" s="78">
        <f t="shared" si="18"/>
        <v>389</v>
      </c>
      <c r="U10" s="78">
        <f t="shared" si="18"/>
        <v>26</v>
      </c>
      <c r="V10" s="78">
        <f t="shared" si="18"/>
        <v>415</v>
      </c>
      <c r="W10" s="92">
        <f t="shared" si="18"/>
        <v>373</v>
      </c>
      <c r="X10" s="93">
        <f t="shared" si="18"/>
        <v>-42</v>
      </c>
      <c r="Y10" s="93">
        <f ca="1">ROUND(X10/Y26*7,0)</f>
        <v>3</v>
      </c>
      <c r="Z10" s="93">
        <f t="shared" ref="Z10:AA10" si="19">SUM(Z6:Z9)</f>
        <v>415</v>
      </c>
      <c r="AA10" s="78">
        <f t="shared" si="19"/>
        <v>373</v>
      </c>
      <c r="AB10" s="94">
        <f>Z10/AA10</f>
        <v>1.1126005361930296</v>
      </c>
      <c r="AD10" s="29"/>
      <c r="AR10" s="29"/>
      <c r="AS10" s="29"/>
      <c r="AT10" s="29"/>
      <c r="AU10" s="29"/>
      <c r="AV10" s="29"/>
      <c r="AW10" s="29"/>
      <c r="AX10" s="29"/>
      <c r="AY10" s="29"/>
      <c r="AZ10" s="29"/>
    </row>
    <row r="11" spans="1:52" ht="15.75" customHeight="1">
      <c r="A11" s="51" t="s">
        <v>52</v>
      </c>
      <c r="B11" s="66">
        <v>10</v>
      </c>
      <c r="C11" s="66"/>
      <c r="D11" s="56">
        <f t="shared" ref="D11:D14" si="20">SUM(B11:C11)</f>
        <v>10</v>
      </c>
      <c r="E11" s="57">
        <v>16</v>
      </c>
      <c r="F11" s="61">
        <f t="shared" si="1"/>
        <v>0.625</v>
      </c>
      <c r="G11" s="39">
        <v>31</v>
      </c>
      <c r="H11" s="39"/>
      <c r="I11" s="39"/>
      <c r="J11" s="56">
        <f t="shared" ref="J11:J14" si="21">SUM(G11:I11)</f>
        <v>31</v>
      </c>
      <c r="K11" s="57">
        <v>21</v>
      </c>
      <c r="L11" s="61">
        <f t="shared" si="3"/>
        <v>1.4761904761904763</v>
      </c>
      <c r="M11" s="39">
        <v>32</v>
      </c>
      <c r="N11" s="39"/>
      <c r="O11" s="39"/>
      <c r="P11" s="56">
        <f t="shared" ref="P11:P14" si="22">SUM(M11:O11)</f>
        <v>32</v>
      </c>
      <c r="Q11" s="57">
        <v>36</v>
      </c>
      <c r="R11" s="61">
        <f t="shared" si="5"/>
        <v>0.88888888888888884</v>
      </c>
      <c r="S11" s="65"/>
      <c r="T11" s="66">
        <f t="shared" ref="T11:T14" si="23">M11+G11+B11+N11+H11</f>
        <v>73</v>
      </c>
      <c r="U11" s="66">
        <f t="shared" ref="U11:U14" si="24">O11+I11+C11</f>
        <v>0</v>
      </c>
      <c r="V11" s="56">
        <f t="shared" ref="V11:V14" si="25">SUM(S11:U11)</f>
        <v>73</v>
      </c>
      <c r="W11" s="68">
        <f t="shared" ref="W11:W14" si="26">E11+K11+Q11</f>
        <v>73</v>
      </c>
      <c r="X11" s="69">
        <f t="shared" ref="X11:X14" si="27">W11-V11</f>
        <v>0</v>
      </c>
      <c r="Y11" s="37">
        <f t="shared" ref="Y11:Y14" ca="1" si="28">ROUND(X11/$Y$26*7,0)</f>
        <v>0</v>
      </c>
      <c r="Z11" s="37">
        <f t="shared" ref="Z11:Z14" si="29">U11+T11</f>
        <v>73</v>
      </c>
      <c r="AA11" s="66">
        <f t="shared" ref="AA11:AA14" si="30">W11</f>
        <v>73</v>
      </c>
      <c r="AB11" s="75">
        <f t="shared" ref="AB11:AB14" si="31">(T11+U11)/W11</f>
        <v>1</v>
      </c>
      <c r="AC11" s="77">
        <v>46204</v>
      </c>
      <c r="AD11" s="29" t="s">
        <v>56</v>
      </c>
      <c r="AR11" s="29"/>
      <c r="AS11" s="29"/>
      <c r="AT11" s="29"/>
      <c r="AU11" s="29"/>
      <c r="AV11" s="29"/>
      <c r="AW11" s="29"/>
      <c r="AX11" s="29"/>
      <c r="AY11" s="29"/>
      <c r="AZ11" s="29"/>
    </row>
    <row r="12" spans="1:52" ht="15.75" customHeight="1">
      <c r="A12" s="51" t="s">
        <v>51</v>
      </c>
      <c r="B12" s="66">
        <v>27</v>
      </c>
      <c r="C12" s="66">
        <v>1</v>
      </c>
      <c r="D12" s="56">
        <f t="shared" si="20"/>
        <v>28</v>
      </c>
      <c r="E12" s="57">
        <v>17</v>
      </c>
      <c r="F12" s="61">
        <f t="shared" si="1"/>
        <v>1.6470588235294117</v>
      </c>
      <c r="G12" s="39">
        <v>25</v>
      </c>
      <c r="H12" s="39"/>
      <c r="I12" s="39">
        <v>1</v>
      </c>
      <c r="J12" s="56">
        <f t="shared" si="21"/>
        <v>26</v>
      </c>
      <c r="K12" s="57">
        <v>24</v>
      </c>
      <c r="L12" s="61">
        <f t="shared" si="3"/>
        <v>1.0833333333333333</v>
      </c>
      <c r="M12" s="39">
        <v>28</v>
      </c>
      <c r="N12" s="39"/>
      <c r="O12" s="39">
        <v>5</v>
      </c>
      <c r="P12" s="56">
        <f t="shared" si="22"/>
        <v>33</v>
      </c>
      <c r="Q12" s="57">
        <v>42</v>
      </c>
      <c r="R12" s="61">
        <f t="shared" si="5"/>
        <v>0.7857142857142857</v>
      </c>
      <c r="S12" s="65"/>
      <c r="T12" s="66">
        <f t="shared" si="23"/>
        <v>80</v>
      </c>
      <c r="U12" s="66">
        <f t="shared" si="24"/>
        <v>7</v>
      </c>
      <c r="V12" s="56">
        <f t="shared" si="25"/>
        <v>87</v>
      </c>
      <c r="W12" s="68">
        <f t="shared" si="26"/>
        <v>83</v>
      </c>
      <c r="X12" s="69">
        <f t="shared" si="27"/>
        <v>-4</v>
      </c>
      <c r="Y12" s="37">
        <f t="shared" ca="1" si="28"/>
        <v>0</v>
      </c>
      <c r="Z12" s="37">
        <f t="shared" si="29"/>
        <v>87</v>
      </c>
      <c r="AA12" s="66">
        <f t="shared" si="30"/>
        <v>83</v>
      </c>
      <c r="AB12" s="75">
        <f t="shared" si="31"/>
        <v>1.0481927710843373</v>
      </c>
      <c r="AC12" s="77">
        <v>46204</v>
      </c>
      <c r="AD12" s="29" t="s">
        <v>56</v>
      </c>
      <c r="AE12" s="31"/>
      <c r="AR12" s="29"/>
      <c r="AS12" s="29"/>
      <c r="AT12" s="29"/>
      <c r="AU12" s="29"/>
      <c r="AV12" s="29"/>
      <c r="AW12" s="29"/>
      <c r="AX12" s="29"/>
      <c r="AY12" s="29"/>
      <c r="AZ12" s="29"/>
    </row>
    <row r="13" spans="1:52" ht="15.75" customHeight="1">
      <c r="A13" s="51" t="s">
        <v>46</v>
      </c>
      <c r="B13" s="66">
        <v>18</v>
      </c>
      <c r="C13" s="66"/>
      <c r="D13" s="56">
        <f t="shared" si="20"/>
        <v>18</v>
      </c>
      <c r="E13" s="57">
        <v>18</v>
      </c>
      <c r="F13" s="61">
        <f t="shared" si="1"/>
        <v>1</v>
      </c>
      <c r="G13" s="39">
        <v>26</v>
      </c>
      <c r="H13" s="39"/>
      <c r="I13" s="39"/>
      <c r="J13" s="56">
        <f t="shared" si="21"/>
        <v>26</v>
      </c>
      <c r="K13" s="57">
        <v>23</v>
      </c>
      <c r="L13" s="61">
        <f t="shared" si="3"/>
        <v>1.1304347826086956</v>
      </c>
      <c r="M13" s="39">
        <v>39</v>
      </c>
      <c r="N13" s="39"/>
      <c r="O13" s="39"/>
      <c r="P13" s="56">
        <f t="shared" si="22"/>
        <v>39</v>
      </c>
      <c r="Q13" s="57">
        <v>40</v>
      </c>
      <c r="R13" s="61">
        <f t="shared" si="5"/>
        <v>0.97499999999999998</v>
      </c>
      <c r="S13" s="65"/>
      <c r="T13" s="66">
        <f t="shared" si="23"/>
        <v>83</v>
      </c>
      <c r="U13" s="66">
        <f t="shared" si="24"/>
        <v>0</v>
      </c>
      <c r="V13" s="56">
        <f t="shared" si="25"/>
        <v>83</v>
      </c>
      <c r="W13" s="68">
        <f t="shared" si="26"/>
        <v>81</v>
      </c>
      <c r="X13" s="69">
        <f t="shared" si="27"/>
        <v>-2</v>
      </c>
      <c r="Y13" s="37">
        <f t="shared" ca="1" si="28"/>
        <v>0</v>
      </c>
      <c r="Z13" s="37">
        <f t="shared" si="29"/>
        <v>83</v>
      </c>
      <c r="AA13" s="66">
        <f t="shared" si="30"/>
        <v>81</v>
      </c>
      <c r="AB13" s="75">
        <f t="shared" si="31"/>
        <v>1.0246913580246915</v>
      </c>
      <c r="AC13" s="77">
        <v>46204</v>
      </c>
      <c r="AD13" s="29" t="s">
        <v>56</v>
      </c>
      <c r="AR13" s="29"/>
      <c r="AS13" s="29"/>
      <c r="AT13" s="29"/>
      <c r="AU13" s="29"/>
      <c r="AV13" s="29"/>
      <c r="AW13" s="29"/>
      <c r="AX13" s="29"/>
      <c r="AY13" s="29"/>
      <c r="AZ13" s="29"/>
    </row>
    <row r="14" spans="1:52" ht="15.75" customHeight="1">
      <c r="A14" s="51" t="s">
        <v>53</v>
      </c>
      <c r="B14" s="66">
        <v>30</v>
      </c>
      <c r="C14" s="66"/>
      <c r="D14" s="56">
        <f t="shared" si="20"/>
        <v>30</v>
      </c>
      <c r="E14" s="57">
        <v>30</v>
      </c>
      <c r="F14" s="61">
        <f t="shared" si="1"/>
        <v>1</v>
      </c>
      <c r="G14" s="39">
        <v>40</v>
      </c>
      <c r="H14" s="39"/>
      <c r="I14" s="39"/>
      <c r="J14" s="56">
        <f t="shared" si="21"/>
        <v>40</v>
      </c>
      <c r="K14" s="57">
        <v>39</v>
      </c>
      <c r="L14" s="61">
        <f t="shared" si="3"/>
        <v>1.0256410256410255</v>
      </c>
      <c r="M14" s="39">
        <v>62</v>
      </c>
      <c r="N14" s="39"/>
      <c r="O14" s="39"/>
      <c r="P14" s="56">
        <f t="shared" si="22"/>
        <v>62</v>
      </c>
      <c r="Q14" s="57">
        <v>66</v>
      </c>
      <c r="R14" s="61">
        <f t="shared" si="5"/>
        <v>0.93939393939393945</v>
      </c>
      <c r="S14" s="65"/>
      <c r="T14" s="66">
        <f t="shared" si="23"/>
        <v>132</v>
      </c>
      <c r="U14" s="66">
        <f t="shared" si="24"/>
        <v>0</v>
      </c>
      <c r="V14" s="56">
        <f t="shared" si="25"/>
        <v>132</v>
      </c>
      <c r="W14" s="68">
        <f t="shared" si="26"/>
        <v>135</v>
      </c>
      <c r="X14" s="69">
        <f t="shared" si="27"/>
        <v>3</v>
      </c>
      <c r="Y14" s="37">
        <f t="shared" ca="1" si="28"/>
        <v>0</v>
      </c>
      <c r="Z14" s="37">
        <f t="shared" si="29"/>
        <v>132</v>
      </c>
      <c r="AA14" s="66">
        <f t="shared" si="30"/>
        <v>135</v>
      </c>
      <c r="AB14" s="75">
        <f t="shared" si="31"/>
        <v>0.97777777777777775</v>
      </c>
      <c r="AC14" s="77">
        <v>46204</v>
      </c>
      <c r="AD14" s="29" t="s">
        <v>56</v>
      </c>
      <c r="AR14" s="29"/>
      <c r="AS14" s="29"/>
      <c r="AT14" s="29"/>
      <c r="AU14" s="29"/>
      <c r="AV14" s="29"/>
      <c r="AW14" s="29"/>
      <c r="AX14" s="29"/>
      <c r="AY14" s="29"/>
      <c r="AZ14" s="29"/>
    </row>
    <row r="15" spans="1:52" ht="15.75" customHeight="1">
      <c r="A15" s="89" t="s">
        <v>54</v>
      </c>
      <c r="B15" s="78">
        <f t="shared" ref="B15:E15" si="32">SUM(B11:B14)</f>
        <v>85</v>
      </c>
      <c r="C15" s="78">
        <f t="shared" si="32"/>
        <v>1</v>
      </c>
      <c r="D15" s="78">
        <f t="shared" si="32"/>
        <v>86</v>
      </c>
      <c r="E15" s="78">
        <f t="shared" si="32"/>
        <v>81</v>
      </c>
      <c r="F15" s="90">
        <f t="shared" si="1"/>
        <v>1.0617283950617284</v>
      </c>
      <c r="G15" s="78">
        <f t="shared" ref="G15:K15" si="33">SUM(G11:G14)</f>
        <v>122</v>
      </c>
      <c r="H15" s="78">
        <f t="shared" si="33"/>
        <v>0</v>
      </c>
      <c r="I15" s="78">
        <f t="shared" si="33"/>
        <v>1</v>
      </c>
      <c r="J15" s="78">
        <f t="shared" si="33"/>
        <v>123</v>
      </c>
      <c r="K15" s="78">
        <f t="shared" si="33"/>
        <v>107</v>
      </c>
      <c r="L15" s="90">
        <f t="shared" si="3"/>
        <v>1.1495327102803738</v>
      </c>
      <c r="M15" s="78">
        <f t="shared" ref="M15:Q15" si="34">SUM(M11:M14)</f>
        <v>161</v>
      </c>
      <c r="N15" s="78">
        <f t="shared" si="34"/>
        <v>0</v>
      </c>
      <c r="O15" s="78">
        <f t="shared" si="34"/>
        <v>5</v>
      </c>
      <c r="P15" s="78">
        <f t="shared" si="34"/>
        <v>166</v>
      </c>
      <c r="Q15" s="78">
        <f t="shared" si="34"/>
        <v>184</v>
      </c>
      <c r="R15" s="90">
        <f t="shared" si="5"/>
        <v>0.90217391304347827</v>
      </c>
      <c r="S15" s="78">
        <f t="shared" ref="S15:X15" si="35">SUM(S11:S14)</f>
        <v>0</v>
      </c>
      <c r="T15" s="78">
        <f t="shared" si="35"/>
        <v>368</v>
      </c>
      <c r="U15" s="78">
        <f t="shared" si="35"/>
        <v>7</v>
      </c>
      <c r="V15" s="78">
        <f t="shared" si="35"/>
        <v>375</v>
      </c>
      <c r="W15" s="92">
        <f t="shared" si="35"/>
        <v>372</v>
      </c>
      <c r="X15" s="93">
        <f t="shared" si="35"/>
        <v>-3</v>
      </c>
      <c r="Y15" s="93">
        <f ca="1">ROUND(X15/Y26*7,0)</f>
        <v>0</v>
      </c>
      <c r="Z15" s="93">
        <f t="shared" ref="Z15:AA15" si="36">SUM(Z11:Z14)</f>
        <v>375</v>
      </c>
      <c r="AA15" s="78">
        <f t="shared" si="36"/>
        <v>372</v>
      </c>
      <c r="AB15" s="94">
        <f>Z15/AA15</f>
        <v>1.0080645161290323</v>
      </c>
      <c r="AD15" s="29"/>
      <c r="AR15" s="29"/>
      <c r="AS15" s="29"/>
      <c r="AT15" s="29"/>
      <c r="AU15" s="29"/>
      <c r="AV15" s="29"/>
      <c r="AW15" s="29"/>
      <c r="AX15" s="29"/>
      <c r="AY15" s="29"/>
      <c r="AZ15" s="29"/>
    </row>
    <row r="16" spans="1:52" ht="15.75" customHeight="1">
      <c r="A16" s="51" t="s">
        <v>55</v>
      </c>
      <c r="B16" s="66">
        <v>18</v>
      </c>
      <c r="C16" s="66">
        <v>4</v>
      </c>
      <c r="D16" s="56">
        <f t="shared" ref="D16:D18" si="37">SUM(B16:C16)</f>
        <v>22</v>
      </c>
      <c r="E16" s="57">
        <v>22</v>
      </c>
      <c r="F16" s="61">
        <f t="shared" si="1"/>
        <v>1</v>
      </c>
      <c r="G16" s="39">
        <v>21</v>
      </c>
      <c r="H16" s="39"/>
      <c r="I16" s="39">
        <v>6</v>
      </c>
      <c r="J16" s="56">
        <f t="shared" ref="J16:J18" si="38">SUM(G16:I16)</f>
        <v>27</v>
      </c>
      <c r="K16" s="57">
        <v>26</v>
      </c>
      <c r="L16" s="61">
        <f t="shared" si="3"/>
        <v>1.0384615384615385</v>
      </c>
      <c r="M16" s="55">
        <v>23</v>
      </c>
      <c r="N16" s="55">
        <v>4</v>
      </c>
      <c r="O16" s="55">
        <v>3</v>
      </c>
      <c r="P16" s="56">
        <f t="shared" ref="P16:P18" si="39">SUM(M16:O16)</f>
        <v>30</v>
      </c>
      <c r="Q16" s="57">
        <v>44</v>
      </c>
      <c r="R16" s="61">
        <f t="shared" si="5"/>
        <v>0.68181818181818177</v>
      </c>
      <c r="S16" s="65"/>
      <c r="T16" s="66">
        <f t="shared" ref="T16:T18" si="40">M16+G16+B16+N16+H16</f>
        <v>66</v>
      </c>
      <c r="U16" s="66">
        <f t="shared" ref="U16:U18" si="41">O16+I16+C16</f>
        <v>13</v>
      </c>
      <c r="V16" s="56">
        <f t="shared" ref="V16:V18" si="42">SUM(S16:U16)</f>
        <v>79</v>
      </c>
      <c r="W16" s="68">
        <f t="shared" ref="W16:W18" si="43">E16+K16+Q16</f>
        <v>92</v>
      </c>
      <c r="X16" s="69">
        <f t="shared" ref="X16:X18" si="44">W16-V16</f>
        <v>13</v>
      </c>
      <c r="Y16" s="37">
        <f t="shared" ref="Y16:Y18" ca="1" si="45">ROUND(X16/$Y$26*7,0)</f>
        <v>-1</v>
      </c>
      <c r="Z16" s="37">
        <f t="shared" ref="Z16:Z18" si="46">U16+T16</f>
        <v>79</v>
      </c>
      <c r="AA16" s="66">
        <f t="shared" ref="AA16:AA18" si="47">W16</f>
        <v>92</v>
      </c>
      <c r="AB16" s="75">
        <f t="shared" ref="AB16:AB18" si="48">(T16+U16)/W16</f>
        <v>0.85869565217391308</v>
      </c>
      <c r="AC16" s="77">
        <v>46203</v>
      </c>
      <c r="AD16" s="29" t="s">
        <v>43</v>
      </c>
      <c r="AR16" s="29"/>
      <c r="AS16" s="29"/>
      <c r="AT16" s="29"/>
      <c r="AU16" s="29"/>
      <c r="AV16" s="29"/>
      <c r="AW16" s="29"/>
      <c r="AX16" s="29"/>
      <c r="AY16" s="29"/>
      <c r="AZ16" s="29"/>
    </row>
    <row r="17" spans="1:52" ht="15.75" customHeight="1">
      <c r="A17" s="51" t="s">
        <v>57</v>
      </c>
      <c r="B17" s="66">
        <v>19</v>
      </c>
      <c r="C17" s="66">
        <v>6</v>
      </c>
      <c r="D17" s="56">
        <f t="shared" si="37"/>
        <v>25</v>
      </c>
      <c r="E17" s="57">
        <v>21</v>
      </c>
      <c r="F17" s="61">
        <f t="shared" si="1"/>
        <v>1.1904761904761905</v>
      </c>
      <c r="G17" s="39">
        <v>37</v>
      </c>
      <c r="H17" s="39">
        <v>1</v>
      </c>
      <c r="I17" s="39">
        <v>0</v>
      </c>
      <c r="J17" s="56">
        <f t="shared" si="38"/>
        <v>38</v>
      </c>
      <c r="K17" s="57">
        <v>27</v>
      </c>
      <c r="L17" s="61">
        <f t="shared" si="3"/>
        <v>1.4074074074074074</v>
      </c>
      <c r="M17" s="55">
        <v>31</v>
      </c>
      <c r="N17" s="55">
        <v>1</v>
      </c>
      <c r="O17" s="55">
        <v>2</v>
      </c>
      <c r="P17" s="56">
        <f t="shared" si="39"/>
        <v>34</v>
      </c>
      <c r="Q17" s="57">
        <v>49</v>
      </c>
      <c r="R17" s="61">
        <f t="shared" si="5"/>
        <v>0.69387755102040816</v>
      </c>
      <c r="S17" s="65"/>
      <c r="T17" s="66">
        <f t="shared" si="40"/>
        <v>89</v>
      </c>
      <c r="U17" s="66">
        <f t="shared" si="41"/>
        <v>8</v>
      </c>
      <c r="V17" s="56">
        <f t="shared" si="42"/>
        <v>97</v>
      </c>
      <c r="W17" s="68">
        <f t="shared" si="43"/>
        <v>97</v>
      </c>
      <c r="X17" s="69">
        <f t="shared" si="44"/>
        <v>0</v>
      </c>
      <c r="Y17" s="37">
        <f t="shared" ca="1" si="45"/>
        <v>0</v>
      </c>
      <c r="Z17" s="37">
        <f t="shared" si="46"/>
        <v>97</v>
      </c>
      <c r="AA17" s="66">
        <f t="shared" si="47"/>
        <v>97</v>
      </c>
      <c r="AB17" s="75">
        <f t="shared" si="48"/>
        <v>1</v>
      </c>
      <c r="AC17" s="77">
        <v>46203</v>
      </c>
      <c r="AD17" s="29" t="s">
        <v>43</v>
      </c>
      <c r="AR17" s="29"/>
      <c r="AS17" s="29"/>
      <c r="AT17" s="29"/>
      <c r="AU17" s="29"/>
      <c r="AV17" s="29"/>
      <c r="AW17" s="29"/>
      <c r="AX17" s="29"/>
      <c r="AY17" s="29"/>
      <c r="AZ17" s="29"/>
    </row>
    <row r="18" spans="1:52" ht="15.75" customHeight="1">
      <c r="A18" s="51" t="s">
        <v>58</v>
      </c>
      <c r="B18" s="66">
        <v>6</v>
      </c>
      <c r="C18" s="66"/>
      <c r="D18" s="56">
        <f t="shared" si="37"/>
        <v>6</v>
      </c>
      <c r="E18" s="57">
        <v>6</v>
      </c>
      <c r="F18" s="61">
        <f t="shared" si="1"/>
        <v>1</v>
      </c>
      <c r="G18" s="39">
        <v>7</v>
      </c>
      <c r="H18" s="39"/>
      <c r="I18" s="39"/>
      <c r="J18" s="56">
        <f t="shared" si="38"/>
        <v>7</v>
      </c>
      <c r="K18" s="57">
        <v>9</v>
      </c>
      <c r="L18" s="61">
        <f t="shared" si="3"/>
        <v>0.77777777777777779</v>
      </c>
      <c r="M18" s="55">
        <v>15</v>
      </c>
      <c r="N18" s="55">
        <v>2</v>
      </c>
      <c r="O18" s="22"/>
      <c r="P18" s="56">
        <f t="shared" si="39"/>
        <v>17</v>
      </c>
      <c r="Q18" s="57">
        <v>13</v>
      </c>
      <c r="R18" s="61">
        <f t="shared" si="5"/>
        <v>1.3076923076923077</v>
      </c>
      <c r="S18" s="65"/>
      <c r="T18" s="66">
        <f t="shared" si="40"/>
        <v>30</v>
      </c>
      <c r="U18" s="66">
        <f t="shared" si="41"/>
        <v>0</v>
      </c>
      <c r="V18" s="56">
        <f t="shared" si="42"/>
        <v>30</v>
      </c>
      <c r="W18" s="68">
        <f t="shared" si="43"/>
        <v>28</v>
      </c>
      <c r="X18" s="69">
        <f t="shared" si="44"/>
        <v>-2</v>
      </c>
      <c r="Y18" s="37">
        <f t="shared" ca="1" si="45"/>
        <v>0</v>
      </c>
      <c r="Z18" s="37">
        <f t="shared" si="46"/>
        <v>30</v>
      </c>
      <c r="AA18" s="66">
        <f t="shared" si="47"/>
        <v>28</v>
      </c>
      <c r="AB18" s="75">
        <f t="shared" si="48"/>
        <v>1.0714285714285714</v>
      </c>
      <c r="AC18" s="77">
        <v>46203</v>
      </c>
      <c r="AD18" s="29" t="s">
        <v>43</v>
      </c>
      <c r="AR18" s="29"/>
      <c r="AS18" s="29"/>
      <c r="AT18" s="29"/>
      <c r="AU18" s="29"/>
      <c r="AV18" s="29"/>
      <c r="AW18" s="29"/>
      <c r="AX18" s="29"/>
      <c r="AY18" s="29"/>
      <c r="AZ18" s="29"/>
    </row>
    <row r="19" spans="1:52" ht="15.75" customHeight="1">
      <c r="A19" s="89" t="s">
        <v>59</v>
      </c>
      <c r="B19" s="78">
        <f t="shared" ref="B19:E19" si="49">SUM(B16:B18)</f>
        <v>43</v>
      </c>
      <c r="C19" s="78">
        <f t="shared" si="49"/>
        <v>10</v>
      </c>
      <c r="D19" s="78">
        <f t="shared" si="49"/>
        <v>53</v>
      </c>
      <c r="E19" s="78">
        <f t="shared" si="49"/>
        <v>49</v>
      </c>
      <c r="F19" s="90">
        <f t="shared" si="1"/>
        <v>1.0816326530612246</v>
      </c>
      <c r="G19" s="78">
        <f t="shared" ref="G19:K19" si="50">SUM(G16:G18)</f>
        <v>65</v>
      </c>
      <c r="H19" s="78">
        <f t="shared" si="50"/>
        <v>1</v>
      </c>
      <c r="I19" s="78">
        <f t="shared" si="50"/>
        <v>6</v>
      </c>
      <c r="J19" s="78">
        <f t="shared" si="50"/>
        <v>72</v>
      </c>
      <c r="K19" s="78">
        <f t="shared" si="50"/>
        <v>62</v>
      </c>
      <c r="L19" s="90">
        <f t="shared" si="3"/>
        <v>1.1612903225806452</v>
      </c>
      <c r="M19" s="78">
        <f t="shared" ref="M19:Q19" si="51">SUM(M16:M18)</f>
        <v>69</v>
      </c>
      <c r="N19" s="78">
        <f t="shared" si="51"/>
        <v>7</v>
      </c>
      <c r="O19" s="78">
        <f t="shared" si="51"/>
        <v>5</v>
      </c>
      <c r="P19" s="78">
        <f t="shared" si="51"/>
        <v>81</v>
      </c>
      <c r="Q19" s="78">
        <f t="shared" si="51"/>
        <v>106</v>
      </c>
      <c r="R19" s="90">
        <f t="shared" si="5"/>
        <v>0.76415094339622647</v>
      </c>
      <c r="S19" s="78">
        <f t="shared" ref="S19:X19" si="52">SUM(S16:S18)</f>
        <v>0</v>
      </c>
      <c r="T19" s="78">
        <f t="shared" si="52"/>
        <v>185</v>
      </c>
      <c r="U19" s="78">
        <f t="shared" si="52"/>
        <v>21</v>
      </c>
      <c r="V19" s="78">
        <f t="shared" si="52"/>
        <v>206</v>
      </c>
      <c r="W19" s="92">
        <f t="shared" si="52"/>
        <v>217</v>
      </c>
      <c r="X19" s="93">
        <f t="shared" si="52"/>
        <v>11</v>
      </c>
      <c r="Y19" s="93">
        <f ca="1">ROUND(X19/Y26*7,0)</f>
        <v>-1</v>
      </c>
      <c r="Z19" s="93">
        <f t="shared" ref="Z19:AA19" si="53">SUM(Z16:Z18)</f>
        <v>206</v>
      </c>
      <c r="AA19" s="78">
        <f t="shared" si="53"/>
        <v>217</v>
      </c>
      <c r="AB19" s="94">
        <f>Z19/AA19</f>
        <v>0.94930875576036866</v>
      </c>
      <c r="AC19" s="83"/>
      <c r="AD19" s="29"/>
      <c r="AR19" s="29"/>
      <c r="AS19" s="29"/>
      <c r="AT19" s="29"/>
      <c r="AU19" s="29"/>
      <c r="AV19" s="29"/>
      <c r="AW19" s="29"/>
      <c r="AX19" s="29"/>
      <c r="AY19" s="29"/>
      <c r="AZ19" s="29"/>
    </row>
    <row r="20" spans="1:52" ht="15.75" customHeight="1">
      <c r="A20" s="89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104"/>
      <c r="X20" s="37"/>
      <c r="Y20" s="105"/>
      <c r="Z20" s="105"/>
      <c r="AA20" s="106"/>
      <c r="AB20" s="107"/>
      <c r="AD20" s="29"/>
      <c r="AR20" s="29"/>
      <c r="AS20" s="29"/>
      <c r="AT20" s="29"/>
      <c r="AU20" s="29"/>
      <c r="AV20" s="29"/>
      <c r="AW20" s="29"/>
      <c r="AX20" s="29"/>
      <c r="AY20" s="29"/>
      <c r="AZ20" s="29"/>
    </row>
    <row r="21" spans="1:52" ht="15.75" customHeight="1">
      <c r="A21" s="51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104"/>
      <c r="X21" s="37"/>
      <c r="Y21" s="105"/>
      <c r="Z21" s="105"/>
      <c r="AA21" s="106"/>
      <c r="AB21" s="107"/>
      <c r="AD21" s="29"/>
      <c r="AR21" s="29"/>
      <c r="AS21" s="29"/>
      <c r="AT21" s="29"/>
      <c r="AU21" s="29"/>
      <c r="AV21" s="29"/>
      <c r="AW21" s="29"/>
      <c r="AX21" s="29"/>
      <c r="AY21" s="29"/>
      <c r="AZ21" s="29"/>
    </row>
    <row r="22" spans="1:52" ht="15.75" customHeight="1">
      <c r="A22" s="108" t="s">
        <v>14</v>
      </c>
      <c r="B22" s="110">
        <f t="shared" ref="B22:E22" si="54">B19+B15+B10</f>
        <v>242</v>
      </c>
      <c r="C22" s="110">
        <f t="shared" si="54"/>
        <v>20</v>
      </c>
      <c r="D22" s="110">
        <f t="shared" si="54"/>
        <v>262</v>
      </c>
      <c r="E22" s="110">
        <f t="shared" si="54"/>
        <v>212</v>
      </c>
      <c r="F22" s="112">
        <f>D22/E22</f>
        <v>1.2358490566037736</v>
      </c>
      <c r="G22" s="110">
        <f t="shared" ref="G22:K22" si="55">G19+G15+G10</f>
        <v>324</v>
      </c>
      <c r="H22" s="110">
        <f t="shared" si="55"/>
        <v>1</v>
      </c>
      <c r="I22" s="110">
        <f t="shared" si="55"/>
        <v>16</v>
      </c>
      <c r="J22" s="110">
        <f t="shared" si="55"/>
        <v>341</v>
      </c>
      <c r="K22" s="110">
        <f t="shared" si="55"/>
        <v>276</v>
      </c>
      <c r="L22" s="112">
        <f>J22/K22</f>
        <v>1.2355072463768115</v>
      </c>
      <c r="M22" s="110">
        <f t="shared" ref="M22:Q22" si="56">M19+M15+M10</f>
        <v>365</v>
      </c>
      <c r="N22" s="110">
        <f t="shared" si="56"/>
        <v>10</v>
      </c>
      <c r="O22" s="110">
        <f t="shared" si="56"/>
        <v>18</v>
      </c>
      <c r="P22" s="110">
        <f t="shared" si="56"/>
        <v>393</v>
      </c>
      <c r="Q22" s="110">
        <f t="shared" si="56"/>
        <v>474</v>
      </c>
      <c r="R22" s="112">
        <f>P22/Q22</f>
        <v>0.82911392405063289</v>
      </c>
      <c r="S22" s="110">
        <f t="shared" ref="S22:X22" si="57">S19+S15+S10</f>
        <v>0</v>
      </c>
      <c r="T22" s="110">
        <f t="shared" si="57"/>
        <v>942</v>
      </c>
      <c r="U22" s="110">
        <f t="shared" si="57"/>
        <v>54</v>
      </c>
      <c r="V22" s="110">
        <f t="shared" si="57"/>
        <v>996</v>
      </c>
      <c r="W22" s="115">
        <f t="shared" si="57"/>
        <v>962</v>
      </c>
      <c r="X22" s="116">
        <f t="shared" si="57"/>
        <v>-34</v>
      </c>
      <c r="Y22" s="117">
        <f ca="1">ROUND(X22/Y26*7,0)</f>
        <v>2</v>
      </c>
      <c r="Z22" s="116">
        <f t="shared" ref="Z22:AA22" si="58">Z19+Z15+Z10</f>
        <v>996</v>
      </c>
      <c r="AA22" s="110">
        <f t="shared" si="58"/>
        <v>962</v>
      </c>
      <c r="AB22" s="118">
        <f>(T22+U22)/W22</f>
        <v>1.0353430353430353</v>
      </c>
      <c r="AD22" s="29"/>
      <c r="AR22" s="29"/>
      <c r="AS22" s="29"/>
      <c r="AT22" s="29"/>
      <c r="AU22" s="29"/>
      <c r="AV22" s="29"/>
      <c r="AW22" s="29"/>
      <c r="AX22" s="29"/>
      <c r="AY22" s="29"/>
      <c r="AZ22" s="29"/>
    </row>
    <row r="23" spans="1:52" ht="15.75" customHeight="1">
      <c r="AR23" s="29"/>
      <c r="AS23" s="29"/>
      <c r="AT23" s="29"/>
      <c r="AU23" s="29"/>
      <c r="AV23" s="29"/>
      <c r="AW23" s="29"/>
      <c r="AX23" s="29"/>
      <c r="AY23" s="29"/>
      <c r="AZ23" s="29"/>
    </row>
    <row r="24" spans="1:52" ht="15.75" customHeight="1">
      <c r="Y24" s="2">
        <v>46203</v>
      </c>
      <c r="Z24" s="24"/>
      <c r="AA24" s="58">
        <f>AA22-Z22</f>
        <v>-34</v>
      </c>
      <c r="AR24" s="29"/>
      <c r="AS24" s="29"/>
      <c r="AT24" s="29"/>
      <c r="AU24" s="29"/>
      <c r="AV24" s="29"/>
      <c r="AW24" s="29"/>
      <c r="AX24" s="29"/>
      <c r="AY24" s="29"/>
      <c r="AZ24" s="29"/>
    </row>
    <row r="25" spans="1:52" ht="15.75" customHeight="1">
      <c r="A25" s="274" t="s">
        <v>63</v>
      </c>
      <c r="B25" s="275"/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6"/>
      <c r="S25" s="15" t="s">
        <v>2</v>
      </c>
      <c r="T25" s="120" t="s">
        <v>3</v>
      </c>
      <c r="Y25" s="121">
        <f ca="1">TODAY()</f>
        <v>46308</v>
      </c>
    </row>
    <row r="26" spans="1:52" ht="15.75" customHeight="1">
      <c r="A26" s="32"/>
      <c r="B26" s="280" t="s">
        <v>64</v>
      </c>
      <c r="C26" s="278"/>
      <c r="D26" s="278"/>
      <c r="E26" s="278"/>
      <c r="F26" s="280" t="s">
        <v>10</v>
      </c>
      <c r="G26" s="278"/>
      <c r="H26" s="278"/>
      <c r="I26" s="278"/>
      <c r="J26" s="280" t="s">
        <v>17</v>
      </c>
      <c r="K26" s="278"/>
      <c r="L26" s="278"/>
      <c r="M26" s="278"/>
      <c r="N26" s="23"/>
      <c r="O26" s="280" t="s">
        <v>14</v>
      </c>
      <c r="P26" s="278"/>
      <c r="Q26" s="278"/>
      <c r="R26" s="279"/>
      <c r="Y26" s="31">
        <f ca="1">Y24-Y25</f>
        <v>-105</v>
      </c>
    </row>
    <row r="27" spans="1:52" ht="57.6">
      <c r="A27" s="32"/>
      <c r="B27" s="38" t="s">
        <v>65</v>
      </c>
      <c r="C27" s="38" t="s">
        <v>66</v>
      </c>
      <c r="D27" s="38" t="s">
        <v>28</v>
      </c>
      <c r="E27" s="38" t="s">
        <v>67</v>
      </c>
      <c r="F27" s="38" t="s">
        <v>65</v>
      </c>
      <c r="G27" s="38" t="s">
        <v>66</v>
      </c>
      <c r="H27" s="38" t="s">
        <v>28</v>
      </c>
      <c r="I27" s="38" t="s">
        <v>67</v>
      </c>
      <c r="J27" s="38" t="s">
        <v>65</v>
      </c>
      <c r="K27" s="38" t="s">
        <v>66</v>
      </c>
      <c r="L27" s="38" t="s">
        <v>28</v>
      </c>
      <c r="M27" s="38" t="s">
        <v>67</v>
      </c>
      <c r="N27" s="38"/>
      <c r="O27" s="38" t="s">
        <v>65</v>
      </c>
      <c r="P27" s="38" t="s">
        <v>66</v>
      </c>
      <c r="Q27" s="38" t="s">
        <v>28</v>
      </c>
      <c r="R27" s="46" t="s">
        <v>67</v>
      </c>
      <c r="W27" s="29"/>
    </row>
    <row r="28" spans="1:52" ht="14.4">
      <c r="A28" s="32" t="s">
        <v>24</v>
      </c>
      <c r="B28" s="39">
        <v>198</v>
      </c>
      <c r="C28" s="39">
        <v>0</v>
      </c>
      <c r="D28" s="56">
        <f>SUM(B28:C28)</f>
        <v>198</v>
      </c>
      <c r="E28" s="57">
        <v>100</v>
      </c>
      <c r="F28" s="124">
        <v>128</v>
      </c>
      <c r="G28" s="39">
        <v>0</v>
      </c>
      <c r="H28" s="56">
        <f>SUM(F28:G28)</f>
        <v>128</v>
      </c>
      <c r="I28" s="57">
        <v>100</v>
      </c>
      <c r="J28" s="124">
        <v>328</v>
      </c>
      <c r="K28" s="124">
        <v>0</v>
      </c>
      <c r="L28" s="56">
        <v>0</v>
      </c>
      <c r="M28" s="57">
        <v>157</v>
      </c>
      <c r="N28" s="65"/>
      <c r="O28" s="66">
        <f t="shared" ref="O28:P28" si="59">J28+F28+B28</f>
        <v>654</v>
      </c>
      <c r="P28" s="66">
        <f t="shared" si="59"/>
        <v>0</v>
      </c>
      <c r="Q28" s="56">
        <f>P28+O28</f>
        <v>654</v>
      </c>
      <c r="R28" s="68">
        <f>M28+I28+E28</f>
        <v>357</v>
      </c>
      <c r="S28" s="83">
        <v>46203</v>
      </c>
      <c r="T28" s="31" t="s">
        <v>43</v>
      </c>
      <c r="W28" s="29"/>
      <c r="Z28" s="31" t="s">
        <v>68</v>
      </c>
    </row>
    <row r="29" spans="1:52" ht="14.4">
      <c r="A29" s="35" t="s">
        <v>44</v>
      </c>
      <c r="B29" s="78">
        <f t="shared" ref="B29:M29" si="60">SUM(B28)</f>
        <v>198</v>
      </c>
      <c r="C29" s="78">
        <f t="shared" si="60"/>
        <v>0</v>
      </c>
      <c r="D29" s="78">
        <f t="shared" si="60"/>
        <v>198</v>
      </c>
      <c r="E29" s="78">
        <f t="shared" si="60"/>
        <v>100</v>
      </c>
      <c r="F29" s="78">
        <f t="shared" si="60"/>
        <v>128</v>
      </c>
      <c r="G29" s="78">
        <f t="shared" si="60"/>
        <v>0</v>
      </c>
      <c r="H29" s="78">
        <f t="shared" si="60"/>
        <v>128</v>
      </c>
      <c r="I29" s="78">
        <f t="shared" si="60"/>
        <v>100</v>
      </c>
      <c r="J29" s="78">
        <f t="shared" si="60"/>
        <v>328</v>
      </c>
      <c r="K29" s="78">
        <f t="shared" si="60"/>
        <v>0</v>
      </c>
      <c r="L29" s="78">
        <f t="shared" si="60"/>
        <v>0</v>
      </c>
      <c r="M29" s="78">
        <f t="shared" si="60"/>
        <v>157</v>
      </c>
      <c r="N29" s="65"/>
      <c r="O29" s="78">
        <f t="shared" ref="O29:R29" si="61">SUM(O28)</f>
        <v>654</v>
      </c>
      <c r="P29" s="78">
        <f t="shared" si="61"/>
        <v>0</v>
      </c>
      <c r="Q29" s="78">
        <f t="shared" si="61"/>
        <v>654</v>
      </c>
      <c r="R29" s="92">
        <f t="shared" si="61"/>
        <v>357</v>
      </c>
      <c r="V29" s="83"/>
      <c r="W29" s="29"/>
    </row>
    <row r="30" spans="1:52" ht="14.4">
      <c r="A30" s="32" t="s">
        <v>51</v>
      </c>
      <c r="B30" s="39">
        <v>27</v>
      </c>
      <c r="C30" s="66"/>
      <c r="D30" s="56">
        <f>SUM(B30:C30)</f>
        <v>27</v>
      </c>
      <c r="E30" s="57">
        <v>20</v>
      </c>
      <c r="F30" s="124">
        <v>8</v>
      </c>
      <c r="G30" s="66">
        <v>0</v>
      </c>
      <c r="H30" s="56">
        <f>SUM(F30:G30)</f>
        <v>8</v>
      </c>
      <c r="I30" s="57">
        <v>20</v>
      </c>
      <c r="J30" s="124">
        <v>45</v>
      </c>
      <c r="K30" s="124">
        <v>0</v>
      </c>
      <c r="L30" s="56">
        <f>K30+J30</f>
        <v>45</v>
      </c>
      <c r="M30" s="57">
        <v>47</v>
      </c>
      <c r="N30" s="65"/>
      <c r="O30" s="66">
        <f>J30+F30+B30</f>
        <v>80</v>
      </c>
      <c r="P30" s="66">
        <f>C30+G30+K30</f>
        <v>0</v>
      </c>
      <c r="Q30" s="56">
        <f>P30+O30</f>
        <v>80</v>
      </c>
      <c r="R30" s="68">
        <f>M30+I30+E30</f>
        <v>87</v>
      </c>
      <c r="S30" s="83">
        <v>46204</v>
      </c>
      <c r="T30" s="31" t="s">
        <v>56</v>
      </c>
      <c r="W30" s="29"/>
    </row>
    <row r="31" spans="1:52" ht="14.4">
      <c r="A31" s="35" t="s">
        <v>54</v>
      </c>
      <c r="B31" s="78">
        <f t="shared" ref="B31:M31" si="62">SUM(B30)</f>
        <v>27</v>
      </c>
      <c r="C31" s="78">
        <f t="shared" si="62"/>
        <v>0</v>
      </c>
      <c r="D31" s="78">
        <f t="shared" si="62"/>
        <v>27</v>
      </c>
      <c r="E31" s="78">
        <f t="shared" si="62"/>
        <v>20</v>
      </c>
      <c r="F31" s="78">
        <f t="shared" si="62"/>
        <v>8</v>
      </c>
      <c r="G31" s="78">
        <f t="shared" si="62"/>
        <v>0</v>
      </c>
      <c r="H31" s="78">
        <f t="shared" si="62"/>
        <v>8</v>
      </c>
      <c r="I31" s="78">
        <f t="shared" si="62"/>
        <v>20</v>
      </c>
      <c r="J31" s="78">
        <f t="shared" si="62"/>
        <v>45</v>
      </c>
      <c r="K31" s="78">
        <f t="shared" si="62"/>
        <v>0</v>
      </c>
      <c r="L31" s="78">
        <f t="shared" si="62"/>
        <v>45</v>
      </c>
      <c r="M31" s="78">
        <f t="shared" si="62"/>
        <v>47</v>
      </c>
      <c r="N31" s="65"/>
      <c r="O31" s="78">
        <f t="shared" ref="O31:R31" si="63">SUM(O30)</f>
        <v>80</v>
      </c>
      <c r="P31" s="78">
        <f t="shared" si="63"/>
        <v>0</v>
      </c>
      <c r="Q31" s="78">
        <f t="shared" si="63"/>
        <v>80</v>
      </c>
      <c r="R31" s="92">
        <f t="shared" si="63"/>
        <v>87</v>
      </c>
      <c r="V31" s="83"/>
      <c r="W31" s="29"/>
      <c r="X31" s="31"/>
    </row>
    <row r="32" spans="1:52" ht="14.4">
      <c r="A32" s="32" t="s">
        <v>55</v>
      </c>
      <c r="B32" s="39">
        <v>13</v>
      </c>
      <c r="C32" s="66">
        <v>0</v>
      </c>
      <c r="D32" s="56">
        <f>SUM(B32:C32)</f>
        <v>13</v>
      </c>
      <c r="E32" s="57">
        <v>27</v>
      </c>
      <c r="F32" s="124">
        <v>237</v>
      </c>
      <c r="G32" s="66">
        <v>0</v>
      </c>
      <c r="H32" s="56">
        <f>SUM(F32:G32)</f>
        <v>237</v>
      </c>
      <c r="I32" s="57">
        <v>45</v>
      </c>
      <c r="J32" s="124">
        <v>34</v>
      </c>
      <c r="K32" s="124">
        <v>0</v>
      </c>
      <c r="L32" s="56">
        <f>K32+J32</f>
        <v>34</v>
      </c>
      <c r="M32" s="57">
        <v>57</v>
      </c>
      <c r="N32" s="65"/>
      <c r="O32" s="66">
        <f t="shared" ref="O32:P32" si="64">J32+F32+B32</f>
        <v>284</v>
      </c>
      <c r="P32" s="66">
        <f t="shared" si="64"/>
        <v>0</v>
      </c>
      <c r="Q32" s="56">
        <f>P32+O32</f>
        <v>284</v>
      </c>
      <c r="R32" s="68">
        <f>M32+I32+E32</f>
        <v>129</v>
      </c>
      <c r="S32" s="83">
        <v>46203</v>
      </c>
      <c r="T32" s="31" t="s">
        <v>43</v>
      </c>
      <c r="W32" s="29"/>
    </row>
    <row r="33" spans="1:23" ht="14.4">
      <c r="A33" s="35" t="s">
        <v>59</v>
      </c>
      <c r="B33" s="78">
        <f t="shared" ref="B33:M33" si="65">SUM(B32)</f>
        <v>13</v>
      </c>
      <c r="C33" s="78">
        <f t="shared" si="65"/>
        <v>0</v>
      </c>
      <c r="D33" s="78">
        <f t="shared" si="65"/>
        <v>13</v>
      </c>
      <c r="E33" s="78">
        <f t="shared" si="65"/>
        <v>27</v>
      </c>
      <c r="F33" s="78">
        <f t="shared" si="65"/>
        <v>237</v>
      </c>
      <c r="G33" s="78">
        <f t="shared" si="65"/>
        <v>0</v>
      </c>
      <c r="H33" s="78">
        <f t="shared" si="65"/>
        <v>237</v>
      </c>
      <c r="I33" s="78">
        <f t="shared" si="65"/>
        <v>45</v>
      </c>
      <c r="J33" s="78">
        <f t="shared" si="65"/>
        <v>34</v>
      </c>
      <c r="K33" s="78">
        <f t="shared" si="65"/>
        <v>0</v>
      </c>
      <c r="L33" s="78">
        <f t="shared" si="65"/>
        <v>34</v>
      </c>
      <c r="M33" s="78">
        <f t="shared" si="65"/>
        <v>57</v>
      </c>
      <c r="N33" s="65"/>
      <c r="O33" s="78">
        <f t="shared" ref="O33:R33" si="66">SUM(O32)</f>
        <v>284</v>
      </c>
      <c r="P33" s="78">
        <f t="shared" si="66"/>
        <v>0</v>
      </c>
      <c r="Q33" s="78">
        <f t="shared" si="66"/>
        <v>284</v>
      </c>
      <c r="R33" s="92">
        <f t="shared" si="66"/>
        <v>129</v>
      </c>
      <c r="W33" s="29"/>
    </row>
    <row r="34" spans="1:23" ht="14.4">
      <c r="A34" s="35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5"/>
      <c r="O34" s="66"/>
      <c r="P34" s="66"/>
      <c r="Q34" s="66"/>
      <c r="R34" s="104"/>
      <c r="V34" s="83"/>
      <c r="W34" s="29"/>
    </row>
    <row r="35" spans="1:23" ht="14.4">
      <c r="A35" s="32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104"/>
    </row>
    <row r="36" spans="1:23" ht="14.4">
      <c r="A36" s="126" t="s">
        <v>14</v>
      </c>
      <c r="B36" s="97">
        <f t="shared" ref="B36:M36" si="67">B33+B31+B29</f>
        <v>238</v>
      </c>
      <c r="C36" s="97">
        <f t="shared" si="67"/>
        <v>0</v>
      </c>
      <c r="D36" s="97">
        <f t="shared" si="67"/>
        <v>238</v>
      </c>
      <c r="E36" s="97">
        <f t="shared" si="67"/>
        <v>147</v>
      </c>
      <c r="F36" s="97">
        <f t="shared" si="67"/>
        <v>373</v>
      </c>
      <c r="G36" s="97">
        <f t="shared" si="67"/>
        <v>0</v>
      </c>
      <c r="H36" s="97">
        <f t="shared" si="67"/>
        <v>373</v>
      </c>
      <c r="I36" s="97">
        <f t="shared" si="67"/>
        <v>165</v>
      </c>
      <c r="J36" s="97">
        <f t="shared" si="67"/>
        <v>407</v>
      </c>
      <c r="K36" s="97">
        <f t="shared" si="67"/>
        <v>0</v>
      </c>
      <c r="L36" s="97">
        <f t="shared" si="67"/>
        <v>79</v>
      </c>
      <c r="M36" s="97">
        <f t="shared" si="67"/>
        <v>261</v>
      </c>
      <c r="N36" s="127"/>
      <c r="O36" s="97">
        <f t="shared" ref="O36:R36" si="68">O33+O31+O29</f>
        <v>1018</v>
      </c>
      <c r="P36" s="97">
        <f t="shared" si="68"/>
        <v>0</v>
      </c>
      <c r="Q36" s="97">
        <f t="shared" si="68"/>
        <v>1018</v>
      </c>
      <c r="R36" s="99">
        <f t="shared" si="68"/>
        <v>573</v>
      </c>
    </row>
    <row r="38" spans="1:23" ht="14.4">
      <c r="O38" s="15"/>
      <c r="P38" s="120"/>
      <c r="R38" s="129">
        <f>Q36/R36</f>
        <v>1.7766143106457242</v>
      </c>
    </row>
    <row r="40" spans="1:23" ht="14.4">
      <c r="A40" s="281" t="s">
        <v>71</v>
      </c>
      <c r="B40" s="282"/>
      <c r="C40" s="282"/>
      <c r="D40" s="282"/>
      <c r="E40" s="282"/>
      <c r="F40" s="282"/>
      <c r="G40" s="282"/>
      <c r="H40" s="282"/>
      <c r="I40" s="282"/>
      <c r="J40" s="282"/>
      <c r="K40" s="282"/>
      <c r="L40" s="283"/>
      <c r="M40" s="15" t="s">
        <v>2</v>
      </c>
      <c r="N40" s="120" t="s">
        <v>3</v>
      </c>
      <c r="P40" s="120"/>
    </row>
    <row r="41" spans="1:23" ht="14.4">
      <c r="A41" s="19"/>
      <c r="B41" s="284" t="s">
        <v>64</v>
      </c>
      <c r="C41" s="285"/>
      <c r="D41" s="30"/>
      <c r="E41" s="284" t="s">
        <v>10</v>
      </c>
      <c r="F41" s="285"/>
      <c r="G41" s="285"/>
      <c r="H41" s="284" t="s">
        <v>17</v>
      </c>
      <c r="I41" s="285"/>
      <c r="J41" s="285"/>
      <c r="K41" s="30" t="s">
        <v>14</v>
      </c>
      <c r="L41" s="133"/>
      <c r="Q41" s="29"/>
    </row>
    <row r="42" spans="1:23" ht="28.8">
      <c r="A42" s="19"/>
      <c r="B42" s="38" t="s">
        <v>26</v>
      </c>
      <c r="C42" s="38" t="s">
        <v>29</v>
      </c>
      <c r="D42" s="38"/>
      <c r="E42" s="38" t="s">
        <v>26</v>
      </c>
      <c r="F42" s="38" t="s">
        <v>29</v>
      </c>
      <c r="G42" s="38"/>
      <c r="H42" s="38" t="s">
        <v>26</v>
      </c>
      <c r="I42" s="38" t="s">
        <v>29</v>
      </c>
      <c r="J42" s="38"/>
      <c r="K42" s="38" t="s">
        <v>26</v>
      </c>
      <c r="L42" s="46" t="s">
        <v>29</v>
      </c>
      <c r="Q42" s="29"/>
    </row>
    <row r="43" spans="1:23" ht="14.4">
      <c r="A43" s="51" t="s">
        <v>36</v>
      </c>
      <c r="B43" s="55">
        <v>68</v>
      </c>
      <c r="C43" s="57">
        <v>59</v>
      </c>
      <c r="D43" s="61">
        <f t="shared" ref="D43:D56" si="69">B43/C43</f>
        <v>1.152542372881356</v>
      </c>
      <c r="E43" s="55">
        <v>57</v>
      </c>
      <c r="F43" s="57">
        <v>59</v>
      </c>
      <c r="G43" s="61">
        <f t="shared" ref="G43:G56" si="70">E43/F43</f>
        <v>0.96610169491525422</v>
      </c>
      <c r="H43" s="55">
        <v>56</v>
      </c>
      <c r="I43" s="57">
        <v>62</v>
      </c>
      <c r="J43" s="61">
        <f t="shared" ref="J43:J56" si="71">H43/I43</f>
        <v>0.90322580645161288</v>
      </c>
      <c r="K43" s="66">
        <f t="shared" ref="K43:L43" si="72">H43+E43+B43</f>
        <v>181</v>
      </c>
      <c r="L43" s="68">
        <f t="shared" si="72"/>
        <v>180</v>
      </c>
      <c r="M43" s="77">
        <v>46203</v>
      </c>
      <c r="N43" s="31" t="s">
        <v>43</v>
      </c>
      <c r="Q43" s="29"/>
      <c r="R43" s="77"/>
    </row>
    <row r="44" spans="1:23" ht="14.4">
      <c r="A44" s="51" t="s">
        <v>40</v>
      </c>
      <c r="B44" s="55">
        <v>59</v>
      </c>
      <c r="C44" s="57">
        <v>51</v>
      </c>
      <c r="D44" s="61">
        <f t="shared" si="69"/>
        <v>1.1568627450980393</v>
      </c>
      <c r="E44" s="55">
        <v>42</v>
      </c>
      <c r="F44" s="57">
        <v>51</v>
      </c>
      <c r="G44" s="61">
        <f t="shared" si="70"/>
        <v>0.82352941176470584</v>
      </c>
      <c r="H44" s="55">
        <v>42</v>
      </c>
      <c r="I44" s="57">
        <v>54</v>
      </c>
      <c r="J44" s="61">
        <f t="shared" si="71"/>
        <v>0.77777777777777779</v>
      </c>
      <c r="K44" s="66">
        <f t="shared" ref="K44:L44" si="73">H44+E44+B44</f>
        <v>143</v>
      </c>
      <c r="L44" s="68">
        <f t="shared" si="73"/>
        <v>156</v>
      </c>
      <c r="M44" s="77">
        <v>46203</v>
      </c>
      <c r="N44" s="31" t="s">
        <v>43</v>
      </c>
      <c r="Q44" s="29"/>
      <c r="R44" s="77"/>
    </row>
    <row r="45" spans="1:23" ht="14.4">
      <c r="A45" s="51" t="s">
        <v>41</v>
      </c>
      <c r="B45" s="55">
        <v>49</v>
      </c>
      <c r="C45" s="57">
        <v>47</v>
      </c>
      <c r="D45" s="61">
        <f t="shared" si="69"/>
        <v>1.0425531914893618</v>
      </c>
      <c r="E45" s="55">
        <v>47</v>
      </c>
      <c r="F45" s="57">
        <v>47</v>
      </c>
      <c r="G45" s="61">
        <f t="shared" si="70"/>
        <v>1</v>
      </c>
      <c r="H45" s="55">
        <v>44</v>
      </c>
      <c r="I45" s="57">
        <v>50</v>
      </c>
      <c r="J45" s="61">
        <f t="shared" si="71"/>
        <v>0.88</v>
      </c>
      <c r="K45" s="66">
        <f t="shared" ref="K45:L45" si="74">H45+E45+B45</f>
        <v>140</v>
      </c>
      <c r="L45" s="68">
        <f t="shared" si="74"/>
        <v>144</v>
      </c>
      <c r="M45" s="77">
        <v>46203</v>
      </c>
      <c r="N45" s="31" t="s">
        <v>43</v>
      </c>
      <c r="Q45" s="29"/>
      <c r="R45" s="77"/>
    </row>
    <row r="46" spans="1:23" ht="13.2">
      <c r="A46" s="51" t="s">
        <v>48</v>
      </c>
      <c r="B46" s="84">
        <v>59</v>
      </c>
      <c r="C46" s="57">
        <v>56</v>
      </c>
      <c r="D46" s="61">
        <f t="shared" si="69"/>
        <v>1.0535714285714286</v>
      </c>
      <c r="E46" s="55">
        <v>52</v>
      </c>
      <c r="F46" s="57">
        <v>56</v>
      </c>
      <c r="G46" s="61">
        <f t="shared" si="70"/>
        <v>0.9285714285714286</v>
      </c>
      <c r="H46" s="55">
        <v>49</v>
      </c>
      <c r="I46" s="57">
        <v>59</v>
      </c>
      <c r="J46" s="61">
        <f t="shared" si="71"/>
        <v>0.83050847457627119</v>
      </c>
      <c r="K46" s="66">
        <f t="shared" ref="K46:L46" si="75">H46+E46+B46</f>
        <v>160</v>
      </c>
      <c r="L46" s="68">
        <f t="shared" si="75"/>
        <v>171</v>
      </c>
      <c r="M46" s="77">
        <v>46203</v>
      </c>
      <c r="N46" s="31" t="s">
        <v>43</v>
      </c>
      <c r="O46" s="137">
        <f>K47/L47</f>
        <v>0.95852534562211977</v>
      </c>
      <c r="Q46" s="31">
        <f>K47-L47</f>
        <v>-27</v>
      </c>
    </row>
    <row r="47" spans="1:23" ht="14.4">
      <c r="A47" s="89" t="s">
        <v>44</v>
      </c>
      <c r="B47" s="78">
        <f t="shared" ref="B47:C47" si="76">SUM(B43:B46)</f>
        <v>235</v>
      </c>
      <c r="C47" s="78">
        <f t="shared" si="76"/>
        <v>213</v>
      </c>
      <c r="D47" s="61">
        <f t="shared" si="69"/>
        <v>1.1032863849765258</v>
      </c>
      <c r="E47" s="78">
        <f t="shared" ref="E47:F47" si="77">SUM(E43:E46)</f>
        <v>198</v>
      </c>
      <c r="F47" s="78">
        <f t="shared" si="77"/>
        <v>213</v>
      </c>
      <c r="G47" s="61">
        <f t="shared" si="70"/>
        <v>0.92957746478873238</v>
      </c>
      <c r="H47" s="78">
        <f t="shared" ref="H47:I47" si="78">SUM(H43:H46)</f>
        <v>191</v>
      </c>
      <c r="I47" s="78">
        <f t="shared" si="78"/>
        <v>225</v>
      </c>
      <c r="J47" s="61">
        <f t="shared" si="71"/>
        <v>0.84888888888888892</v>
      </c>
      <c r="K47" s="78">
        <f t="shared" ref="K47:L47" si="79">SUM(K43:K46)</f>
        <v>624</v>
      </c>
      <c r="L47" s="92">
        <f t="shared" si="79"/>
        <v>651</v>
      </c>
      <c r="O47" s="29"/>
      <c r="P47" s="83"/>
    </row>
    <row r="48" spans="1:23" ht="14.4">
      <c r="A48" s="51" t="s">
        <v>52</v>
      </c>
      <c r="B48" s="66">
        <v>49</v>
      </c>
      <c r="C48" s="57">
        <v>47</v>
      </c>
      <c r="D48" s="61">
        <f t="shared" si="69"/>
        <v>1.0425531914893618</v>
      </c>
      <c r="E48" s="39">
        <v>41</v>
      </c>
      <c r="F48" s="57">
        <v>47</v>
      </c>
      <c r="G48" s="61">
        <f t="shared" si="70"/>
        <v>0.87234042553191493</v>
      </c>
      <c r="H48" s="39">
        <v>48</v>
      </c>
      <c r="I48" s="57">
        <v>50</v>
      </c>
      <c r="J48" s="61">
        <f t="shared" si="71"/>
        <v>0.96</v>
      </c>
      <c r="K48" s="66">
        <f t="shared" ref="K48:L48" si="80">H48+E48+B48</f>
        <v>138</v>
      </c>
      <c r="L48" s="68">
        <f t="shared" si="80"/>
        <v>144</v>
      </c>
      <c r="M48" s="83">
        <v>46204</v>
      </c>
      <c r="N48" s="31" t="s">
        <v>56</v>
      </c>
      <c r="O48" s="29"/>
      <c r="P48" s="83"/>
    </row>
    <row r="49" spans="1:18" ht="14.4">
      <c r="A49" s="51" t="s">
        <v>51</v>
      </c>
      <c r="B49" s="66">
        <v>41</v>
      </c>
      <c r="C49" s="57">
        <v>42</v>
      </c>
      <c r="D49" s="61">
        <f t="shared" si="69"/>
        <v>0.97619047619047616</v>
      </c>
      <c r="E49" s="39">
        <v>42</v>
      </c>
      <c r="F49" s="57">
        <v>42</v>
      </c>
      <c r="G49" s="61">
        <f t="shared" si="70"/>
        <v>1</v>
      </c>
      <c r="H49" s="39">
        <v>39</v>
      </c>
      <c r="I49" s="57">
        <v>44</v>
      </c>
      <c r="J49" s="61">
        <f t="shared" si="71"/>
        <v>0.88636363636363635</v>
      </c>
      <c r="K49" s="66">
        <f t="shared" ref="K49:L49" si="81">H49+E49+B49</f>
        <v>122</v>
      </c>
      <c r="L49" s="68">
        <f t="shared" si="81"/>
        <v>128</v>
      </c>
      <c r="M49" s="83">
        <v>46204</v>
      </c>
      <c r="N49" s="31" t="s">
        <v>56</v>
      </c>
      <c r="O49" s="29"/>
      <c r="P49" s="83"/>
    </row>
    <row r="50" spans="1:18" ht="14.4">
      <c r="A50" s="51" t="s">
        <v>46</v>
      </c>
      <c r="B50" s="66">
        <v>44</v>
      </c>
      <c r="C50" s="57">
        <v>44</v>
      </c>
      <c r="D50" s="61">
        <f t="shared" si="69"/>
        <v>1</v>
      </c>
      <c r="E50" s="39">
        <v>44</v>
      </c>
      <c r="F50" s="57">
        <v>44</v>
      </c>
      <c r="G50" s="61">
        <f t="shared" si="70"/>
        <v>1</v>
      </c>
      <c r="H50" s="39">
        <v>49</v>
      </c>
      <c r="I50" s="57">
        <v>46</v>
      </c>
      <c r="J50" s="61">
        <f t="shared" si="71"/>
        <v>1.0652173913043479</v>
      </c>
      <c r="K50" s="66">
        <f t="shared" ref="K50:L50" si="82">H50+E50+B50</f>
        <v>137</v>
      </c>
      <c r="L50" s="68">
        <f t="shared" si="82"/>
        <v>134</v>
      </c>
      <c r="M50" s="83">
        <v>46204</v>
      </c>
      <c r="N50" s="31" t="s">
        <v>56</v>
      </c>
      <c r="O50" s="29"/>
      <c r="P50" s="83"/>
    </row>
    <row r="51" spans="1:18" ht="13.2">
      <c r="A51" s="51" t="s">
        <v>53</v>
      </c>
      <c r="B51" s="66">
        <v>94</v>
      </c>
      <c r="C51" s="57">
        <v>85</v>
      </c>
      <c r="D51" s="61">
        <f t="shared" si="69"/>
        <v>1.1058823529411765</v>
      </c>
      <c r="E51" s="39">
        <v>79</v>
      </c>
      <c r="F51" s="57">
        <v>85</v>
      </c>
      <c r="G51" s="61">
        <f t="shared" si="70"/>
        <v>0.92941176470588238</v>
      </c>
      <c r="H51" s="39">
        <v>98</v>
      </c>
      <c r="I51" s="57">
        <v>89</v>
      </c>
      <c r="J51" s="61">
        <f t="shared" si="71"/>
        <v>1.101123595505618</v>
      </c>
      <c r="K51" s="66">
        <f t="shared" ref="K51:L51" si="83">H51+E51+B51</f>
        <v>271</v>
      </c>
      <c r="L51" s="68">
        <f t="shared" si="83"/>
        <v>259</v>
      </c>
      <c r="M51" s="83">
        <v>46204</v>
      </c>
      <c r="N51" s="31" t="s">
        <v>56</v>
      </c>
      <c r="O51" s="137">
        <f>K52/L52</f>
        <v>1.0045112781954888</v>
      </c>
      <c r="Q51" s="31">
        <f>K52-L52</f>
        <v>3</v>
      </c>
    </row>
    <row r="52" spans="1:18" ht="14.4">
      <c r="A52" s="89" t="s">
        <v>54</v>
      </c>
      <c r="B52" s="78">
        <f t="shared" ref="B52:C52" si="84">SUM(B48:B51)</f>
        <v>228</v>
      </c>
      <c r="C52" s="78">
        <f t="shared" si="84"/>
        <v>218</v>
      </c>
      <c r="D52" s="61">
        <f t="shared" si="69"/>
        <v>1.0458715596330275</v>
      </c>
      <c r="E52" s="78">
        <f t="shared" ref="E52:F52" si="85">SUM(E48:E51)</f>
        <v>206</v>
      </c>
      <c r="F52" s="78">
        <f t="shared" si="85"/>
        <v>218</v>
      </c>
      <c r="G52" s="61">
        <f t="shared" si="70"/>
        <v>0.94495412844036697</v>
      </c>
      <c r="H52" s="78">
        <f t="shared" ref="H52:I52" si="86">SUM(H48:H51)</f>
        <v>234</v>
      </c>
      <c r="I52" s="78">
        <f t="shared" si="86"/>
        <v>229</v>
      </c>
      <c r="J52" s="61">
        <f t="shared" si="71"/>
        <v>1.0218340611353711</v>
      </c>
      <c r="K52" s="78">
        <f t="shared" ref="K52:L52" si="87">SUM(K48:K51)</f>
        <v>668</v>
      </c>
      <c r="L52" s="92">
        <f t="shared" si="87"/>
        <v>665</v>
      </c>
      <c r="O52" s="29"/>
      <c r="P52" s="83"/>
    </row>
    <row r="53" spans="1:18" ht="14.4">
      <c r="A53" s="51" t="s">
        <v>55</v>
      </c>
      <c r="B53" s="55">
        <v>40</v>
      </c>
      <c r="C53" s="57">
        <v>34</v>
      </c>
      <c r="D53" s="61">
        <f t="shared" si="69"/>
        <v>1.1764705882352942</v>
      </c>
      <c r="E53" s="55">
        <v>37</v>
      </c>
      <c r="F53" s="57">
        <v>34</v>
      </c>
      <c r="G53" s="61">
        <f t="shared" si="70"/>
        <v>1.088235294117647</v>
      </c>
      <c r="H53" s="55">
        <v>40</v>
      </c>
      <c r="I53" s="57">
        <v>36</v>
      </c>
      <c r="J53" s="61">
        <f t="shared" si="71"/>
        <v>1.1111111111111112</v>
      </c>
      <c r="K53" s="66">
        <f t="shared" ref="K53:L53" si="88">H53+E53+B53</f>
        <v>117</v>
      </c>
      <c r="L53" s="68">
        <f t="shared" si="88"/>
        <v>104</v>
      </c>
      <c r="M53" s="77">
        <v>46203</v>
      </c>
      <c r="N53" s="31" t="s">
        <v>43</v>
      </c>
      <c r="O53" s="29"/>
      <c r="P53" s="83"/>
    </row>
    <row r="54" spans="1:18" ht="14.4">
      <c r="A54" s="51" t="s">
        <v>57</v>
      </c>
      <c r="B54" s="55">
        <v>32</v>
      </c>
      <c r="C54" s="57">
        <v>44</v>
      </c>
      <c r="D54" s="61">
        <f t="shared" si="69"/>
        <v>0.72727272727272729</v>
      </c>
      <c r="E54" s="55">
        <v>52</v>
      </c>
      <c r="F54" s="57">
        <v>44</v>
      </c>
      <c r="G54" s="61">
        <f t="shared" si="70"/>
        <v>1.1818181818181819</v>
      </c>
      <c r="H54" s="55">
        <v>35</v>
      </c>
      <c r="I54" s="57">
        <v>46</v>
      </c>
      <c r="J54" s="61">
        <f t="shared" si="71"/>
        <v>0.76086956521739135</v>
      </c>
      <c r="K54" s="66">
        <f t="shared" ref="K54:L54" si="89">H54+E54+B54</f>
        <v>119</v>
      </c>
      <c r="L54" s="68">
        <f t="shared" si="89"/>
        <v>134</v>
      </c>
      <c r="M54" s="77">
        <v>46203</v>
      </c>
      <c r="N54" s="31" t="s">
        <v>43</v>
      </c>
      <c r="O54" s="29"/>
      <c r="P54" s="83"/>
    </row>
    <row r="55" spans="1:18" ht="13.2">
      <c r="A55" s="51" t="s">
        <v>58</v>
      </c>
      <c r="B55" s="55">
        <v>20</v>
      </c>
      <c r="C55" s="57">
        <v>20</v>
      </c>
      <c r="D55" s="61">
        <f t="shared" si="69"/>
        <v>1</v>
      </c>
      <c r="E55" s="55">
        <v>20</v>
      </c>
      <c r="F55" s="57">
        <v>20</v>
      </c>
      <c r="G55" s="61">
        <f t="shared" si="70"/>
        <v>1</v>
      </c>
      <c r="H55" s="55">
        <v>31</v>
      </c>
      <c r="I55" s="57">
        <v>21</v>
      </c>
      <c r="J55" s="61">
        <f t="shared" si="71"/>
        <v>1.4761904761904763</v>
      </c>
      <c r="K55" s="66">
        <f t="shared" ref="K55:L55" si="90">H55+E55+B55</f>
        <v>71</v>
      </c>
      <c r="L55" s="68">
        <f t="shared" si="90"/>
        <v>61</v>
      </c>
      <c r="M55" s="77">
        <v>46203</v>
      </c>
      <c r="N55" s="31" t="s">
        <v>43</v>
      </c>
      <c r="O55" s="137">
        <f>K56/L56</f>
        <v>1.0267558528428093</v>
      </c>
      <c r="Q55" s="31">
        <f>K56-L56</f>
        <v>8</v>
      </c>
    </row>
    <row r="56" spans="1:18" ht="14.4">
      <c r="A56" s="89" t="s">
        <v>59</v>
      </c>
      <c r="B56" s="78">
        <f t="shared" ref="B56:C56" si="91">SUM(B53:B55)</f>
        <v>92</v>
      </c>
      <c r="C56" s="78">
        <f t="shared" si="91"/>
        <v>98</v>
      </c>
      <c r="D56" s="61">
        <f t="shared" si="69"/>
        <v>0.93877551020408168</v>
      </c>
      <c r="E56" s="78">
        <f t="shared" ref="E56:F56" si="92">SUM(E53:E55)</f>
        <v>109</v>
      </c>
      <c r="F56" s="78">
        <f t="shared" si="92"/>
        <v>98</v>
      </c>
      <c r="G56" s="61">
        <f t="shared" si="70"/>
        <v>1.1122448979591837</v>
      </c>
      <c r="H56" s="78">
        <f t="shared" ref="H56:I56" si="93">SUM(H53:H55)</f>
        <v>106</v>
      </c>
      <c r="I56" s="78">
        <f t="shared" si="93"/>
        <v>103</v>
      </c>
      <c r="J56" s="61">
        <f t="shared" si="71"/>
        <v>1.029126213592233</v>
      </c>
      <c r="K56" s="78">
        <f t="shared" ref="K56:L56" si="94">SUM(K53:K55)</f>
        <v>307</v>
      </c>
      <c r="L56" s="92">
        <f t="shared" si="94"/>
        <v>299</v>
      </c>
      <c r="O56" s="29"/>
    </row>
    <row r="57" spans="1:18" ht="13.2">
      <c r="A57" s="89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104"/>
    </row>
    <row r="58" spans="1:18" ht="13.2">
      <c r="A58" s="51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104"/>
      <c r="O58" s="137">
        <f>K59/L59</f>
        <v>0.99009287925696599</v>
      </c>
      <c r="Q58" s="58">
        <f>L59-K59</f>
        <v>16</v>
      </c>
      <c r="R58" s="31">
        <f>Q58/1.2</f>
        <v>13.333333333333334</v>
      </c>
    </row>
    <row r="59" spans="1:18" ht="13.2">
      <c r="A59" s="108" t="s">
        <v>14</v>
      </c>
      <c r="B59" s="110">
        <f t="shared" ref="B59:C59" si="95">B56+B52+B47</f>
        <v>555</v>
      </c>
      <c r="C59" s="110">
        <f t="shared" si="95"/>
        <v>529</v>
      </c>
      <c r="D59" s="112">
        <f>B59/C59</f>
        <v>1.0491493383742911</v>
      </c>
      <c r="E59" s="110">
        <f t="shared" ref="E59:F59" si="96">E56+E52+E47</f>
        <v>513</v>
      </c>
      <c r="F59" s="110">
        <f t="shared" si="96"/>
        <v>529</v>
      </c>
      <c r="G59" s="112">
        <f>E59/F59</f>
        <v>0.96975425330812859</v>
      </c>
      <c r="H59" s="110">
        <f t="shared" ref="H59:I59" si="97">H56+H52+H47</f>
        <v>531</v>
      </c>
      <c r="I59" s="110">
        <f t="shared" si="97"/>
        <v>557</v>
      </c>
      <c r="J59" s="112">
        <f>H59/I59</f>
        <v>0.95332136445242366</v>
      </c>
      <c r="K59" s="110">
        <f t="shared" ref="K59:L59" si="98">K56+K52+K47</f>
        <v>1599</v>
      </c>
      <c r="L59" s="115">
        <f t="shared" si="98"/>
        <v>1615</v>
      </c>
    </row>
  </sheetData>
  <mergeCells count="14">
    <mergeCell ref="A25:R25"/>
    <mergeCell ref="B26:E26"/>
    <mergeCell ref="O26:R26"/>
    <mergeCell ref="A3:W3"/>
    <mergeCell ref="B4:E4"/>
    <mergeCell ref="G4:K4"/>
    <mergeCell ref="M4:Q4"/>
    <mergeCell ref="T4:W4"/>
    <mergeCell ref="F26:I26"/>
    <mergeCell ref="J26:M26"/>
    <mergeCell ref="A40:L40"/>
    <mergeCell ref="B41:C41"/>
    <mergeCell ref="E41:G41"/>
    <mergeCell ref="H41:J4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BB60"/>
  <sheetViews>
    <sheetView workbookViewId="0"/>
  </sheetViews>
  <sheetFormatPr defaultColWidth="12.6640625" defaultRowHeight="15.75" customHeight="1"/>
  <cols>
    <col min="1" max="1" width="27.33203125" customWidth="1"/>
    <col min="2" max="2" width="9" customWidth="1"/>
    <col min="3" max="3" width="8.6640625" customWidth="1"/>
    <col min="4" max="4" width="7.109375" customWidth="1"/>
    <col min="5" max="7" width="8.109375" customWidth="1"/>
    <col min="8" max="8" width="8.6640625" customWidth="1"/>
    <col min="9" max="9" width="7.88671875" customWidth="1"/>
    <col min="10" max="10" width="11" customWidth="1"/>
    <col min="11" max="11" width="8.44140625" customWidth="1"/>
    <col min="12" max="12" width="9.33203125" customWidth="1"/>
    <col min="13" max="13" width="8.6640625" customWidth="1"/>
    <col min="14" max="14" width="7.88671875" customWidth="1"/>
    <col min="15" max="15" width="9.21875" customWidth="1"/>
    <col min="16" max="16" width="9.88671875" customWidth="1"/>
    <col min="17" max="17" width="9.33203125" customWidth="1"/>
    <col min="18" max="18" width="7.109375" customWidth="1"/>
    <col min="19" max="19" width="10.109375" customWidth="1"/>
    <col min="20" max="20" width="9" customWidth="1"/>
    <col min="21" max="21" width="11.33203125" customWidth="1"/>
    <col min="22" max="22" width="5.88671875" customWidth="1"/>
    <col min="23" max="23" width="7.109375" customWidth="1"/>
    <col min="24" max="25" width="9.88671875" customWidth="1"/>
    <col min="26" max="26" width="7.77734375" customWidth="1"/>
    <col min="28" max="28" width="9" customWidth="1"/>
    <col min="29" max="29" width="10.21875" customWidth="1"/>
    <col min="30" max="31" width="7.6640625" customWidth="1"/>
    <col min="32" max="32" width="3" customWidth="1"/>
    <col min="34" max="36" width="8.77734375" customWidth="1"/>
    <col min="37" max="37" width="10.44140625" customWidth="1"/>
    <col min="38" max="52" width="8.77734375" customWidth="1"/>
  </cols>
  <sheetData>
    <row r="1" spans="1:54">
      <c r="A1" s="1" t="s">
        <v>0</v>
      </c>
      <c r="AB1" s="3"/>
      <c r="AC1" s="3"/>
      <c r="AD1" s="3"/>
      <c r="AE1" s="3"/>
    </row>
    <row r="3" spans="1:54" ht="15.75" customHeight="1">
      <c r="A3" s="291" t="s">
        <v>1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8"/>
      <c r="W3" s="7"/>
      <c r="X3" s="8"/>
      <c r="Y3" s="8"/>
      <c r="Z3" s="11"/>
      <c r="AA3" s="13"/>
      <c r="AB3" s="15"/>
      <c r="AC3" s="15"/>
      <c r="AD3" s="15"/>
      <c r="AE3" s="15" t="s">
        <v>2</v>
      </c>
      <c r="AF3" s="120" t="s">
        <v>3</v>
      </c>
    </row>
    <row r="4" spans="1:54" ht="15.75" customHeight="1">
      <c r="A4" s="19"/>
      <c r="B4" s="277" t="s">
        <v>69</v>
      </c>
      <c r="C4" s="278"/>
      <c r="D4" s="278"/>
      <c r="E4" s="278"/>
      <c r="F4" s="128"/>
      <c r="G4" s="277" t="s">
        <v>70</v>
      </c>
      <c r="H4" s="278"/>
      <c r="I4" s="278"/>
      <c r="J4" s="278"/>
      <c r="K4" s="278"/>
      <c r="L4" s="277" t="s">
        <v>72</v>
      </c>
      <c r="M4" s="278"/>
      <c r="N4" s="278"/>
      <c r="O4" s="278"/>
      <c r="P4" s="278"/>
      <c r="Q4" s="29"/>
      <c r="R4" s="130"/>
      <c r="S4" s="277" t="s">
        <v>14</v>
      </c>
      <c r="T4" s="278"/>
      <c r="U4" s="278"/>
      <c r="V4" s="279"/>
      <c r="W4" s="25"/>
      <c r="X4" s="25"/>
      <c r="Y4" s="25"/>
      <c r="AA4" s="34"/>
      <c r="AF4" s="29"/>
    </row>
    <row r="5" spans="1:54" ht="15.75" customHeight="1">
      <c r="A5" s="36"/>
      <c r="B5" s="132" t="s">
        <v>26</v>
      </c>
      <c r="C5" s="132" t="s">
        <v>27</v>
      </c>
      <c r="D5" s="132" t="s">
        <v>28</v>
      </c>
      <c r="E5" s="132" t="s">
        <v>29</v>
      </c>
      <c r="F5" s="132"/>
      <c r="G5" s="132" t="s">
        <v>26</v>
      </c>
      <c r="H5" s="134" t="s">
        <v>31</v>
      </c>
      <c r="I5" s="132" t="s">
        <v>27</v>
      </c>
      <c r="J5" s="132" t="s">
        <v>28</v>
      </c>
      <c r="K5" s="132" t="s">
        <v>29</v>
      </c>
      <c r="L5" s="132" t="s">
        <v>26</v>
      </c>
      <c r="M5" s="134" t="s">
        <v>31</v>
      </c>
      <c r="N5" s="132" t="s">
        <v>27</v>
      </c>
      <c r="O5" s="132" t="s">
        <v>28</v>
      </c>
      <c r="P5" s="132" t="s">
        <v>29</v>
      </c>
      <c r="Q5" s="132"/>
      <c r="R5" s="132" t="s">
        <v>13</v>
      </c>
      <c r="S5" s="132" t="s">
        <v>26</v>
      </c>
      <c r="T5" s="132" t="s">
        <v>27</v>
      </c>
      <c r="U5" s="132" t="s">
        <v>28</v>
      </c>
      <c r="V5" s="135" t="s">
        <v>29</v>
      </c>
      <c r="W5" s="136" t="s">
        <v>32</v>
      </c>
      <c r="X5" s="48" t="s">
        <v>33</v>
      </c>
      <c r="Y5" s="48" t="s">
        <v>34</v>
      </c>
      <c r="Z5" s="24" t="s">
        <v>15</v>
      </c>
      <c r="AA5" s="50" t="s">
        <v>35</v>
      </c>
      <c r="AB5" s="53" t="s">
        <v>37</v>
      </c>
      <c r="AC5" s="53" t="s">
        <v>38</v>
      </c>
      <c r="AD5" s="54" t="s">
        <v>39</v>
      </c>
      <c r="AF5" s="29"/>
    </row>
    <row r="6" spans="1:54" ht="15.75" customHeight="1">
      <c r="A6" s="51" t="s">
        <v>36</v>
      </c>
      <c r="B6" s="39">
        <v>25</v>
      </c>
      <c r="C6" s="39"/>
      <c r="D6" s="56">
        <f t="shared" ref="D6:D9" si="0">SUM(B6:C6)</f>
        <v>25</v>
      </c>
      <c r="E6" s="57">
        <v>22</v>
      </c>
      <c r="F6" s="61">
        <f t="shared" ref="F6:F19" si="1">D6/E6</f>
        <v>1.1363636363636365</v>
      </c>
      <c r="G6" s="39">
        <v>10</v>
      </c>
      <c r="H6" s="39"/>
      <c r="I6" s="39"/>
      <c r="J6" s="56">
        <f t="shared" ref="J6:J9" si="2">SUM(G6:I6)</f>
        <v>10</v>
      </c>
      <c r="K6" s="57">
        <v>11</v>
      </c>
      <c r="L6" s="39">
        <v>80</v>
      </c>
      <c r="M6" s="39"/>
      <c r="N6" s="39"/>
      <c r="O6" s="56">
        <f t="shared" ref="O6:O9" si="3">SUM(L6:N6)</f>
        <v>80</v>
      </c>
      <c r="P6" s="57">
        <v>90</v>
      </c>
      <c r="Q6" s="61">
        <f t="shared" ref="Q6:Q19" si="4">O6/P6</f>
        <v>0.88888888888888884</v>
      </c>
      <c r="R6" s="65"/>
      <c r="S6" s="66">
        <f t="shared" ref="S6:S9" si="5">L6+G6+B6+M6+H6</f>
        <v>115</v>
      </c>
      <c r="T6" s="66">
        <f t="shared" ref="T6:T9" si="6">N6+I6+C6</f>
        <v>0</v>
      </c>
      <c r="U6" s="56">
        <f t="shared" ref="U6:U9" si="7">SUM(R6:T6)</f>
        <v>115</v>
      </c>
      <c r="V6" s="68">
        <f t="shared" ref="V6:V9" si="8">E6+K6+P6</f>
        <v>123</v>
      </c>
      <c r="W6" s="69">
        <f t="shared" ref="W6:W9" si="9">V6-U6</f>
        <v>8</v>
      </c>
      <c r="X6" s="37">
        <f t="shared" ref="X6:X9" ca="1" si="10">ROUND(W6/$X$26*7,0)</f>
        <v>0</v>
      </c>
      <c r="Y6" s="37">
        <f t="shared" ref="Y6:Y9" si="11">T6+S6</f>
        <v>115</v>
      </c>
      <c r="Z6" s="66">
        <f t="shared" ref="Z6:Z9" si="12">V6</f>
        <v>123</v>
      </c>
      <c r="AA6" s="75">
        <f t="shared" ref="AA6:AA9" si="13">(S6+T6)/V6</f>
        <v>0.93495934959349591</v>
      </c>
      <c r="AB6" s="66">
        <v>20</v>
      </c>
      <c r="AC6" s="66">
        <v>17</v>
      </c>
      <c r="AD6" s="79">
        <f t="shared" ref="AD6:AD9" si="14">AB6-AC6</f>
        <v>3</v>
      </c>
      <c r="AE6" s="77">
        <v>46112</v>
      </c>
      <c r="AF6" s="29" t="s">
        <v>49</v>
      </c>
      <c r="AG6" s="31" t="s">
        <v>74</v>
      </c>
      <c r="AT6" s="29"/>
      <c r="AU6" s="29"/>
      <c r="AV6" s="29"/>
      <c r="AW6" s="29"/>
      <c r="AX6" s="29"/>
      <c r="AY6" s="29"/>
      <c r="AZ6" s="29"/>
      <c r="BA6" s="29"/>
      <c r="BB6" s="29"/>
    </row>
    <row r="7" spans="1:54" ht="15.75" customHeight="1">
      <c r="A7" s="51" t="s">
        <v>40</v>
      </c>
      <c r="B7" s="39">
        <v>17</v>
      </c>
      <c r="C7" s="39"/>
      <c r="D7" s="56">
        <f t="shared" si="0"/>
        <v>17</v>
      </c>
      <c r="E7" s="57">
        <v>15</v>
      </c>
      <c r="F7" s="61">
        <f t="shared" si="1"/>
        <v>1.1333333333333333</v>
      </c>
      <c r="G7" s="39">
        <v>7</v>
      </c>
      <c r="H7" s="39"/>
      <c r="I7" s="39"/>
      <c r="J7" s="56">
        <f t="shared" si="2"/>
        <v>7</v>
      </c>
      <c r="K7" s="57">
        <v>9</v>
      </c>
      <c r="L7" s="39">
        <v>71</v>
      </c>
      <c r="M7" s="39"/>
      <c r="N7" s="39"/>
      <c r="O7" s="56">
        <f t="shared" si="3"/>
        <v>71</v>
      </c>
      <c r="P7" s="57">
        <v>64</v>
      </c>
      <c r="Q7" s="61">
        <f t="shared" si="4"/>
        <v>1.109375</v>
      </c>
      <c r="R7" s="65"/>
      <c r="S7" s="66">
        <f t="shared" si="5"/>
        <v>95</v>
      </c>
      <c r="T7" s="66">
        <f t="shared" si="6"/>
        <v>0</v>
      </c>
      <c r="U7" s="56">
        <f t="shared" si="7"/>
        <v>95</v>
      </c>
      <c r="V7" s="68">
        <f t="shared" si="8"/>
        <v>88</v>
      </c>
      <c r="W7" s="69">
        <f t="shared" si="9"/>
        <v>-7</v>
      </c>
      <c r="X7" s="37">
        <f t="shared" ca="1" si="10"/>
        <v>0</v>
      </c>
      <c r="Y7" s="37">
        <f t="shared" si="11"/>
        <v>95</v>
      </c>
      <c r="Z7" s="66">
        <f t="shared" si="12"/>
        <v>88</v>
      </c>
      <c r="AA7" s="75">
        <f t="shared" si="13"/>
        <v>1.0795454545454546</v>
      </c>
      <c r="AB7" s="66">
        <v>15</v>
      </c>
      <c r="AC7" s="66">
        <v>15</v>
      </c>
      <c r="AD7" s="79">
        <f t="shared" si="14"/>
        <v>0</v>
      </c>
      <c r="AE7" s="77">
        <v>46112</v>
      </c>
      <c r="AF7" s="29" t="s">
        <v>49</v>
      </c>
      <c r="AG7" s="31" t="s">
        <v>74</v>
      </c>
      <c r="AT7" s="29"/>
      <c r="AU7" s="29"/>
      <c r="AV7" s="29"/>
      <c r="AW7" s="29"/>
      <c r="AX7" s="29"/>
      <c r="AY7" s="29"/>
      <c r="AZ7" s="29"/>
      <c r="BA7" s="29"/>
      <c r="BB7" s="29"/>
    </row>
    <row r="8" spans="1:54" ht="15.75" customHeight="1">
      <c r="A8" s="51" t="s">
        <v>41</v>
      </c>
      <c r="B8" s="39">
        <v>28</v>
      </c>
      <c r="C8" s="66"/>
      <c r="D8" s="56">
        <f t="shared" si="0"/>
        <v>28</v>
      </c>
      <c r="E8" s="57">
        <v>16</v>
      </c>
      <c r="F8" s="61">
        <f t="shared" si="1"/>
        <v>1.75</v>
      </c>
      <c r="G8" s="39">
        <v>6</v>
      </c>
      <c r="H8" s="39"/>
      <c r="I8" s="39"/>
      <c r="J8" s="56">
        <f t="shared" si="2"/>
        <v>6</v>
      </c>
      <c r="K8" s="57">
        <v>9</v>
      </c>
      <c r="L8" s="39">
        <v>83</v>
      </c>
      <c r="M8" s="39"/>
      <c r="N8" s="39"/>
      <c r="O8" s="56">
        <f t="shared" si="3"/>
        <v>83</v>
      </c>
      <c r="P8" s="57">
        <v>74</v>
      </c>
      <c r="Q8" s="61">
        <f t="shared" si="4"/>
        <v>1.1216216216216217</v>
      </c>
      <c r="R8" s="65"/>
      <c r="S8" s="66">
        <f t="shared" si="5"/>
        <v>117</v>
      </c>
      <c r="T8" s="66">
        <f t="shared" si="6"/>
        <v>0</v>
      </c>
      <c r="U8" s="56">
        <f t="shared" si="7"/>
        <v>117</v>
      </c>
      <c r="V8" s="68">
        <f t="shared" si="8"/>
        <v>99</v>
      </c>
      <c r="W8" s="69">
        <f t="shared" si="9"/>
        <v>-18</v>
      </c>
      <c r="X8" s="37">
        <f t="shared" ca="1" si="10"/>
        <v>1</v>
      </c>
      <c r="Y8" s="37">
        <f t="shared" si="11"/>
        <v>117</v>
      </c>
      <c r="Z8" s="66">
        <f t="shared" si="12"/>
        <v>99</v>
      </c>
      <c r="AA8" s="75">
        <f t="shared" si="13"/>
        <v>1.1818181818181819</v>
      </c>
      <c r="AB8" s="66">
        <v>20</v>
      </c>
      <c r="AC8" s="66">
        <v>20</v>
      </c>
      <c r="AD8" s="79">
        <f t="shared" si="14"/>
        <v>0</v>
      </c>
      <c r="AE8" s="77">
        <v>46112</v>
      </c>
      <c r="AF8" s="29" t="s">
        <v>49</v>
      </c>
      <c r="AG8" s="31" t="s">
        <v>74</v>
      </c>
      <c r="AT8" s="29"/>
      <c r="AU8" s="29"/>
      <c r="AV8" s="29"/>
      <c r="AW8" s="29"/>
      <c r="AX8" s="29"/>
      <c r="AY8" s="29"/>
      <c r="AZ8" s="29"/>
      <c r="BA8" s="29"/>
      <c r="BB8" s="29"/>
    </row>
    <row r="9" spans="1:54" ht="15.75" customHeight="1">
      <c r="A9" s="51" t="s">
        <v>48</v>
      </c>
      <c r="B9" s="70">
        <v>30</v>
      </c>
      <c r="C9" s="86">
        <v>9</v>
      </c>
      <c r="D9" s="56">
        <f t="shared" si="0"/>
        <v>39</v>
      </c>
      <c r="E9" s="57">
        <v>31</v>
      </c>
      <c r="F9" s="61">
        <f t="shared" si="1"/>
        <v>1.2580645161290323</v>
      </c>
      <c r="G9" s="39">
        <v>25</v>
      </c>
      <c r="H9" s="39"/>
      <c r="I9" s="39">
        <v>2</v>
      </c>
      <c r="J9" s="56">
        <f t="shared" si="2"/>
        <v>27</v>
      </c>
      <c r="K9" s="57">
        <v>15</v>
      </c>
      <c r="L9" s="39">
        <v>75</v>
      </c>
      <c r="M9" s="39"/>
      <c r="N9" s="39">
        <v>7</v>
      </c>
      <c r="O9" s="56">
        <f t="shared" si="3"/>
        <v>82</v>
      </c>
      <c r="P9" s="57">
        <v>109</v>
      </c>
      <c r="Q9" s="61">
        <f t="shared" si="4"/>
        <v>0.75229357798165142</v>
      </c>
      <c r="R9" s="65"/>
      <c r="S9" s="66">
        <f t="shared" si="5"/>
        <v>130</v>
      </c>
      <c r="T9" s="66">
        <f t="shared" si="6"/>
        <v>18</v>
      </c>
      <c r="U9" s="56">
        <f t="shared" si="7"/>
        <v>148</v>
      </c>
      <c r="V9" s="68">
        <f t="shared" si="8"/>
        <v>155</v>
      </c>
      <c r="W9" s="69">
        <f t="shared" si="9"/>
        <v>7</v>
      </c>
      <c r="X9" s="37">
        <f t="shared" ca="1" si="10"/>
        <v>0</v>
      </c>
      <c r="Y9" s="37">
        <f t="shared" si="11"/>
        <v>148</v>
      </c>
      <c r="Z9" s="66">
        <f t="shared" si="12"/>
        <v>155</v>
      </c>
      <c r="AA9" s="75">
        <f t="shared" si="13"/>
        <v>0.95483870967741935</v>
      </c>
      <c r="AB9" s="66">
        <v>30</v>
      </c>
      <c r="AC9" s="66">
        <v>30</v>
      </c>
      <c r="AD9" s="79">
        <f t="shared" si="14"/>
        <v>0</v>
      </c>
      <c r="AE9" s="77">
        <v>46112</v>
      </c>
      <c r="AF9" s="29" t="s">
        <v>49</v>
      </c>
      <c r="AG9" s="31" t="s">
        <v>74</v>
      </c>
      <c r="AT9" s="29"/>
      <c r="AU9" s="29"/>
      <c r="AV9" s="29"/>
      <c r="AW9" s="29"/>
      <c r="AX9" s="29"/>
      <c r="AY9" s="29"/>
      <c r="AZ9" s="29"/>
      <c r="BA9" s="29"/>
      <c r="BB9" s="29"/>
    </row>
    <row r="10" spans="1:54" ht="15.75" customHeight="1">
      <c r="A10" s="89" t="s">
        <v>44</v>
      </c>
      <c r="B10" s="78">
        <f t="shared" ref="B10:E10" si="15">SUM(B6:B9)</f>
        <v>100</v>
      </c>
      <c r="C10" s="78">
        <f t="shared" si="15"/>
        <v>9</v>
      </c>
      <c r="D10" s="78">
        <f t="shared" si="15"/>
        <v>109</v>
      </c>
      <c r="E10" s="78">
        <f t="shared" si="15"/>
        <v>84</v>
      </c>
      <c r="F10" s="90">
        <f t="shared" si="1"/>
        <v>1.2976190476190477</v>
      </c>
      <c r="G10" s="78">
        <f t="shared" ref="G10:P10" si="16">SUM(G6:G9)</f>
        <v>48</v>
      </c>
      <c r="H10" s="78">
        <f t="shared" si="16"/>
        <v>0</v>
      </c>
      <c r="I10" s="78">
        <f t="shared" si="16"/>
        <v>2</v>
      </c>
      <c r="J10" s="78">
        <f t="shared" si="16"/>
        <v>50</v>
      </c>
      <c r="K10" s="78">
        <f t="shared" si="16"/>
        <v>44</v>
      </c>
      <c r="L10" s="78">
        <f t="shared" si="16"/>
        <v>309</v>
      </c>
      <c r="M10" s="78">
        <f t="shared" si="16"/>
        <v>0</v>
      </c>
      <c r="N10" s="78">
        <f t="shared" si="16"/>
        <v>7</v>
      </c>
      <c r="O10" s="78">
        <f t="shared" si="16"/>
        <v>316</v>
      </c>
      <c r="P10" s="78">
        <f t="shared" si="16"/>
        <v>337</v>
      </c>
      <c r="Q10" s="90">
        <f t="shared" si="4"/>
        <v>0.93768545994065278</v>
      </c>
      <c r="R10" s="78">
        <f t="shared" ref="R10:W10" si="17">SUM(R6:R9)</f>
        <v>0</v>
      </c>
      <c r="S10" s="78">
        <f t="shared" si="17"/>
        <v>457</v>
      </c>
      <c r="T10" s="78">
        <f t="shared" si="17"/>
        <v>18</v>
      </c>
      <c r="U10" s="78">
        <f t="shared" si="17"/>
        <v>475</v>
      </c>
      <c r="V10" s="92">
        <f t="shared" si="17"/>
        <v>465</v>
      </c>
      <c r="W10" s="93">
        <f t="shared" si="17"/>
        <v>-10</v>
      </c>
      <c r="X10" s="93">
        <f ca="1">ROUND(W10/X26*7,0)</f>
        <v>0</v>
      </c>
      <c r="Y10" s="93">
        <f t="shared" ref="Y10:Z10" si="18">SUM(Y6:Y9)</f>
        <v>475</v>
      </c>
      <c r="Z10" s="78">
        <f t="shared" si="18"/>
        <v>465</v>
      </c>
      <c r="AA10" s="94">
        <f>Y10/Z10</f>
        <v>1.021505376344086</v>
      </c>
      <c r="AB10" s="78">
        <f t="shared" ref="AB10:AD10" si="19">SUM(AB6:AB9)</f>
        <v>85</v>
      </c>
      <c r="AC10" s="78">
        <f t="shared" si="19"/>
        <v>82</v>
      </c>
      <c r="AD10" s="78">
        <f t="shared" si="19"/>
        <v>3</v>
      </c>
      <c r="AF10" s="29"/>
      <c r="AT10" s="29"/>
      <c r="AU10" s="29"/>
      <c r="AV10" s="29"/>
      <c r="AW10" s="29"/>
      <c r="AX10" s="29"/>
      <c r="AY10" s="29"/>
      <c r="AZ10" s="29"/>
      <c r="BA10" s="29"/>
      <c r="BB10" s="29"/>
    </row>
    <row r="11" spans="1:54" ht="15.75" customHeight="1">
      <c r="A11" s="51" t="s">
        <v>52</v>
      </c>
      <c r="B11" s="66">
        <v>20</v>
      </c>
      <c r="C11" s="66"/>
      <c r="D11" s="56">
        <f t="shared" ref="D11:D14" si="20">SUM(B11:C11)</f>
        <v>20</v>
      </c>
      <c r="E11" s="57">
        <v>16</v>
      </c>
      <c r="F11" s="61">
        <f t="shared" si="1"/>
        <v>1.25</v>
      </c>
      <c r="G11" s="39">
        <v>14</v>
      </c>
      <c r="H11" s="39"/>
      <c r="I11" s="39"/>
      <c r="J11" s="56">
        <f t="shared" ref="J11:J14" si="21">SUM(G11:I11)</f>
        <v>14</v>
      </c>
      <c r="K11" s="57">
        <v>9</v>
      </c>
      <c r="L11" s="39">
        <v>58</v>
      </c>
      <c r="M11" s="39"/>
      <c r="N11" s="39">
        <v>1</v>
      </c>
      <c r="O11" s="56">
        <f t="shared" ref="O11:O14" si="22">SUM(L11:N11)</f>
        <v>59</v>
      </c>
      <c r="P11" s="57">
        <v>68</v>
      </c>
      <c r="Q11" s="61">
        <f t="shared" si="4"/>
        <v>0.86764705882352944</v>
      </c>
      <c r="R11" s="65"/>
      <c r="S11" s="66">
        <f t="shared" ref="S11:S12" si="23">L11+G11+B11+M11+H11</f>
        <v>92</v>
      </c>
      <c r="T11" s="66">
        <f t="shared" ref="T11:T14" si="24">N11+I11+C11</f>
        <v>1</v>
      </c>
      <c r="U11" s="56">
        <f t="shared" ref="U11:U14" si="25">SUM(R11:T11)</f>
        <v>93</v>
      </c>
      <c r="V11" s="68">
        <f t="shared" ref="V11:V14" si="26">E11+K11+P11</f>
        <v>93</v>
      </c>
      <c r="W11" s="69">
        <f t="shared" ref="W11:W14" si="27">V11-U11</f>
        <v>0</v>
      </c>
      <c r="X11" s="37">
        <f t="shared" ref="X11:X14" ca="1" si="28">ROUND(W11/$X$26*7,0)</f>
        <v>0</v>
      </c>
      <c r="Y11" s="37">
        <f t="shared" ref="Y11:Y14" si="29">T11+S11</f>
        <v>93</v>
      </c>
      <c r="Z11" s="66">
        <f t="shared" ref="Z11:Z14" si="30">V11</f>
        <v>93</v>
      </c>
      <c r="AA11" s="75">
        <f t="shared" ref="AA11:AA14" si="31">(S11+T11)/V11</f>
        <v>1</v>
      </c>
      <c r="AB11" s="66">
        <v>15</v>
      </c>
      <c r="AC11" s="66">
        <v>15</v>
      </c>
      <c r="AD11" s="79">
        <f t="shared" ref="AD11:AD14" si="32">AB11-AC11</f>
        <v>0</v>
      </c>
      <c r="AE11" s="77">
        <v>46112</v>
      </c>
      <c r="AF11" s="29" t="s">
        <v>56</v>
      </c>
      <c r="AG11" s="31" t="s">
        <v>74</v>
      </c>
      <c r="AT11" s="29"/>
      <c r="AU11" s="29"/>
      <c r="AV11" s="29"/>
      <c r="AW11" s="29"/>
      <c r="AX11" s="29"/>
      <c r="AY11" s="29"/>
      <c r="AZ11" s="29"/>
      <c r="BA11" s="29"/>
      <c r="BB11" s="29"/>
    </row>
    <row r="12" spans="1:54" ht="15.75" customHeight="1">
      <c r="A12" s="51" t="s">
        <v>51</v>
      </c>
      <c r="B12" s="66">
        <v>21</v>
      </c>
      <c r="C12" s="66">
        <v>2</v>
      </c>
      <c r="D12" s="56">
        <f t="shared" si="20"/>
        <v>23</v>
      </c>
      <c r="E12" s="57">
        <v>17</v>
      </c>
      <c r="F12" s="61">
        <f t="shared" si="1"/>
        <v>1.3529411764705883</v>
      </c>
      <c r="G12" s="39">
        <v>16</v>
      </c>
      <c r="H12" s="39"/>
      <c r="I12" s="39">
        <v>0</v>
      </c>
      <c r="J12" s="56">
        <f t="shared" si="21"/>
        <v>16</v>
      </c>
      <c r="K12" s="57">
        <v>9</v>
      </c>
      <c r="L12" s="39">
        <v>60</v>
      </c>
      <c r="M12" s="39"/>
      <c r="N12" s="39">
        <v>3</v>
      </c>
      <c r="O12" s="56">
        <f t="shared" si="22"/>
        <v>63</v>
      </c>
      <c r="P12" s="57">
        <v>76</v>
      </c>
      <c r="Q12" s="61">
        <f t="shared" si="4"/>
        <v>0.82894736842105265</v>
      </c>
      <c r="R12" s="65"/>
      <c r="S12" s="66">
        <f t="shared" si="23"/>
        <v>97</v>
      </c>
      <c r="T12" s="66">
        <f t="shared" si="24"/>
        <v>5</v>
      </c>
      <c r="U12" s="56">
        <f t="shared" si="25"/>
        <v>102</v>
      </c>
      <c r="V12" s="68">
        <f t="shared" si="26"/>
        <v>102</v>
      </c>
      <c r="W12" s="69">
        <f t="shared" si="27"/>
        <v>0</v>
      </c>
      <c r="X12" s="37">
        <f t="shared" ca="1" si="28"/>
        <v>0</v>
      </c>
      <c r="Y12" s="37">
        <f t="shared" si="29"/>
        <v>102</v>
      </c>
      <c r="Z12" s="66">
        <f t="shared" si="30"/>
        <v>102</v>
      </c>
      <c r="AA12" s="75">
        <f t="shared" si="31"/>
        <v>1</v>
      </c>
      <c r="AB12" s="66">
        <v>20</v>
      </c>
      <c r="AC12" s="66">
        <v>20</v>
      </c>
      <c r="AD12" s="79">
        <f t="shared" si="32"/>
        <v>0</v>
      </c>
      <c r="AE12" s="77">
        <v>46112</v>
      </c>
      <c r="AF12" s="29" t="s">
        <v>56</v>
      </c>
      <c r="AG12" s="143" t="s">
        <v>74</v>
      </c>
      <c r="AT12" s="29"/>
      <c r="AU12" s="29"/>
      <c r="AV12" s="29"/>
      <c r="AW12" s="29"/>
      <c r="AX12" s="29"/>
      <c r="AY12" s="29"/>
      <c r="AZ12" s="29"/>
      <c r="BA12" s="29"/>
      <c r="BB12" s="29"/>
    </row>
    <row r="13" spans="1:54" ht="15.75" customHeight="1">
      <c r="A13" s="51" t="s">
        <v>46</v>
      </c>
      <c r="B13" s="66">
        <v>19</v>
      </c>
      <c r="C13" s="66"/>
      <c r="D13" s="56">
        <f t="shared" si="20"/>
        <v>19</v>
      </c>
      <c r="E13" s="57">
        <v>18</v>
      </c>
      <c r="F13" s="61">
        <f t="shared" si="1"/>
        <v>1.0555555555555556</v>
      </c>
      <c r="G13" s="39">
        <v>11</v>
      </c>
      <c r="H13" s="39"/>
      <c r="I13" s="39"/>
      <c r="J13" s="56">
        <f t="shared" si="21"/>
        <v>11</v>
      </c>
      <c r="K13" s="57">
        <v>9</v>
      </c>
      <c r="L13" s="39">
        <v>89</v>
      </c>
      <c r="M13" s="39"/>
      <c r="N13" s="39"/>
      <c r="O13" s="56">
        <f t="shared" si="22"/>
        <v>89</v>
      </c>
      <c r="P13" s="57">
        <v>75</v>
      </c>
      <c r="Q13" s="61">
        <f t="shared" si="4"/>
        <v>1.1866666666666668</v>
      </c>
      <c r="R13" s="65"/>
      <c r="S13" s="66">
        <v>119</v>
      </c>
      <c r="T13" s="66">
        <f t="shared" si="24"/>
        <v>0</v>
      </c>
      <c r="U13" s="56">
        <f t="shared" si="25"/>
        <v>119</v>
      </c>
      <c r="V13" s="68">
        <f t="shared" si="26"/>
        <v>102</v>
      </c>
      <c r="W13" s="69">
        <f t="shared" si="27"/>
        <v>-17</v>
      </c>
      <c r="X13" s="37">
        <f t="shared" ca="1" si="28"/>
        <v>1</v>
      </c>
      <c r="Y13" s="37">
        <f t="shared" si="29"/>
        <v>119</v>
      </c>
      <c r="Z13" s="66">
        <f t="shared" si="30"/>
        <v>102</v>
      </c>
      <c r="AA13" s="75">
        <f t="shared" si="31"/>
        <v>1.1666666666666667</v>
      </c>
      <c r="AB13" s="66">
        <v>20</v>
      </c>
      <c r="AC13" s="66">
        <v>20</v>
      </c>
      <c r="AD13" s="79">
        <f t="shared" si="32"/>
        <v>0</v>
      </c>
      <c r="AE13" s="77">
        <v>46112</v>
      </c>
      <c r="AF13" s="29" t="s">
        <v>56</v>
      </c>
      <c r="AG13" s="31" t="s">
        <v>74</v>
      </c>
      <c r="AT13" s="29"/>
      <c r="AU13" s="29"/>
      <c r="AV13" s="29"/>
      <c r="AW13" s="29"/>
      <c r="AX13" s="29"/>
      <c r="AY13" s="29"/>
      <c r="AZ13" s="29"/>
      <c r="BA13" s="29"/>
      <c r="BB13" s="29"/>
    </row>
    <row r="14" spans="1:54" ht="15.75" customHeight="1">
      <c r="A14" s="51" t="s">
        <v>53</v>
      </c>
      <c r="B14" s="66">
        <v>46</v>
      </c>
      <c r="C14" s="66"/>
      <c r="D14" s="56">
        <f t="shared" si="20"/>
        <v>46</v>
      </c>
      <c r="E14" s="57">
        <v>31</v>
      </c>
      <c r="F14" s="61">
        <f t="shared" si="1"/>
        <v>1.4838709677419355</v>
      </c>
      <c r="G14" s="39">
        <v>8</v>
      </c>
      <c r="H14" s="39"/>
      <c r="I14" s="39"/>
      <c r="J14" s="56">
        <f t="shared" si="21"/>
        <v>8</v>
      </c>
      <c r="K14" s="57">
        <v>15</v>
      </c>
      <c r="L14" s="39">
        <v>103</v>
      </c>
      <c r="M14" s="39"/>
      <c r="N14" s="39"/>
      <c r="O14" s="56">
        <f t="shared" si="22"/>
        <v>103</v>
      </c>
      <c r="P14" s="57">
        <v>117</v>
      </c>
      <c r="Q14" s="61">
        <f t="shared" si="4"/>
        <v>0.88034188034188032</v>
      </c>
      <c r="R14" s="65"/>
      <c r="S14" s="66">
        <f>L14+G14+B14+M14+H14</f>
        <v>157</v>
      </c>
      <c r="T14" s="66">
        <f t="shared" si="24"/>
        <v>0</v>
      </c>
      <c r="U14" s="56">
        <f t="shared" si="25"/>
        <v>157</v>
      </c>
      <c r="V14" s="68">
        <f t="shared" si="26"/>
        <v>163</v>
      </c>
      <c r="W14" s="69">
        <f t="shared" si="27"/>
        <v>6</v>
      </c>
      <c r="X14" s="37">
        <f t="shared" ca="1" si="28"/>
        <v>0</v>
      </c>
      <c r="Y14" s="37">
        <f t="shared" si="29"/>
        <v>157</v>
      </c>
      <c r="Z14" s="66">
        <f t="shared" si="30"/>
        <v>163</v>
      </c>
      <c r="AA14" s="75">
        <f t="shared" si="31"/>
        <v>0.96319018404907975</v>
      </c>
      <c r="AB14" s="66">
        <v>30</v>
      </c>
      <c r="AC14" s="66">
        <v>30</v>
      </c>
      <c r="AD14" s="79">
        <f t="shared" si="32"/>
        <v>0</v>
      </c>
      <c r="AE14" s="77">
        <v>46112</v>
      </c>
      <c r="AF14" s="29" t="s">
        <v>56</v>
      </c>
      <c r="AG14" s="31" t="s">
        <v>74</v>
      </c>
      <c r="AT14" s="29"/>
      <c r="AU14" s="29"/>
      <c r="AV14" s="29"/>
      <c r="AW14" s="29"/>
      <c r="AX14" s="29"/>
      <c r="AY14" s="29"/>
      <c r="AZ14" s="29"/>
      <c r="BA14" s="29"/>
      <c r="BB14" s="29"/>
    </row>
    <row r="15" spans="1:54" ht="15.75" customHeight="1">
      <c r="A15" s="89" t="s">
        <v>54</v>
      </c>
      <c r="B15" s="78">
        <f t="shared" ref="B15:E15" si="33">SUM(B11:B14)</f>
        <v>106</v>
      </c>
      <c r="C15" s="78">
        <f t="shared" si="33"/>
        <v>2</v>
      </c>
      <c r="D15" s="78">
        <f t="shared" si="33"/>
        <v>108</v>
      </c>
      <c r="E15" s="78">
        <f t="shared" si="33"/>
        <v>82</v>
      </c>
      <c r="F15" s="90">
        <f t="shared" si="1"/>
        <v>1.3170731707317074</v>
      </c>
      <c r="G15" s="78">
        <f t="shared" ref="G15:P15" si="34">SUM(G11:G14)</f>
        <v>49</v>
      </c>
      <c r="H15" s="78">
        <f t="shared" si="34"/>
        <v>0</v>
      </c>
      <c r="I15" s="78">
        <f t="shared" si="34"/>
        <v>0</v>
      </c>
      <c r="J15" s="78">
        <f t="shared" si="34"/>
        <v>49</v>
      </c>
      <c r="K15" s="78">
        <f t="shared" si="34"/>
        <v>42</v>
      </c>
      <c r="L15" s="78">
        <f t="shared" si="34"/>
        <v>310</v>
      </c>
      <c r="M15" s="78">
        <f t="shared" si="34"/>
        <v>0</v>
      </c>
      <c r="N15" s="78">
        <f t="shared" si="34"/>
        <v>4</v>
      </c>
      <c r="O15" s="78">
        <f t="shared" si="34"/>
        <v>314</v>
      </c>
      <c r="P15" s="78">
        <f t="shared" si="34"/>
        <v>336</v>
      </c>
      <c r="Q15" s="90">
        <f t="shared" si="4"/>
        <v>0.93452380952380953</v>
      </c>
      <c r="R15" s="78">
        <f t="shared" ref="R15:W15" si="35">SUM(R11:R14)</f>
        <v>0</v>
      </c>
      <c r="S15" s="78">
        <f t="shared" si="35"/>
        <v>465</v>
      </c>
      <c r="T15" s="78">
        <f t="shared" si="35"/>
        <v>6</v>
      </c>
      <c r="U15" s="78">
        <f t="shared" si="35"/>
        <v>471</v>
      </c>
      <c r="V15" s="92">
        <f t="shared" si="35"/>
        <v>460</v>
      </c>
      <c r="W15" s="93">
        <f t="shared" si="35"/>
        <v>-11</v>
      </c>
      <c r="X15" s="93">
        <f ca="1">ROUND(W15/X26*7,0)</f>
        <v>0</v>
      </c>
      <c r="Y15" s="93">
        <f t="shared" ref="Y15:Z15" si="36">SUM(Y11:Y14)</f>
        <v>471</v>
      </c>
      <c r="Z15" s="78">
        <f t="shared" si="36"/>
        <v>460</v>
      </c>
      <c r="AA15" s="94">
        <f>Y15/Z15</f>
        <v>1.0239130434782608</v>
      </c>
      <c r="AB15" s="78">
        <f t="shared" ref="AB15:AD15" si="37">SUM(AB11:AB14)</f>
        <v>85</v>
      </c>
      <c r="AC15" s="78">
        <f t="shared" si="37"/>
        <v>85</v>
      </c>
      <c r="AD15" s="78">
        <f t="shared" si="37"/>
        <v>0</v>
      </c>
      <c r="AF15" s="29"/>
      <c r="AT15" s="29"/>
      <c r="AU15" s="29"/>
      <c r="AV15" s="29"/>
      <c r="AW15" s="29"/>
      <c r="AX15" s="29"/>
      <c r="AY15" s="29"/>
      <c r="AZ15" s="29"/>
      <c r="BA15" s="29"/>
      <c r="BB15" s="29"/>
    </row>
    <row r="16" spans="1:54" ht="15.75" customHeight="1">
      <c r="A16" s="51" t="s">
        <v>55</v>
      </c>
      <c r="B16" s="66">
        <v>13</v>
      </c>
      <c r="C16" s="66">
        <v>4</v>
      </c>
      <c r="D16" s="56">
        <f t="shared" ref="D16:D18" si="38">SUM(B16:C16)</f>
        <v>17</v>
      </c>
      <c r="E16" s="57">
        <v>22</v>
      </c>
      <c r="F16" s="61">
        <f t="shared" si="1"/>
        <v>0.77272727272727271</v>
      </c>
      <c r="G16" s="39">
        <v>9</v>
      </c>
      <c r="H16" s="39"/>
      <c r="I16" s="39">
        <v>2</v>
      </c>
      <c r="J16" s="56">
        <f t="shared" ref="J16:J18" si="39">SUM(G16:I16)</f>
        <v>11</v>
      </c>
      <c r="K16" s="57">
        <v>9</v>
      </c>
      <c r="L16" s="39">
        <v>55</v>
      </c>
      <c r="M16" s="39"/>
      <c r="N16" s="39">
        <v>9</v>
      </c>
      <c r="O16" s="56">
        <f t="shared" ref="O16:O18" si="40">SUM(L16:N16)</f>
        <v>64</v>
      </c>
      <c r="P16" s="57">
        <v>82</v>
      </c>
      <c r="Q16" s="61">
        <f t="shared" si="4"/>
        <v>0.78048780487804881</v>
      </c>
      <c r="R16" s="65"/>
      <c r="S16" s="66">
        <f t="shared" ref="S16:S18" si="41">L16+G16+B16+M16+H16</f>
        <v>77</v>
      </c>
      <c r="T16" s="66">
        <f t="shared" ref="T16:T18" si="42">N16+I16+C16</f>
        <v>15</v>
      </c>
      <c r="U16" s="56">
        <f t="shared" ref="U16:U18" si="43">SUM(R16:T16)</f>
        <v>92</v>
      </c>
      <c r="V16" s="68">
        <f t="shared" ref="V16:V18" si="44">E16+K16+P16</f>
        <v>113</v>
      </c>
      <c r="W16" s="69">
        <f t="shared" ref="W16:W18" si="45">V16-U16</f>
        <v>21</v>
      </c>
      <c r="X16" s="37">
        <f t="shared" ref="X16:X18" ca="1" si="46">ROUND(W16/$X$26*7,0)</f>
        <v>-1</v>
      </c>
      <c r="Y16" s="37">
        <f t="shared" ref="Y16:Y18" si="47">T16+S16</f>
        <v>92</v>
      </c>
      <c r="Z16" s="66">
        <f t="shared" ref="Z16:Z18" si="48">V16</f>
        <v>113</v>
      </c>
      <c r="AA16" s="75">
        <f t="shared" ref="AA16:AA18" si="49">(S16+T16)/V16</f>
        <v>0.81415929203539827</v>
      </c>
      <c r="AB16" s="66">
        <v>20</v>
      </c>
      <c r="AC16" s="66">
        <v>20</v>
      </c>
      <c r="AD16" s="79"/>
      <c r="AE16" s="83">
        <v>46112</v>
      </c>
      <c r="AF16" s="29" t="s">
        <v>80</v>
      </c>
      <c r="AG16" s="31" t="s">
        <v>74</v>
      </c>
      <c r="AT16" s="29"/>
      <c r="AU16" s="29"/>
      <c r="AV16" s="29"/>
      <c r="AW16" s="29"/>
      <c r="AX16" s="29"/>
      <c r="AY16" s="29"/>
      <c r="AZ16" s="29"/>
      <c r="BA16" s="29"/>
      <c r="BB16" s="29"/>
    </row>
    <row r="17" spans="1:54" ht="15.75" customHeight="1">
      <c r="A17" s="51" t="s">
        <v>57</v>
      </c>
      <c r="B17" s="66">
        <v>23</v>
      </c>
      <c r="C17" s="66">
        <v>1</v>
      </c>
      <c r="D17" s="56">
        <f t="shared" si="38"/>
        <v>24</v>
      </c>
      <c r="E17" s="57">
        <v>21</v>
      </c>
      <c r="F17" s="61">
        <f t="shared" si="1"/>
        <v>1.1428571428571428</v>
      </c>
      <c r="G17" s="39">
        <v>8</v>
      </c>
      <c r="H17" s="39"/>
      <c r="I17" s="39">
        <v>1</v>
      </c>
      <c r="J17" s="56">
        <f t="shared" si="39"/>
        <v>9</v>
      </c>
      <c r="K17" s="57">
        <v>11</v>
      </c>
      <c r="L17" s="39">
        <v>86</v>
      </c>
      <c r="M17" s="39"/>
      <c r="N17" s="39">
        <v>1</v>
      </c>
      <c r="O17" s="56">
        <f t="shared" si="40"/>
        <v>87</v>
      </c>
      <c r="P17" s="57">
        <v>86</v>
      </c>
      <c r="Q17" s="61">
        <f t="shared" si="4"/>
        <v>1.0116279069767442</v>
      </c>
      <c r="R17" s="65"/>
      <c r="S17" s="66">
        <f t="shared" si="41"/>
        <v>117</v>
      </c>
      <c r="T17" s="66">
        <f t="shared" si="42"/>
        <v>3</v>
      </c>
      <c r="U17" s="56">
        <f t="shared" si="43"/>
        <v>120</v>
      </c>
      <c r="V17" s="68">
        <f t="shared" si="44"/>
        <v>118</v>
      </c>
      <c r="W17" s="69">
        <f t="shared" si="45"/>
        <v>-2</v>
      </c>
      <c r="X17" s="37">
        <f t="shared" ca="1" si="46"/>
        <v>0</v>
      </c>
      <c r="Y17" s="37">
        <f t="shared" si="47"/>
        <v>120</v>
      </c>
      <c r="Z17" s="66">
        <f t="shared" si="48"/>
        <v>118</v>
      </c>
      <c r="AA17" s="75">
        <f t="shared" si="49"/>
        <v>1.0169491525423728</v>
      </c>
      <c r="AB17" s="66">
        <v>20</v>
      </c>
      <c r="AC17" s="66">
        <v>20</v>
      </c>
      <c r="AD17" s="79">
        <f t="shared" ref="AD17:AD18" si="50">AB17-AC17</f>
        <v>0</v>
      </c>
      <c r="AE17" s="83">
        <v>46112</v>
      </c>
      <c r="AF17" s="29" t="s">
        <v>80</v>
      </c>
      <c r="AG17" s="31" t="s">
        <v>74</v>
      </c>
      <c r="AT17" s="29"/>
      <c r="AU17" s="29"/>
      <c r="AV17" s="29"/>
      <c r="AW17" s="29"/>
      <c r="AX17" s="29"/>
      <c r="AY17" s="29"/>
      <c r="AZ17" s="29"/>
      <c r="BA17" s="29"/>
      <c r="BB17" s="29"/>
    </row>
    <row r="18" spans="1:54" ht="15.75" customHeight="1">
      <c r="A18" s="51" t="s">
        <v>58</v>
      </c>
      <c r="B18" s="66">
        <v>15</v>
      </c>
      <c r="C18" s="66"/>
      <c r="D18" s="56">
        <f t="shared" si="38"/>
        <v>15</v>
      </c>
      <c r="E18" s="57">
        <v>9</v>
      </c>
      <c r="F18" s="61">
        <f t="shared" si="1"/>
        <v>1.6666666666666667</v>
      </c>
      <c r="G18" s="39">
        <v>13</v>
      </c>
      <c r="H18" s="39"/>
      <c r="I18" s="39"/>
      <c r="J18" s="56">
        <f t="shared" si="39"/>
        <v>13</v>
      </c>
      <c r="K18" s="57">
        <v>3</v>
      </c>
      <c r="L18" s="39">
        <v>26</v>
      </c>
      <c r="M18" s="39"/>
      <c r="N18" s="39"/>
      <c r="O18" s="56">
        <f t="shared" si="40"/>
        <v>26</v>
      </c>
      <c r="P18" s="57">
        <v>31</v>
      </c>
      <c r="Q18" s="61">
        <f t="shared" si="4"/>
        <v>0.83870967741935487</v>
      </c>
      <c r="R18" s="65"/>
      <c r="S18" s="66">
        <f t="shared" si="41"/>
        <v>54</v>
      </c>
      <c r="T18" s="66">
        <f t="shared" si="42"/>
        <v>0</v>
      </c>
      <c r="U18" s="56">
        <f t="shared" si="43"/>
        <v>54</v>
      </c>
      <c r="V18" s="68">
        <f t="shared" si="44"/>
        <v>43</v>
      </c>
      <c r="W18" s="69">
        <f t="shared" si="45"/>
        <v>-11</v>
      </c>
      <c r="X18" s="37">
        <f t="shared" ca="1" si="46"/>
        <v>0</v>
      </c>
      <c r="Y18" s="37">
        <f t="shared" si="47"/>
        <v>54</v>
      </c>
      <c r="Z18" s="66">
        <f t="shared" si="48"/>
        <v>43</v>
      </c>
      <c r="AA18" s="75">
        <f t="shared" si="49"/>
        <v>1.2558139534883721</v>
      </c>
      <c r="AB18" s="66">
        <v>5</v>
      </c>
      <c r="AC18" s="66">
        <v>5</v>
      </c>
      <c r="AD18" s="79">
        <f t="shared" si="50"/>
        <v>0</v>
      </c>
      <c r="AE18" s="83">
        <v>46112</v>
      </c>
      <c r="AF18" s="29" t="s">
        <v>80</v>
      </c>
      <c r="AG18" s="31" t="s">
        <v>74</v>
      </c>
      <c r="AT18" s="29"/>
      <c r="AU18" s="29"/>
      <c r="AV18" s="29"/>
      <c r="AW18" s="29"/>
      <c r="AX18" s="29"/>
      <c r="AY18" s="29"/>
      <c r="AZ18" s="29"/>
      <c r="BA18" s="29"/>
      <c r="BB18" s="29"/>
    </row>
    <row r="19" spans="1:54" ht="15.75" customHeight="1">
      <c r="A19" s="89" t="s">
        <v>59</v>
      </c>
      <c r="B19" s="78">
        <f t="shared" ref="B19:E19" si="51">SUM(B16:B18)</f>
        <v>51</v>
      </c>
      <c r="C19" s="78">
        <f t="shared" si="51"/>
        <v>5</v>
      </c>
      <c r="D19" s="78">
        <f t="shared" si="51"/>
        <v>56</v>
      </c>
      <c r="E19" s="78">
        <f t="shared" si="51"/>
        <v>52</v>
      </c>
      <c r="F19" s="90">
        <f t="shared" si="1"/>
        <v>1.0769230769230769</v>
      </c>
      <c r="G19" s="78">
        <f t="shared" ref="G19:P19" si="52">SUM(G16:G18)</f>
        <v>30</v>
      </c>
      <c r="H19" s="78">
        <f t="shared" si="52"/>
        <v>0</v>
      </c>
      <c r="I19" s="78">
        <f t="shared" si="52"/>
        <v>3</v>
      </c>
      <c r="J19" s="78">
        <f t="shared" si="52"/>
        <v>33</v>
      </c>
      <c r="K19" s="78">
        <f t="shared" si="52"/>
        <v>23</v>
      </c>
      <c r="L19" s="78">
        <f t="shared" si="52"/>
        <v>167</v>
      </c>
      <c r="M19" s="78">
        <f t="shared" si="52"/>
        <v>0</v>
      </c>
      <c r="N19" s="78">
        <f t="shared" si="52"/>
        <v>10</v>
      </c>
      <c r="O19" s="78">
        <f t="shared" si="52"/>
        <v>177</v>
      </c>
      <c r="P19" s="78">
        <f t="shared" si="52"/>
        <v>199</v>
      </c>
      <c r="Q19" s="90">
        <f t="shared" si="4"/>
        <v>0.88944723618090449</v>
      </c>
      <c r="R19" s="78">
        <f t="shared" ref="R19:W19" si="53">SUM(R16:R18)</f>
        <v>0</v>
      </c>
      <c r="S19" s="78">
        <f t="shared" si="53"/>
        <v>248</v>
      </c>
      <c r="T19" s="78">
        <f t="shared" si="53"/>
        <v>18</v>
      </c>
      <c r="U19" s="78">
        <f t="shared" si="53"/>
        <v>266</v>
      </c>
      <c r="V19" s="92">
        <f t="shared" si="53"/>
        <v>274</v>
      </c>
      <c r="W19" s="93">
        <f t="shared" si="53"/>
        <v>8</v>
      </c>
      <c r="X19" s="93">
        <f ca="1">ROUND(W19/X26*7,0)</f>
        <v>0</v>
      </c>
      <c r="Y19" s="93">
        <f t="shared" ref="Y19:Z19" si="54">SUM(Y16:Y18)</f>
        <v>266</v>
      </c>
      <c r="Z19" s="78">
        <f t="shared" si="54"/>
        <v>274</v>
      </c>
      <c r="AA19" s="94">
        <f>Y19/Z19</f>
        <v>0.97080291970802923</v>
      </c>
      <c r="AB19" s="78">
        <f t="shared" ref="AB19:AD19" si="55">SUM(AB16:AB18)</f>
        <v>45</v>
      </c>
      <c r="AC19" s="78">
        <f t="shared" si="55"/>
        <v>45</v>
      </c>
      <c r="AD19" s="78">
        <f t="shared" si="55"/>
        <v>0</v>
      </c>
      <c r="AE19" s="83"/>
      <c r="AF19" s="29"/>
      <c r="AT19" s="29"/>
      <c r="AU19" s="29"/>
      <c r="AV19" s="29"/>
      <c r="AW19" s="29"/>
      <c r="AX19" s="29"/>
      <c r="AY19" s="29"/>
      <c r="AZ19" s="29"/>
      <c r="BA19" s="29"/>
      <c r="BB19" s="29"/>
    </row>
    <row r="20" spans="1:54" ht="15.75" customHeight="1">
      <c r="A20" s="89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104"/>
      <c r="W20" s="37"/>
      <c r="X20" s="105"/>
      <c r="Y20" s="105"/>
      <c r="Z20" s="106"/>
      <c r="AA20" s="107"/>
      <c r="AB20" s="66"/>
      <c r="AC20" s="66"/>
      <c r="AD20" s="79">
        <f t="shared" ref="AD20:AD21" si="56">AB20-AC20</f>
        <v>0</v>
      </c>
      <c r="AF20" s="29"/>
      <c r="AT20" s="29"/>
      <c r="AU20" s="29"/>
      <c r="AV20" s="29"/>
      <c r="AW20" s="29"/>
      <c r="AX20" s="29"/>
      <c r="AY20" s="29"/>
      <c r="AZ20" s="29"/>
      <c r="BA20" s="29"/>
      <c r="BB20" s="29"/>
    </row>
    <row r="21" spans="1:54" ht="15.75" customHeight="1">
      <c r="A21" s="51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104"/>
      <c r="W21" s="37"/>
      <c r="X21" s="105"/>
      <c r="Y21" s="105"/>
      <c r="Z21" s="106"/>
      <c r="AA21" s="107"/>
      <c r="AB21" s="66"/>
      <c r="AC21" s="66"/>
      <c r="AD21" s="79">
        <f t="shared" si="56"/>
        <v>0</v>
      </c>
      <c r="AF21" s="29"/>
      <c r="AT21" s="29"/>
      <c r="AU21" s="29"/>
      <c r="AV21" s="29"/>
      <c r="AW21" s="29"/>
      <c r="AX21" s="29"/>
      <c r="AY21" s="29"/>
      <c r="AZ21" s="29"/>
      <c r="BA21" s="29"/>
      <c r="BB21" s="29"/>
    </row>
    <row r="22" spans="1:54" ht="15.75" customHeight="1">
      <c r="A22" s="108" t="s">
        <v>14</v>
      </c>
      <c r="B22" s="110">
        <f t="shared" ref="B22:E22" si="57">B19+B15+B10</f>
        <v>257</v>
      </c>
      <c r="C22" s="110">
        <f t="shared" si="57"/>
        <v>16</v>
      </c>
      <c r="D22" s="110">
        <f t="shared" si="57"/>
        <v>273</v>
      </c>
      <c r="E22" s="110">
        <f t="shared" si="57"/>
        <v>218</v>
      </c>
      <c r="F22" s="112">
        <f>D22/E22</f>
        <v>1.2522935779816513</v>
      </c>
      <c r="G22" s="110">
        <f t="shared" ref="G22:P22" si="58">G19+G15+G10</f>
        <v>127</v>
      </c>
      <c r="H22" s="110">
        <f t="shared" si="58"/>
        <v>0</v>
      </c>
      <c r="I22" s="110">
        <f t="shared" si="58"/>
        <v>5</v>
      </c>
      <c r="J22" s="110">
        <f t="shared" si="58"/>
        <v>132</v>
      </c>
      <c r="K22" s="110">
        <f t="shared" si="58"/>
        <v>109</v>
      </c>
      <c r="L22" s="110">
        <f t="shared" si="58"/>
        <v>786</v>
      </c>
      <c r="M22" s="110">
        <f t="shared" si="58"/>
        <v>0</v>
      </c>
      <c r="N22" s="110">
        <f t="shared" si="58"/>
        <v>21</v>
      </c>
      <c r="O22" s="110">
        <f t="shared" si="58"/>
        <v>807</v>
      </c>
      <c r="P22" s="110">
        <f t="shared" si="58"/>
        <v>872</v>
      </c>
      <c r="Q22" s="112">
        <f>O22/P22</f>
        <v>0.92545871559633031</v>
      </c>
      <c r="R22" s="110">
        <f t="shared" ref="R22:W22" si="59">R19+R15+R10</f>
        <v>0</v>
      </c>
      <c r="S22" s="110">
        <f t="shared" si="59"/>
        <v>1170</v>
      </c>
      <c r="T22" s="110">
        <f t="shared" si="59"/>
        <v>42</v>
      </c>
      <c r="U22" s="110">
        <f t="shared" si="59"/>
        <v>1212</v>
      </c>
      <c r="V22" s="115">
        <f t="shared" si="59"/>
        <v>1199</v>
      </c>
      <c r="W22" s="116">
        <f t="shared" si="59"/>
        <v>-13</v>
      </c>
      <c r="X22" s="117">
        <f ca="1">ROUND(W22/X26*7,0)</f>
        <v>0</v>
      </c>
      <c r="Y22" s="116">
        <f t="shared" ref="Y22:Z22" si="60">Y19+Y15+Y10</f>
        <v>1212</v>
      </c>
      <c r="Z22" s="110">
        <f t="shared" si="60"/>
        <v>1199</v>
      </c>
      <c r="AA22" s="118">
        <f>(S22+T22)/V22</f>
        <v>1.0108423686405337</v>
      </c>
      <c r="AB22" s="110">
        <f t="shared" ref="AB22:AD22" si="61">AB19+AB15+AB10</f>
        <v>215</v>
      </c>
      <c r="AC22" s="110">
        <f t="shared" si="61"/>
        <v>212</v>
      </c>
      <c r="AD22" s="110">
        <f t="shared" si="61"/>
        <v>3</v>
      </c>
      <c r="AF22" s="29"/>
      <c r="AT22" s="29"/>
      <c r="AU22" s="29"/>
      <c r="AV22" s="29"/>
      <c r="AW22" s="29"/>
      <c r="AX22" s="29"/>
      <c r="AY22" s="29"/>
      <c r="AZ22" s="29"/>
      <c r="BA22" s="29"/>
      <c r="BB22" s="29"/>
    </row>
    <row r="23" spans="1:54" ht="15.75" customHeight="1">
      <c r="AB23" s="31">
        <f t="shared" ref="AB23:AD23" si="62">AB22*250</f>
        <v>53750</v>
      </c>
      <c r="AC23" s="31">
        <f t="shared" si="62"/>
        <v>53000</v>
      </c>
      <c r="AD23" s="31">
        <f t="shared" si="62"/>
        <v>750</v>
      </c>
      <c r="AT23" s="29"/>
      <c r="AU23" s="29"/>
      <c r="AV23" s="29"/>
      <c r="AW23" s="29"/>
      <c r="AX23" s="29"/>
      <c r="AY23" s="29"/>
      <c r="AZ23" s="29"/>
      <c r="BA23" s="29"/>
      <c r="BB23" s="29"/>
    </row>
    <row r="24" spans="1:54" ht="15.75" customHeight="1">
      <c r="X24" s="2">
        <v>46112</v>
      </c>
      <c r="Y24" s="24"/>
      <c r="Z24" s="58">
        <f>Z22-Y22</f>
        <v>-13</v>
      </c>
      <c r="AT24" s="29"/>
      <c r="AU24" s="29"/>
      <c r="AV24" s="29"/>
      <c r="AW24" s="29"/>
      <c r="AX24" s="29"/>
      <c r="AY24" s="29"/>
      <c r="AZ24" s="29"/>
      <c r="BA24" s="29"/>
      <c r="BB24" s="29"/>
    </row>
    <row r="25" spans="1:54">
      <c r="X25" s="121">
        <f ca="1">TODAY()</f>
        <v>46308</v>
      </c>
    </row>
    <row r="26" spans="1:54" ht="15.75" customHeight="1">
      <c r="A26" s="292" t="s">
        <v>63</v>
      </c>
      <c r="B26" s="275"/>
      <c r="C26" s="275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6"/>
      <c r="U26" s="15" t="s">
        <v>2</v>
      </c>
      <c r="V26" s="120" t="s">
        <v>3</v>
      </c>
      <c r="X26" s="31">
        <f ca="1">X24-X25</f>
        <v>-196</v>
      </c>
    </row>
    <row r="27" spans="1:54" ht="14.4">
      <c r="A27" s="32"/>
      <c r="B27" s="277" t="str">
        <f>'2026 - Q1'!B4</f>
        <v>JAN</v>
      </c>
      <c r="C27" s="278"/>
      <c r="D27" s="278"/>
      <c r="E27" s="278"/>
      <c r="F27" s="277" t="str">
        <f>'2026 - Q1'!G4</f>
        <v>FEB</v>
      </c>
      <c r="G27" s="278"/>
      <c r="H27" s="278"/>
      <c r="I27" s="278"/>
      <c r="J27" s="277" t="str">
        <f>'2026 - Q1'!L4</f>
        <v>MAR</v>
      </c>
      <c r="K27" s="278"/>
      <c r="L27" s="278"/>
      <c r="M27" s="278"/>
      <c r="N27" s="128"/>
      <c r="O27" s="277" t="s">
        <v>14</v>
      </c>
      <c r="P27" s="278"/>
      <c r="Q27" s="278"/>
      <c r="R27" s="279"/>
      <c r="V27" s="29"/>
    </row>
    <row r="28" spans="1:54" ht="57.6">
      <c r="A28" s="35"/>
      <c r="B28" s="132" t="s">
        <v>65</v>
      </c>
      <c r="C28" s="132" t="s">
        <v>66</v>
      </c>
      <c r="D28" s="132" t="s">
        <v>28</v>
      </c>
      <c r="E28" s="132" t="s">
        <v>67</v>
      </c>
      <c r="F28" s="132" t="s">
        <v>65</v>
      </c>
      <c r="G28" s="132" t="s">
        <v>66</v>
      </c>
      <c r="H28" s="132" t="s">
        <v>28</v>
      </c>
      <c r="I28" s="132" t="s">
        <v>67</v>
      </c>
      <c r="J28" s="132" t="s">
        <v>65</v>
      </c>
      <c r="K28" s="132" t="s">
        <v>66</v>
      </c>
      <c r="L28" s="132" t="s">
        <v>28</v>
      </c>
      <c r="M28" s="132" t="s">
        <v>67</v>
      </c>
      <c r="N28" s="132"/>
      <c r="O28" s="132" t="s">
        <v>65</v>
      </c>
      <c r="P28" s="132" t="s">
        <v>66</v>
      </c>
      <c r="Q28" s="132" t="s">
        <v>28</v>
      </c>
      <c r="R28" s="135" t="s">
        <v>67</v>
      </c>
      <c r="V28" s="29"/>
      <c r="Y28" s="31" t="s">
        <v>68</v>
      </c>
    </row>
    <row r="29" spans="1:54" ht="14.4">
      <c r="A29" s="32" t="s">
        <v>24</v>
      </c>
      <c r="B29" s="39">
        <v>124</v>
      </c>
      <c r="C29" s="39">
        <v>0</v>
      </c>
      <c r="D29" s="56">
        <f>SUM(B29:C29)</f>
        <v>124</v>
      </c>
      <c r="E29" s="57">
        <v>134</v>
      </c>
      <c r="F29" s="124">
        <v>55</v>
      </c>
      <c r="G29" s="39">
        <v>0</v>
      </c>
      <c r="H29" s="56">
        <f>SUM(F29:G29)</f>
        <v>55</v>
      </c>
      <c r="I29" s="57">
        <v>78</v>
      </c>
      <c r="J29" s="124">
        <v>230</v>
      </c>
      <c r="K29" s="124">
        <v>0</v>
      </c>
      <c r="L29" s="56">
        <v>0</v>
      </c>
      <c r="M29" s="57">
        <v>315</v>
      </c>
      <c r="N29" s="65"/>
      <c r="O29" s="66">
        <f t="shared" ref="O29:P29" si="63">J29+F29+B29</f>
        <v>409</v>
      </c>
      <c r="P29" s="66">
        <f t="shared" si="63"/>
        <v>0</v>
      </c>
      <c r="Q29" s="56">
        <f>P29+O29</f>
        <v>409</v>
      </c>
      <c r="R29" s="68">
        <f>M29+I29+E29</f>
        <v>527</v>
      </c>
      <c r="S29" s="83"/>
      <c r="U29" s="83">
        <v>46112</v>
      </c>
      <c r="V29" s="29" t="s">
        <v>49</v>
      </c>
      <c r="W29" s="31" t="s">
        <v>74</v>
      </c>
    </row>
    <row r="30" spans="1:54" ht="14.4">
      <c r="A30" s="35" t="s">
        <v>44</v>
      </c>
      <c r="B30" s="78">
        <f t="shared" ref="B30:M30" si="64">SUM(B29)</f>
        <v>124</v>
      </c>
      <c r="C30" s="78">
        <f t="shared" si="64"/>
        <v>0</v>
      </c>
      <c r="D30" s="78">
        <f t="shared" si="64"/>
        <v>124</v>
      </c>
      <c r="E30" s="78">
        <f t="shared" si="64"/>
        <v>134</v>
      </c>
      <c r="F30" s="78">
        <f t="shared" si="64"/>
        <v>55</v>
      </c>
      <c r="G30" s="78">
        <f t="shared" si="64"/>
        <v>0</v>
      </c>
      <c r="H30" s="78">
        <f t="shared" si="64"/>
        <v>55</v>
      </c>
      <c r="I30" s="78">
        <f t="shared" si="64"/>
        <v>78</v>
      </c>
      <c r="J30" s="78">
        <f t="shared" si="64"/>
        <v>230</v>
      </c>
      <c r="K30" s="78">
        <f t="shared" si="64"/>
        <v>0</v>
      </c>
      <c r="L30" s="78">
        <f t="shared" si="64"/>
        <v>0</v>
      </c>
      <c r="M30" s="78">
        <f t="shared" si="64"/>
        <v>315</v>
      </c>
      <c r="N30" s="65"/>
      <c r="O30" s="78">
        <f t="shared" ref="O30:R30" si="65">SUM(O29)</f>
        <v>409</v>
      </c>
      <c r="P30" s="78">
        <f t="shared" si="65"/>
        <v>0</v>
      </c>
      <c r="Q30" s="78">
        <f t="shared" si="65"/>
        <v>409</v>
      </c>
      <c r="R30" s="92">
        <f t="shared" si="65"/>
        <v>527</v>
      </c>
      <c r="V30" s="29"/>
    </row>
    <row r="31" spans="1:54" ht="14.4">
      <c r="A31" s="32" t="s">
        <v>51</v>
      </c>
      <c r="B31" s="39">
        <v>29</v>
      </c>
      <c r="C31" s="66">
        <v>0</v>
      </c>
      <c r="D31" s="56">
        <f>SUM(B31:C31)</f>
        <v>29</v>
      </c>
      <c r="E31" s="57">
        <v>26</v>
      </c>
      <c r="F31" s="124">
        <v>16</v>
      </c>
      <c r="G31" s="66"/>
      <c r="H31" s="56">
        <v>20</v>
      </c>
      <c r="I31" s="57">
        <v>15</v>
      </c>
      <c r="J31" s="124">
        <v>42</v>
      </c>
      <c r="K31" s="124">
        <v>0</v>
      </c>
      <c r="L31" s="56">
        <f>K31+J31</f>
        <v>42</v>
      </c>
      <c r="M31" s="57">
        <v>72</v>
      </c>
      <c r="N31" s="65"/>
      <c r="O31" s="66">
        <f>J31+F31+B31</f>
        <v>87</v>
      </c>
      <c r="P31" s="66">
        <f>C31+G31+K31</f>
        <v>0</v>
      </c>
      <c r="Q31" s="56">
        <f>P31+O31</f>
        <v>87</v>
      </c>
      <c r="R31" s="68">
        <f>M31+I31+E31</f>
        <v>113</v>
      </c>
      <c r="S31" s="83"/>
      <c r="U31" s="83">
        <v>46112</v>
      </c>
      <c r="V31" s="29" t="s">
        <v>56</v>
      </c>
      <c r="W31" s="143" t="s">
        <v>74</v>
      </c>
      <c r="X31" s="143"/>
    </row>
    <row r="32" spans="1:54" ht="14.4">
      <c r="A32" s="35" t="s">
        <v>54</v>
      </c>
      <c r="B32" s="78">
        <f t="shared" ref="B32:M32" si="66">SUM(B31)</f>
        <v>29</v>
      </c>
      <c r="C32" s="78">
        <f t="shared" si="66"/>
        <v>0</v>
      </c>
      <c r="D32" s="78">
        <f t="shared" si="66"/>
        <v>29</v>
      </c>
      <c r="E32" s="78">
        <f t="shared" si="66"/>
        <v>26</v>
      </c>
      <c r="F32" s="78">
        <f t="shared" si="66"/>
        <v>16</v>
      </c>
      <c r="G32" s="78">
        <f t="shared" si="66"/>
        <v>0</v>
      </c>
      <c r="H32" s="78">
        <f t="shared" si="66"/>
        <v>20</v>
      </c>
      <c r="I32" s="78">
        <f t="shared" si="66"/>
        <v>15</v>
      </c>
      <c r="J32" s="78">
        <f t="shared" si="66"/>
        <v>42</v>
      </c>
      <c r="K32" s="78">
        <f t="shared" si="66"/>
        <v>0</v>
      </c>
      <c r="L32" s="78">
        <f t="shared" si="66"/>
        <v>42</v>
      </c>
      <c r="M32" s="78">
        <f t="shared" si="66"/>
        <v>72</v>
      </c>
      <c r="N32" s="65"/>
      <c r="O32" s="78">
        <f t="shared" ref="O32:R32" si="67">SUM(O31)</f>
        <v>87</v>
      </c>
      <c r="P32" s="78">
        <f t="shared" si="67"/>
        <v>0</v>
      </c>
      <c r="Q32" s="78">
        <f t="shared" si="67"/>
        <v>87</v>
      </c>
      <c r="R32" s="92">
        <f t="shared" si="67"/>
        <v>113</v>
      </c>
      <c r="V32" s="29"/>
    </row>
    <row r="33" spans="1:23" ht="14.4">
      <c r="A33" s="32" t="s">
        <v>55</v>
      </c>
      <c r="B33" s="39">
        <v>34</v>
      </c>
      <c r="C33" s="66">
        <v>0</v>
      </c>
      <c r="D33" s="56">
        <f>SUM(B33:C33)</f>
        <v>34</v>
      </c>
      <c r="E33" s="57">
        <v>20</v>
      </c>
      <c r="F33" s="124">
        <v>89</v>
      </c>
      <c r="G33" s="66">
        <v>0</v>
      </c>
      <c r="H33" s="56">
        <f>SUM(F33:G33)</f>
        <v>89</v>
      </c>
      <c r="I33" s="57">
        <v>12</v>
      </c>
      <c r="J33" s="124">
        <v>110</v>
      </c>
      <c r="K33" s="124">
        <v>0</v>
      </c>
      <c r="L33" s="56">
        <f>K33+J33</f>
        <v>110</v>
      </c>
      <c r="M33" s="57">
        <v>79</v>
      </c>
      <c r="N33" s="65"/>
      <c r="O33" s="66">
        <f t="shared" ref="O33:P33" si="68">J33+F33+B33</f>
        <v>233</v>
      </c>
      <c r="P33" s="66">
        <f t="shared" si="68"/>
        <v>0</v>
      </c>
      <c r="Q33" s="56">
        <f>P33+O33</f>
        <v>233</v>
      </c>
      <c r="R33" s="68">
        <f>M33+I33+E33</f>
        <v>111</v>
      </c>
      <c r="S33" s="83"/>
      <c r="U33" s="31" t="s">
        <v>82</v>
      </c>
      <c r="V33" s="29" t="s">
        <v>80</v>
      </c>
      <c r="W33" s="31" t="s">
        <v>74</v>
      </c>
    </row>
    <row r="34" spans="1:23" ht="14.4">
      <c r="A34" s="35" t="s">
        <v>59</v>
      </c>
      <c r="B34" s="78">
        <f t="shared" ref="B34:M34" si="69">SUM(B33)</f>
        <v>34</v>
      </c>
      <c r="C34" s="78">
        <f t="shared" si="69"/>
        <v>0</v>
      </c>
      <c r="D34" s="78">
        <f t="shared" si="69"/>
        <v>34</v>
      </c>
      <c r="E34" s="78">
        <f t="shared" si="69"/>
        <v>20</v>
      </c>
      <c r="F34" s="78">
        <f t="shared" si="69"/>
        <v>89</v>
      </c>
      <c r="G34" s="78">
        <f t="shared" si="69"/>
        <v>0</v>
      </c>
      <c r="H34" s="78">
        <f t="shared" si="69"/>
        <v>89</v>
      </c>
      <c r="I34" s="78">
        <f t="shared" si="69"/>
        <v>12</v>
      </c>
      <c r="J34" s="78">
        <f t="shared" si="69"/>
        <v>110</v>
      </c>
      <c r="K34" s="78">
        <f t="shared" si="69"/>
        <v>0</v>
      </c>
      <c r="L34" s="78">
        <f t="shared" si="69"/>
        <v>110</v>
      </c>
      <c r="M34" s="78">
        <f t="shared" si="69"/>
        <v>79</v>
      </c>
      <c r="N34" s="65"/>
      <c r="O34" s="78">
        <f t="shared" ref="O34:R34" si="70">SUM(O33)</f>
        <v>233</v>
      </c>
      <c r="P34" s="78">
        <f t="shared" si="70"/>
        <v>0</v>
      </c>
      <c r="Q34" s="78">
        <f t="shared" si="70"/>
        <v>233</v>
      </c>
      <c r="R34" s="92">
        <f t="shared" si="70"/>
        <v>111</v>
      </c>
      <c r="U34" s="83"/>
      <c r="V34" s="29"/>
    </row>
    <row r="35" spans="1:23" ht="14.4">
      <c r="A35" s="3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5"/>
      <c r="O35" s="66"/>
      <c r="P35" s="66"/>
      <c r="Q35" s="66"/>
      <c r="R35" s="104"/>
    </row>
    <row r="36" spans="1:23" ht="14.4">
      <c r="A36" s="32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104"/>
    </row>
    <row r="37" spans="1:23" ht="14.4">
      <c r="A37" s="126" t="s">
        <v>14</v>
      </c>
      <c r="B37" s="97">
        <f t="shared" ref="B37:M37" si="71">B34+B32+B30</f>
        <v>187</v>
      </c>
      <c r="C37" s="97">
        <f t="shared" si="71"/>
        <v>0</v>
      </c>
      <c r="D37" s="97">
        <f t="shared" si="71"/>
        <v>187</v>
      </c>
      <c r="E37" s="97">
        <f t="shared" si="71"/>
        <v>180</v>
      </c>
      <c r="F37" s="97">
        <f t="shared" si="71"/>
        <v>160</v>
      </c>
      <c r="G37" s="97">
        <f t="shared" si="71"/>
        <v>0</v>
      </c>
      <c r="H37" s="97">
        <f t="shared" si="71"/>
        <v>164</v>
      </c>
      <c r="I37" s="97">
        <f t="shared" si="71"/>
        <v>105</v>
      </c>
      <c r="J37" s="97">
        <f t="shared" si="71"/>
        <v>382</v>
      </c>
      <c r="K37" s="97">
        <f t="shared" si="71"/>
        <v>0</v>
      </c>
      <c r="L37" s="97">
        <f t="shared" si="71"/>
        <v>152</v>
      </c>
      <c r="M37" s="97">
        <f t="shared" si="71"/>
        <v>466</v>
      </c>
      <c r="N37" s="127"/>
      <c r="O37" s="97">
        <f t="shared" ref="O37:R37" si="72">O34+O32+O30</f>
        <v>729</v>
      </c>
      <c r="P37" s="97">
        <f t="shared" si="72"/>
        <v>0</v>
      </c>
      <c r="Q37" s="97">
        <f t="shared" si="72"/>
        <v>729</v>
      </c>
      <c r="R37" s="99">
        <f t="shared" si="72"/>
        <v>751</v>
      </c>
    </row>
    <row r="39" spans="1:23" ht="14.4">
      <c r="O39" s="15"/>
      <c r="P39" s="120"/>
    </row>
    <row r="41" spans="1:23" ht="14.4">
      <c r="A41" s="289" t="s">
        <v>71</v>
      </c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3"/>
      <c r="N41" s="120" t="s">
        <v>3</v>
      </c>
    </row>
    <row r="42" spans="1:23" ht="14.4">
      <c r="A42" s="19"/>
      <c r="B42" s="290"/>
      <c r="C42" s="285"/>
      <c r="D42" s="130"/>
      <c r="E42" s="290" t="str">
        <f>'2026 - Q1'!F27</f>
        <v>FEB</v>
      </c>
      <c r="F42" s="285"/>
      <c r="G42" s="285"/>
      <c r="H42" s="130"/>
      <c r="I42" s="290" t="str">
        <f>'2026 - Q1'!J27</f>
        <v>MAR</v>
      </c>
      <c r="J42" s="285"/>
      <c r="K42" s="285"/>
      <c r="L42" s="130" t="s">
        <v>14</v>
      </c>
      <c r="M42" s="150"/>
      <c r="N42" s="29"/>
    </row>
    <row r="43" spans="1:23" ht="28.8">
      <c r="A43" s="36"/>
      <c r="B43" s="132" t="s">
        <v>26</v>
      </c>
      <c r="C43" s="132" t="s">
        <v>29</v>
      </c>
      <c r="D43" s="132"/>
      <c r="E43" s="132" t="s">
        <v>26</v>
      </c>
      <c r="F43" s="132" t="s">
        <v>29</v>
      </c>
      <c r="G43" s="132"/>
      <c r="H43" s="132"/>
      <c r="I43" s="132" t="s">
        <v>26</v>
      </c>
      <c r="J43" s="132" t="s">
        <v>29</v>
      </c>
      <c r="K43" s="132"/>
      <c r="L43" s="132" t="s">
        <v>26</v>
      </c>
      <c r="M43" s="135" t="s">
        <v>29</v>
      </c>
      <c r="N43" s="29"/>
    </row>
    <row r="44" spans="1:23" ht="14.4">
      <c r="A44" s="51" t="s">
        <v>36</v>
      </c>
      <c r="B44" s="39">
        <v>53</v>
      </c>
      <c r="C44" s="57">
        <v>66</v>
      </c>
      <c r="D44" s="61">
        <f t="shared" ref="D44:D57" si="73">B44/C44</f>
        <v>0.80303030303030298</v>
      </c>
      <c r="E44" s="39">
        <v>67</v>
      </c>
      <c r="F44" s="57">
        <v>61</v>
      </c>
      <c r="G44" s="61">
        <f t="shared" ref="G44:G57" si="74">E44/F44</f>
        <v>1.098360655737705</v>
      </c>
      <c r="H44" s="39"/>
      <c r="I44" s="39">
        <v>58</v>
      </c>
      <c r="J44" s="57">
        <v>64</v>
      </c>
      <c r="K44" s="61">
        <f t="shared" ref="K44:K57" si="75">I44/J44</f>
        <v>0.90625</v>
      </c>
      <c r="L44" s="66">
        <f t="shared" ref="L44:M44" si="76">I44+E44+B44</f>
        <v>178</v>
      </c>
      <c r="M44" s="68">
        <f t="shared" si="76"/>
        <v>191</v>
      </c>
      <c r="N44" s="29" t="s">
        <v>49</v>
      </c>
      <c r="O44" s="77">
        <v>46112</v>
      </c>
    </row>
    <row r="45" spans="1:23" ht="14.4">
      <c r="A45" s="51" t="s">
        <v>40</v>
      </c>
      <c r="B45" s="39">
        <v>40</v>
      </c>
      <c r="C45" s="57">
        <v>57</v>
      </c>
      <c r="D45" s="61">
        <f t="shared" si="73"/>
        <v>0.70175438596491224</v>
      </c>
      <c r="E45" s="39">
        <v>39</v>
      </c>
      <c r="F45" s="57">
        <v>53</v>
      </c>
      <c r="G45" s="61">
        <f t="shared" si="74"/>
        <v>0.73584905660377353</v>
      </c>
      <c r="H45" s="39"/>
      <c r="I45" s="39">
        <v>47</v>
      </c>
      <c r="J45" s="57">
        <v>56</v>
      </c>
      <c r="K45" s="61">
        <f t="shared" si="75"/>
        <v>0.8392857142857143</v>
      </c>
      <c r="L45" s="66">
        <f t="shared" ref="L45:M45" si="77">I45+E45+B45</f>
        <v>126</v>
      </c>
      <c r="M45" s="68">
        <f t="shared" si="77"/>
        <v>166</v>
      </c>
      <c r="N45" s="29" t="s">
        <v>49</v>
      </c>
      <c r="O45" s="77">
        <v>46112</v>
      </c>
    </row>
    <row r="46" spans="1:23" ht="14.4">
      <c r="A46" s="51" t="s">
        <v>41</v>
      </c>
      <c r="B46" s="39">
        <v>48</v>
      </c>
      <c r="C46" s="57">
        <v>53</v>
      </c>
      <c r="D46" s="61">
        <f t="shared" si="73"/>
        <v>0.90566037735849059</v>
      </c>
      <c r="E46" s="39">
        <v>56</v>
      </c>
      <c r="F46" s="57">
        <v>50</v>
      </c>
      <c r="G46" s="61">
        <f t="shared" si="74"/>
        <v>1.1200000000000001</v>
      </c>
      <c r="H46" s="39"/>
      <c r="I46" s="39">
        <v>54</v>
      </c>
      <c r="J46" s="57">
        <v>51</v>
      </c>
      <c r="K46" s="61">
        <f t="shared" si="75"/>
        <v>1.0588235294117647</v>
      </c>
      <c r="L46" s="66">
        <f t="shared" ref="L46:M46" si="78">I46+E46+B46</f>
        <v>158</v>
      </c>
      <c r="M46" s="68">
        <f t="shared" si="78"/>
        <v>154</v>
      </c>
      <c r="N46" s="29" t="s">
        <v>49</v>
      </c>
      <c r="O46" s="77">
        <v>46112</v>
      </c>
    </row>
    <row r="47" spans="1:23" ht="14.4">
      <c r="A47" s="51" t="s">
        <v>48</v>
      </c>
      <c r="B47" s="70">
        <v>55</v>
      </c>
      <c r="C47" s="57">
        <v>63</v>
      </c>
      <c r="D47" s="61">
        <f t="shared" si="73"/>
        <v>0.87301587301587302</v>
      </c>
      <c r="E47" s="39">
        <v>46</v>
      </c>
      <c r="F47" s="57">
        <v>59</v>
      </c>
      <c r="G47" s="61">
        <f t="shared" si="74"/>
        <v>0.77966101694915257</v>
      </c>
      <c r="H47" s="39"/>
      <c r="I47" s="39">
        <v>61</v>
      </c>
      <c r="J47" s="57">
        <v>61</v>
      </c>
      <c r="K47" s="61">
        <f t="shared" si="75"/>
        <v>1</v>
      </c>
      <c r="L47" s="66">
        <f t="shared" ref="L47:M47" si="79">I47+E47+B47</f>
        <v>162</v>
      </c>
      <c r="M47" s="68">
        <f t="shared" si="79"/>
        <v>183</v>
      </c>
      <c r="N47" s="29" t="s">
        <v>49</v>
      </c>
      <c r="O47" s="77">
        <v>46112</v>
      </c>
    </row>
    <row r="48" spans="1:23" ht="13.2">
      <c r="A48" s="89" t="s">
        <v>44</v>
      </c>
      <c r="B48" s="78">
        <f t="shared" ref="B48:C48" si="80">SUM(B44:B47)</f>
        <v>196</v>
      </c>
      <c r="C48" s="78">
        <f t="shared" si="80"/>
        <v>239</v>
      </c>
      <c r="D48" s="61">
        <f t="shared" si="73"/>
        <v>0.82008368200836823</v>
      </c>
      <c r="E48" s="78">
        <f t="shared" ref="E48:F48" si="81">SUM(E44:E47)</f>
        <v>208</v>
      </c>
      <c r="F48" s="78">
        <f t="shared" si="81"/>
        <v>223</v>
      </c>
      <c r="G48" s="61">
        <f t="shared" si="74"/>
        <v>0.93273542600896864</v>
      </c>
      <c r="H48" s="151"/>
      <c r="I48" s="78">
        <f t="shared" ref="I48:J48" si="82">SUM(I44:I47)</f>
        <v>220</v>
      </c>
      <c r="J48" s="78">
        <f t="shared" si="82"/>
        <v>232</v>
      </c>
      <c r="K48" s="61">
        <f t="shared" si="75"/>
        <v>0.94827586206896552</v>
      </c>
      <c r="L48" s="78">
        <f t="shared" ref="L48:M48" si="83">SUM(L44:L47)</f>
        <v>624</v>
      </c>
      <c r="M48" s="92">
        <f t="shared" si="83"/>
        <v>694</v>
      </c>
      <c r="N48" s="137">
        <f>L48/M48</f>
        <v>0.89913544668587897</v>
      </c>
      <c r="P48" s="31">
        <f>L48-M48</f>
        <v>-70</v>
      </c>
    </row>
    <row r="49" spans="1:17" ht="14.4">
      <c r="A49" s="51" t="s">
        <v>52</v>
      </c>
      <c r="B49" s="66">
        <v>49</v>
      </c>
      <c r="C49" s="57">
        <v>53</v>
      </c>
      <c r="D49" s="61">
        <f t="shared" si="73"/>
        <v>0.92452830188679247</v>
      </c>
      <c r="E49" s="39">
        <v>35</v>
      </c>
      <c r="F49" s="57">
        <v>50</v>
      </c>
      <c r="G49" s="61">
        <f t="shared" si="74"/>
        <v>0.7</v>
      </c>
      <c r="H49" s="39"/>
      <c r="I49" s="39">
        <v>49</v>
      </c>
      <c r="J49" s="57">
        <v>51</v>
      </c>
      <c r="K49" s="61">
        <f t="shared" si="75"/>
        <v>0.96078431372549022</v>
      </c>
      <c r="L49" s="66">
        <f t="shared" ref="L49:M49" si="84">I49+E49+B49</f>
        <v>133</v>
      </c>
      <c r="M49" s="68">
        <f t="shared" si="84"/>
        <v>154</v>
      </c>
      <c r="N49" s="29" t="s">
        <v>56</v>
      </c>
      <c r="O49" s="83">
        <v>46112</v>
      </c>
    </row>
    <row r="50" spans="1:17" ht="14.4">
      <c r="A50" s="51" t="s">
        <v>51</v>
      </c>
      <c r="B50" s="66">
        <v>33</v>
      </c>
      <c r="C50" s="57">
        <v>47</v>
      </c>
      <c r="D50" s="61">
        <f t="shared" si="73"/>
        <v>0.7021276595744681</v>
      </c>
      <c r="E50" s="39">
        <v>36</v>
      </c>
      <c r="F50" s="57">
        <v>44</v>
      </c>
      <c r="G50" s="61">
        <f t="shared" si="74"/>
        <v>0.81818181818181823</v>
      </c>
      <c r="H50" s="39"/>
      <c r="I50" s="39">
        <v>35</v>
      </c>
      <c r="J50" s="57">
        <v>45</v>
      </c>
      <c r="K50" s="61">
        <f t="shared" si="75"/>
        <v>0.77777777777777779</v>
      </c>
      <c r="L50" s="66">
        <f t="shared" ref="L50:M50" si="85">I50+E50+B50</f>
        <v>104</v>
      </c>
      <c r="M50" s="68">
        <f t="shared" si="85"/>
        <v>136</v>
      </c>
      <c r="N50" s="29" t="s">
        <v>56</v>
      </c>
      <c r="O50" s="83">
        <v>46112</v>
      </c>
    </row>
    <row r="51" spans="1:17" ht="14.4">
      <c r="A51" s="51" t="s">
        <v>46</v>
      </c>
      <c r="B51" s="66">
        <v>60</v>
      </c>
      <c r="C51" s="57">
        <v>49</v>
      </c>
      <c r="D51" s="61">
        <f t="shared" si="73"/>
        <v>1.2244897959183674</v>
      </c>
      <c r="E51" s="39">
        <v>35</v>
      </c>
      <c r="F51" s="57">
        <v>46</v>
      </c>
      <c r="G51" s="61">
        <f t="shared" si="74"/>
        <v>0.76086956521739135</v>
      </c>
      <c r="H51" s="39"/>
      <c r="I51" s="39">
        <v>56</v>
      </c>
      <c r="J51" s="57">
        <v>48</v>
      </c>
      <c r="K51" s="61">
        <f t="shared" si="75"/>
        <v>1.1666666666666667</v>
      </c>
      <c r="L51" s="66">
        <f t="shared" ref="L51:M51" si="86">I51+E51+B51</f>
        <v>151</v>
      </c>
      <c r="M51" s="68">
        <f t="shared" si="86"/>
        <v>143</v>
      </c>
      <c r="N51" s="29" t="s">
        <v>56</v>
      </c>
      <c r="O51" s="83">
        <v>46112</v>
      </c>
    </row>
    <row r="52" spans="1:17" ht="14.4">
      <c r="A52" s="51" t="s">
        <v>53</v>
      </c>
      <c r="B52" s="66">
        <v>64</v>
      </c>
      <c r="C52" s="57">
        <v>95</v>
      </c>
      <c r="D52" s="61">
        <f t="shared" si="73"/>
        <v>0.67368421052631577</v>
      </c>
      <c r="E52" s="39">
        <v>71</v>
      </c>
      <c r="F52" s="57">
        <v>89</v>
      </c>
      <c r="G52" s="61">
        <f t="shared" si="74"/>
        <v>0.797752808988764</v>
      </c>
      <c r="H52" s="39"/>
      <c r="I52" s="39">
        <v>100</v>
      </c>
      <c r="J52" s="57">
        <v>92</v>
      </c>
      <c r="K52" s="61">
        <f t="shared" si="75"/>
        <v>1.0869565217391304</v>
      </c>
      <c r="L52" s="66">
        <f t="shared" ref="L52:M52" si="87">I52+E52+B52</f>
        <v>235</v>
      </c>
      <c r="M52" s="68">
        <f t="shared" si="87"/>
        <v>276</v>
      </c>
      <c r="N52" s="29" t="s">
        <v>56</v>
      </c>
      <c r="O52" s="83">
        <v>46112</v>
      </c>
    </row>
    <row r="53" spans="1:17" ht="13.2">
      <c r="A53" s="89" t="s">
        <v>54</v>
      </c>
      <c r="B53" s="78">
        <f t="shared" ref="B53:C53" si="88">SUM(B49:B52)</f>
        <v>206</v>
      </c>
      <c r="C53" s="78">
        <f t="shared" si="88"/>
        <v>244</v>
      </c>
      <c r="D53" s="61">
        <f t="shared" si="73"/>
        <v>0.84426229508196726</v>
      </c>
      <c r="E53" s="78">
        <f t="shared" ref="E53:F53" si="89">SUM(E49:E52)</f>
        <v>177</v>
      </c>
      <c r="F53" s="78">
        <f t="shared" si="89"/>
        <v>229</v>
      </c>
      <c r="G53" s="61">
        <f t="shared" si="74"/>
        <v>0.77292576419213976</v>
      </c>
      <c r="H53" s="151"/>
      <c r="I53" s="78">
        <f t="shared" ref="I53:J53" si="90">SUM(I49:I52)</f>
        <v>240</v>
      </c>
      <c r="J53" s="78">
        <f t="shared" si="90"/>
        <v>236</v>
      </c>
      <c r="K53" s="61">
        <f t="shared" si="75"/>
        <v>1.0169491525423728</v>
      </c>
      <c r="L53" s="78">
        <f t="shared" ref="L53:M53" si="91">SUM(L49:L52)</f>
        <v>623</v>
      </c>
      <c r="M53" s="92">
        <f t="shared" si="91"/>
        <v>709</v>
      </c>
      <c r="N53" s="137">
        <f>L53/M53</f>
        <v>0.87870239774330039</v>
      </c>
      <c r="P53" s="31">
        <f>L53-M53</f>
        <v>-86</v>
      </c>
    </row>
    <row r="54" spans="1:17" ht="14.4">
      <c r="A54" s="51" t="s">
        <v>55</v>
      </c>
      <c r="B54" s="66">
        <v>27</v>
      </c>
      <c r="C54" s="57">
        <v>38</v>
      </c>
      <c r="D54" s="61">
        <f t="shared" si="73"/>
        <v>0.71052631578947367</v>
      </c>
      <c r="E54" s="39">
        <v>31</v>
      </c>
      <c r="F54" s="57">
        <v>35</v>
      </c>
      <c r="G54" s="61">
        <f t="shared" si="74"/>
        <v>0.88571428571428568</v>
      </c>
      <c r="H54" s="39"/>
      <c r="I54" s="39">
        <v>30</v>
      </c>
      <c r="J54" s="57">
        <v>36</v>
      </c>
      <c r="K54" s="61">
        <f t="shared" si="75"/>
        <v>0.83333333333333337</v>
      </c>
      <c r="L54" s="66">
        <f t="shared" ref="L54:M54" si="92">I54+E54+B54</f>
        <v>88</v>
      </c>
      <c r="M54" s="68">
        <f t="shared" si="92"/>
        <v>109</v>
      </c>
      <c r="N54" s="29" t="s">
        <v>80</v>
      </c>
      <c r="O54" s="83">
        <v>46112</v>
      </c>
    </row>
    <row r="55" spans="1:17" ht="14.4">
      <c r="A55" s="51" t="s">
        <v>57</v>
      </c>
      <c r="B55" s="66">
        <v>38</v>
      </c>
      <c r="C55" s="57">
        <v>50</v>
      </c>
      <c r="D55" s="61">
        <f t="shared" si="73"/>
        <v>0.76</v>
      </c>
      <c r="E55" s="39">
        <v>43</v>
      </c>
      <c r="F55" s="57">
        <v>46</v>
      </c>
      <c r="G55" s="61">
        <f t="shared" si="74"/>
        <v>0.93478260869565222</v>
      </c>
      <c r="H55" s="39"/>
      <c r="I55" s="39">
        <v>41</v>
      </c>
      <c r="J55" s="57">
        <v>48</v>
      </c>
      <c r="K55" s="61">
        <f t="shared" si="75"/>
        <v>0.85416666666666663</v>
      </c>
      <c r="L55" s="66">
        <f t="shared" ref="L55:M55" si="93">I55+E55+B55</f>
        <v>122</v>
      </c>
      <c r="M55" s="68">
        <f t="shared" si="93"/>
        <v>144</v>
      </c>
      <c r="N55" s="29" t="s">
        <v>80</v>
      </c>
      <c r="O55" s="83">
        <v>46112</v>
      </c>
    </row>
    <row r="56" spans="1:17" ht="14.4">
      <c r="A56" s="51" t="s">
        <v>58</v>
      </c>
      <c r="B56" s="66">
        <v>27</v>
      </c>
      <c r="C56" s="57">
        <v>23</v>
      </c>
      <c r="D56" s="61">
        <f t="shared" si="73"/>
        <v>1.173913043478261</v>
      </c>
      <c r="E56" s="39">
        <v>25</v>
      </c>
      <c r="F56" s="57">
        <v>21</v>
      </c>
      <c r="G56" s="61">
        <f t="shared" si="74"/>
        <v>1.1904761904761905</v>
      </c>
      <c r="H56" s="39"/>
      <c r="I56" s="39">
        <v>28</v>
      </c>
      <c r="J56" s="57">
        <v>22</v>
      </c>
      <c r="K56" s="61">
        <f t="shared" si="75"/>
        <v>1.2727272727272727</v>
      </c>
      <c r="L56" s="66">
        <f t="shared" ref="L56:M56" si="94">I56+E56+B56</f>
        <v>80</v>
      </c>
      <c r="M56" s="68">
        <f t="shared" si="94"/>
        <v>66</v>
      </c>
      <c r="N56" s="29" t="s">
        <v>80</v>
      </c>
      <c r="O56" s="83">
        <v>46112</v>
      </c>
    </row>
    <row r="57" spans="1:17" ht="13.2">
      <c r="A57" s="89" t="s">
        <v>59</v>
      </c>
      <c r="B57" s="78">
        <f t="shared" ref="B57:C57" si="95">SUM(B54:B56)</f>
        <v>92</v>
      </c>
      <c r="C57" s="78">
        <f t="shared" si="95"/>
        <v>111</v>
      </c>
      <c r="D57" s="61">
        <f t="shared" si="73"/>
        <v>0.8288288288288288</v>
      </c>
      <c r="E57" s="78">
        <f t="shared" ref="E57:F57" si="96">SUM(E54:E56)</f>
        <v>99</v>
      </c>
      <c r="F57" s="78">
        <f t="shared" si="96"/>
        <v>102</v>
      </c>
      <c r="G57" s="61">
        <f t="shared" si="74"/>
        <v>0.97058823529411764</v>
      </c>
      <c r="H57" s="151"/>
      <c r="I57" s="78">
        <f t="shared" ref="I57:J57" si="97">SUM(I54:I56)</f>
        <v>99</v>
      </c>
      <c r="J57" s="78">
        <f t="shared" si="97"/>
        <v>106</v>
      </c>
      <c r="K57" s="61">
        <f t="shared" si="75"/>
        <v>0.93396226415094341</v>
      </c>
      <c r="L57" s="78">
        <f t="shared" ref="L57:M57" si="98">SUM(L54:L56)</f>
        <v>290</v>
      </c>
      <c r="M57" s="92">
        <f t="shared" si="98"/>
        <v>319</v>
      </c>
      <c r="N57" s="137">
        <f>L57/M57</f>
        <v>0.90909090909090906</v>
      </c>
      <c r="P57" s="31">
        <f>L57-M57</f>
        <v>-29</v>
      </c>
    </row>
    <row r="58" spans="1:17" ht="14.4">
      <c r="A58" s="89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104"/>
      <c r="N58" s="29"/>
    </row>
    <row r="59" spans="1:17" ht="13.2">
      <c r="A59" s="51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104"/>
    </row>
    <row r="60" spans="1:17" ht="13.2">
      <c r="A60" s="108" t="s">
        <v>14</v>
      </c>
      <c r="B60" s="110">
        <f t="shared" ref="B60:C60" si="99">B57+B53+B48</f>
        <v>494</v>
      </c>
      <c r="C60" s="110">
        <f t="shared" si="99"/>
        <v>594</v>
      </c>
      <c r="D60" s="112">
        <f>B60/C60</f>
        <v>0.83164983164983164</v>
      </c>
      <c r="E60" s="110">
        <f t="shared" ref="E60:F60" si="100">E57+E53+E48</f>
        <v>484</v>
      </c>
      <c r="F60" s="110">
        <f t="shared" si="100"/>
        <v>554</v>
      </c>
      <c r="G60" s="112">
        <f>E60/F60</f>
        <v>0.87364620938628157</v>
      </c>
      <c r="H60" s="153"/>
      <c r="I60" s="110">
        <f t="shared" ref="I60:J60" si="101">I57+I53+I48</f>
        <v>559</v>
      </c>
      <c r="J60" s="110">
        <f t="shared" si="101"/>
        <v>574</v>
      </c>
      <c r="K60" s="112">
        <f>I60/J60</f>
        <v>0.97386759581881532</v>
      </c>
      <c r="L60" s="110">
        <f t="shared" ref="L60:M60" si="102">L57+L53+L48</f>
        <v>1537</v>
      </c>
      <c r="M60" s="115">
        <f t="shared" si="102"/>
        <v>1722</v>
      </c>
      <c r="N60" s="137">
        <f>L60/M60</f>
        <v>0.89256678281068524</v>
      </c>
      <c r="P60" s="58">
        <f>M60-L60</f>
        <v>185</v>
      </c>
      <c r="Q60" s="31">
        <f>P60/1.2</f>
        <v>154.16666666666669</v>
      </c>
    </row>
  </sheetData>
  <mergeCells count="14">
    <mergeCell ref="A26:R26"/>
    <mergeCell ref="B27:E27"/>
    <mergeCell ref="O27:R27"/>
    <mergeCell ref="A3:V3"/>
    <mergeCell ref="B4:E4"/>
    <mergeCell ref="G4:K4"/>
    <mergeCell ref="L4:P4"/>
    <mergeCell ref="S4:V4"/>
    <mergeCell ref="F27:I27"/>
    <mergeCell ref="J27:M27"/>
    <mergeCell ref="A41:M41"/>
    <mergeCell ref="B42:C42"/>
    <mergeCell ref="E42:G42"/>
    <mergeCell ref="I42:K42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BB81"/>
  <sheetViews>
    <sheetView workbookViewId="0"/>
  </sheetViews>
  <sheetFormatPr defaultColWidth="12.6640625" defaultRowHeight="15.75" customHeight="1"/>
  <cols>
    <col min="2" max="2" width="7.109375" customWidth="1"/>
    <col min="3" max="3" width="9" customWidth="1"/>
    <col min="4" max="4" width="8.88671875" customWidth="1"/>
    <col min="5" max="5" width="7.109375" customWidth="1"/>
    <col min="6" max="8" width="8.109375" customWidth="1"/>
    <col min="9" max="10" width="11.33203125" customWidth="1"/>
    <col min="11" max="11" width="11" customWidth="1"/>
    <col min="12" max="13" width="8.44140625" customWidth="1"/>
    <col min="14" max="14" width="9.33203125" customWidth="1"/>
    <col min="15" max="17" width="9.77734375" customWidth="1"/>
    <col min="18" max="18" width="9.21875" customWidth="1"/>
    <col min="19" max="19" width="9.88671875" customWidth="1"/>
    <col min="20" max="20" width="9.33203125" customWidth="1"/>
    <col min="21" max="21" width="7.109375" customWidth="1"/>
    <col min="22" max="22" width="10.109375" customWidth="1"/>
    <col min="23" max="23" width="9" customWidth="1"/>
    <col min="24" max="24" width="11.33203125" customWidth="1"/>
    <col min="25" max="25" width="5.88671875" customWidth="1"/>
    <col min="26" max="26" width="7.109375" customWidth="1"/>
    <col min="27" max="27" width="9.88671875" customWidth="1"/>
    <col min="28" max="28" width="9.88671875" hidden="1" customWidth="1"/>
    <col min="29" max="29" width="7.77734375" hidden="1" customWidth="1"/>
    <col min="34" max="36" width="8.77734375" customWidth="1"/>
    <col min="37" max="37" width="10.44140625" customWidth="1"/>
    <col min="38" max="52" width="8.77734375" customWidth="1"/>
  </cols>
  <sheetData>
    <row r="1" spans="1:54">
      <c r="A1" s="1" t="s">
        <v>0</v>
      </c>
      <c r="AE1" s="3"/>
    </row>
    <row r="3" spans="1:54" ht="15.75" customHeight="1">
      <c r="A3" s="291" t="s">
        <v>1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8"/>
      <c r="Z3" s="7"/>
      <c r="AA3" s="8"/>
      <c r="AB3" s="8"/>
      <c r="AC3" s="11"/>
      <c r="AD3" s="13"/>
      <c r="AE3" s="15" t="s">
        <v>2</v>
      </c>
      <c r="AF3" s="120" t="s">
        <v>3</v>
      </c>
    </row>
    <row r="4" spans="1:54" ht="15.75" customHeight="1">
      <c r="A4" s="19"/>
      <c r="B4" s="130"/>
      <c r="C4" s="277" t="s">
        <v>20</v>
      </c>
      <c r="D4" s="278"/>
      <c r="E4" s="278"/>
      <c r="F4" s="278"/>
      <c r="G4" s="128"/>
      <c r="H4" s="277" t="s">
        <v>25</v>
      </c>
      <c r="I4" s="278"/>
      <c r="J4" s="278"/>
      <c r="K4" s="278"/>
      <c r="L4" s="278"/>
      <c r="M4" s="128"/>
      <c r="N4" s="277" t="s">
        <v>30</v>
      </c>
      <c r="O4" s="278"/>
      <c r="P4" s="278"/>
      <c r="Q4" s="278"/>
      <c r="R4" s="278"/>
      <c r="S4" s="278"/>
      <c r="T4" s="29"/>
      <c r="U4" s="130"/>
      <c r="V4" s="277" t="s">
        <v>14</v>
      </c>
      <c r="W4" s="278"/>
      <c r="X4" s="278"/>
      <c r="Y4" s="279"/>
      <c r="Z4" s="25"/>
      <c r="AA4" s="25"/>
      <c r="AB4" s="25"/>
      <c r="AD4" s="34"/>
      <c r="AF4" s="29"/>
    </row>
    <row r="5" spans="1:54" ht="15.75" customHeight="1">
      <c r="A5" s="36"/>
      <c r="B5" s="132" t="s">
        <v>13</v>
      </c>
      <c r="C5" s="132" t="s">
        <v>26</v>
      </c>
      <c r="D5" s="132" t="s">
        <v>27</v>
      </c>
      <c r="E5" s="132" t="s">
        <v>28</v>
      </c>
      <c r="F5" s="132" t="s">
        <v>29</v>
      </c>
      <c r="G5" s="132"/>
      <c r="H5" s="132" t="s">
        <v>26</v>
      </c>
      <c r="I5" s="134" t="s">
        <v>31</v>
      </c>
      <c r="J5" s="132" t="s">
        <v>27</v>
      </c>
      <c r="K5" s="132" t="s">
        <v>28</v>
      </c>
      <c r="L5" s="132" t="s">
        <v>29</v>
      </c>
      <c r="M5" s="132"/>
      <c r="N5" s="132" t="s">
        <v>26</v>
      </c>
      <c r="O5" s="134" t="s">
        <v>31</v>
      </c>
      <c r="P5" s="132" t="s">
        <v>83</v>
      </c>
      <c r="Q5" s="132" t="s">
        <v>27</v>
      </c>
      <c r="R5" s="132" t="s">
        <v>28</v>
      </c>
      <c r="S5" s="132" t="s">
        <v>29</v>
      </c>
      <c r="T5" s="132"/>
      <c r="U5" s="132" t="s">
        <v>13</v>
      </c>
      <c r="V5" s="132" t="s">
        <v>26</v>
      </c>
      <c r="W5" s="132" t="s">
        <v>27</v>
      </c>
      <c r="X5" s="132" t="s">
        <v>28</v>
      </c>
      <c r="Y5" s="135" t="s">
        <v>29</v>
      </c>
      <c r="Z5" s="136" t="s">
        <v>32</v>
      </c>
      <c r="AA5" s="48" t="s">
        <v>33</v>
      </c>
      <c r="AB5" s="48" t="s">
        <v>34</v>
      </c>
      <c r="AC5" s="24" t="s">
        <v>15</v>
      </c>
      <c r="AD5" s="50" t="s">
        <v>35</v>
      </c>
      <c r="AF5" s="29"/>
    </row>
    <row r="6" spans="1:54" ht="15.75" customHeight="1">
      <c r="A6" s="51" t="s">
        <v>36</v>
      </c>
      <c r="B6" s="152"/>
      <c r="C6" s="39">
        <v>24</v>
      </c>
      <c r="D6" s="39"/>
      <c r="E6" s="56">
        <f t="shared" ref="E6:E9" si="0">SUM(C6:D6)</f>
        <v>24</v>
      </c>
      <c r="F6" s="57">
        <v>31</v>
      </c>
      <c r="G6" s="61">
        <f t="shared" ref="G6:G19" si="1">E6/F6</f>
        <v>0.77419354838709675</v>
      </c>
      <c r="H6" s="39">
        <v>26</v>
      </c>
      <c r="I6" s="39">
        <v>4</v>
      </c>
      <c r="J6" s="39"/>
      <c r="K6" s="56">
        <f t="shared" ref="K6:K9" si="2">SUM(H6:J6)</f>
        <v>30</v>
      </c>
      <c r="L6" s="57">
        <v>29</v>
      </c>
      <c r="M6" s="61">
        <f t="shared" ref="M6:M19" si="3">K6/L6</f>
        <v>1.0344827586206897</v>
      </c>
      <c r="N6" s="39">
        <v>21</v>
      </c>
      <c r="O6" s="39">
        <v>2</v>
      </c>
      <c r="P6" s="39"/>
      <c r="Q6" s="39"/>
      <c r="R6" s="56">
        <f t="shared" ref="R6:R9" si="4">SUM(N6:Q6)</f>
        <v>23</v>
      </c>
      <c r="S6" s="57">
        <v>30</v>
      </c>
      <c r="T6" s="61">
        <f t="shared" ref="T6:T19" si="5">R6/S6</f>
        <v>0.76666666666666672</v>
      </c>
      <c r="U6" s="65"/>
      <c r="V6" s="66">
        <f t="shared" ref="V6:V9" si="6">N6+H6+C6+O6+P6+I6</f>
        <v>77</v>
      </c>
      <c r="W6" s="66">
        <f t="shared" ref="W6:W9" si="7">Q6+J6+D6</f>
        <v>0</v>
      </c>
      <c r="X6" s="56">
        <f t="shared" ref="X6:X9" si="8">SUM(U6:W6)</f>
        <v>77</v>
      </c>
      <c r="Y6" s="68">
        <f t="shared" ref="Y6:Y9" si="9">S6+L6+F6</f>
        <v>90</v>
      </c>
      <c r="Z6" s="69">
        <f t="shared" ref="Z6:Z9" si="10">Y6-X6</f>
        <v>13</v>
      </c>
      <c r="AA6" s="37">
        <f t="shared" ref="AA6:AA19" ca="1" si="11">ROUND(Z6/$AA$26*7,0)</f>
        <v>0</v>
      </c>
      <c r="AB6" s="37">
        <f t="shared" ref="AB6:AB9" si="12">W6+V6</f>
        <v>77</v>
      </c>
      <c r="AC6" s="66">
        <f t="shared" ref="AC6:AC9" si="13">Y6</f>
        <v>90</v>
      </c>
      <c r="AD6" s="75">
        <f t="shared" ref="AD6:AD9" si="14">(V6+W6)/Y6</f>
        <v>0.85555555555555551</v>
      </c>
      <c r="AE6" s="77">
        <v>46024</v>
      </c>
      <c r="AF6" s="29" t="s">
        <v>49</v>
      </c>
      <c r="AT6" s="29"/>
      <c r="AU6" s="29"/>
      <c r="AV6" s="29"/>
      <c r="AW6" s="29"/>
      <c r="AX6" s="29"/>
      <c r="AY6" s="29"/>
      <c r="AZ6" s="29"/>
      <c r="BA6" s="29"/>
      <c r="BB6" s="29"/>
    </row>
    <row r="7" spans="1:54" ht="15.75" customHeight="1">
      <c r="A7" s="51" t="s">
        <v>40</v>
      </c>
      <c r="B7" s="152"/>
      <c r="C7" s="39">
        <v>26</v>
      </c>
      <c r="D7" s="39"/>
      <c r="E7" s="56">
        <f t="shared" si="0"/>
        <v>26</v>
      </c>
      <c r="F7" s="57">
        <v>26</v>
      </c>
      <c r="G7" s="61">
        <f t="shared" si="1"/>
        <v>1</v>
      </c>
      <c r="H7" s="39">
        <v>20</v>
      </c>
      <c r="I7" s="39">
        <v>3</v>
      </c>
      <c r="J7" s="39"/>
      <c r="K7" s="56">
        <f t="shared" si="2"/>
        <v>23</v>
      </c>
      <c r="L7" s="57">
        <v>26</v>
      </c>
      <c r="M7" s="61">
        <f t="shared" si="3"/>
        <v>0.88461538461538458</v>
      </c>
      <c r="N7" s="39">
        <v>13</v>
      </c>
      <c r="O7" s="39">
        <v>1</v>
      </c>
      <c r="P7" s="39"/>
      <c r="Q7" s="39"/>
      <c r="R7" s="56">
        <f t="shared" si="4"/>
        <v>14</v>
      </c>
      <c r="S7" s="57">
        <v>25</v>
      </c>
      <c r="T7" s="61">
        <f t="shared" si="5"/>
        <v>0.56000000000000005</v>
      </c>
      <c r="U7" s="65"/>
      <c r="V7" s="66">
        <f t="shared" si="6"/>
        <v>63</v>
      </c>
      <c r="W7" s="66">
        <f t="shared" si="7"/>
        <v>0</v>
      </c>
      <c r="X7" s="56">
        <f t="shared" si="8"/>
        <v>63</v>
      </c>
      <c r="Y7" s="68">
        <f t="shared" si="9"/>
        <v>77</v>
      </c>
      <c r="Z7" s="69">
        <f t="shared" si="10"/>
        <v>14</v>
      </c>
      <c r="AA7" s="37">
        <f t="shared" ca="1" si="11"/>
        <v>0</v>
      </c>
      <c r="AB7" s="37">
        <f t="shared" si="12"/>
        <v>63</v>
      </c>
      <c r="AC7" s="66">
        <f t="shared" si="13"/>
        <v>77</v>
      </c>
      <c r="AD7" s="75">
        <f t="shared" si="14"/>
        <v>0.81818181818181823</v>
      </c>
      <c r="AE7" s="77">
        <v>46024</v>
      </c>
      <c r="AF7" s="29" t="s">
        <v>49</v>
      </c>
      <c r="AT7" s="29"/>
      <c r="AU7" s="29"/>
      <c r="AV7" s="29"/>
      <c r="AW7" s="29"/>
      <c r="AX7" s="29"/>
      <c r="AY7" s="29"/>
      <c r="AZ7" s="29"/>
      <c r="BA7" s="29"/>
      <c r="BB7" s="29"/>
    </row>
    <row r="8" spans="1:54" ht="15.75" customHeight="1">
      <c r="A8" s="51" t="s">
        <v>41</v>
      </c>
      <c r="B8" s="152"/>
      <c r="C8" s="39">
        <v>24</v>
      </c>
      <c r="D8" s="66">
        <v>2</v>
      </c>
      <c r="E8" s="56">
        <f t="shared" si="0"/>
        <v>26</v>
      </c>
      <c r="F8" s="57">
        <v>35</v>
      </c>
      <c r="G8" s="61">
        <f t="shared" si="1"/>
        <v>0.74285714285714288</v>
      </c>
      <c r="H8" s="39">
        <v>14</v>
      </c>
      <c r="I8" s="39">
        <v>3</v>
      </c>
      <c r="J8" s="39"/>
      <c r="K8" s="56">
        <f t="shared" si="2"/>
        <v>17</v>
      </c>
      <c r="L8" s="57">
        <v>31</v>
      </c>
      <c r="M8" s="61">
        <f t="shared" si="3"/>
        <v>0.54838709677419351</v>
      </c>
      <c r="N8" s="39">
        <v>18</v>
      </c>
      <c r="O8" s="39">
        <v>1</v>
      </c>
      <c r="P8" s="39"/>
      <c r="Q8" s="39"/>
      <c r="R8" s="56">
        <f t="shared" si="4"/>
        <v>19</v>
      </c>
      <c r="S8" s="57">
        <v>30</v>
      </c>
      <c r="T8" s="61">
        <f t="shared" si="5"/>
        <v>0.6333333333333333</v>
      </c>
      <c r="U8" s="65"/>
      <c r="V8" s="66">
        <f t="shared" si="6"/>
        <v>60</v>
      </c>
      <c r="W8" s="66">
        <f t="shared" si="7"/>
        <v>2</v>
      </c>
      <c r="X8" s="56">
        <f t="shared" si="8"/>
        <v>62</v>
      </c>
      <c r="Y8" s="68">
        <f t="shared" si="9"/>
        <v>96</v>
      </c>
      <c r="Z8" s="69">
        <f t="shared" si="10"/>
        <v>34</v>
      </c>
      <c r="AA8" s="37">
        <f t="shared" ca="1" si="11"/>
        <v>-1</v>
      </c>
      <c r="AB8" s="37">
        <f t="shared" si="12"/>
        <v>62</v>
      </c>
      <c r="AC8" s="66">
        <f t="shared" si="13"/>
        <v>96</v>
      </c>
      <c r="AD8" s="75">
        <f t="shared" si="14"/>
        <v>0.64583333333333337</v>
      </c>
      <c r="AE8" s="77">
        <v>46024</v>
      </c>
      <c r="AF8" s="29" t="s">
        <v>49</v>
      </c>
      <c r="AT8" s="29"/>
      <c r="AU8" s="29"/>
      <c r="AV8" s="29"/>
      <c r="AW8" s="29"/>
      <c r="AX8" s="29"/>
      <c r="AY8" s="29"/>
      <c r="AZ8" s="29"/>
      <c r="BA8" s="29"/>
      <c r="BB8" s="29"/>
    </row>
    <row r="9" spans="1:54" ht="15.75" customHeight="1">
      <c r="A9" s="51" t="s">
        <v>48</v>
      </c>
      <c r="B9" s="152"/>
      <c r="C9" s="70">
        <v>49</v>
      </c>
      <c r="D9" s="86">
        <v>6</v>
      </c>
      <c r="E9" s="56">
        <f t="shared" si="0"/>
        <v>55</v>
      </c>
      <c r="F9" s="57">
        <v>40</v>
      </c>
      <c r="G9" s="61">
        <f t="shared" si="1"/>
        <v>1.375</v>
      </c>
      <c r="H9" s="39">
        <v>37</v>
      </c>
      <c r="I9" s="39">
        <v>6</v>
      </c>
      <c r="J9" s="39"/>
      <c r="K9" s="56">
        <f t="shared" si="2"/>
        <v>43</v>
      </c>
      <c r="L9" s="57">
        <v>38</v>
      </c>
      <c r="M9" s="61">
        <f t="shared" si="3"/>
        <v>1.131578947368421</v>
      </c>
      <c r="N9" s="39">
        <v>36</v>
      </c>
      <c r="O9" s="39">
        <v>3</v>
      </c>
      <c r="P9" s="39"/>
      <c r="Q9" s="39"/>
      <c r="R9" s="56">
        <f t="shared" si="4"/>
        <v>39</v>
      </c>
      <c r="S9" s="57">
        <v>39</v>
      </c>
      <c r="T9" s="61">
        <f t="shared" si="5"/>
        <v>1</v>
      </c>
      <c r="U9" s="65"/>
      <c r="V9" s="66">
        <f t="shared" si="6"/>
        <v>131</v>
      </c>
      <c r="W9" s="66">
        <f t="shared" si="7"/>
        <v>6</v>
      </c>
      <c r="X9" s="56">
        <f t="shared" si="8"/>
        <v>137</v>
      </c>
      <c r="Y9" s="68">
        <f t="shared" si="9"/>
        <v>117</v>
      </c>
      <c r="Z9" s="69">
        <f t="shared" si="10"/>
        <v>-20</v>
      </c>
      <c r="AA9" s="37">
        <f t="shared" ca="1" si="11"/>
        <v>0</v>
      </c>
      <c r="AB9" s="37">
        <f t="shared" si="12"/>
        <v>137</v>
      </c>
      <c r="AC9" s="66">
        <f t="shared" si="13"/>
        <v>117</v>
      </c>
      <c r="AD9" s="75">
        <f t="shared" si="14"/>
        <v>1.170940170940171</v>
      </c>
      <c r="AE9" s="77">
        <v>46024</v>
      </c>
      <c r="AF9" s="29" t="s">
        <v>49</v>
      </c>
      <c r="AT9" s="29"/>
      <c r="AU9" s="29"/>
      <c r="AV9" s="29"/>
      <c r="AW9" s="29"/>
      <c r="AX9" s="29"/>
      <c r="AY9" s="29"/>
      <c r="AZ9" s="29"/>
      <c r="BA9" s="29"/>
      <c r="BB9" s="29"/>
    </row>
    <row r="10" spans="1:54" ht="15.75" customHeight="1">
      <c r="A10" s="89" t="s">
        <v>44</v>
      </c>
      <c r="B10" s="78">
        <f t="shared" ref="B10:F10" si="15">SUM(B6:B9)</f>
        <v>0</v>
      </c>
      <c r="C10" s="78">
        <f t="shared" si="15"/>
        <v>123</v>
      </c>
      <c r="D10" s="78">
        <f t="shared" si="15"/>
        <v>8</v>
      </c>
      <c r="E10" s="78">
        <f t="shared" si="15"/>
        <v>131</v>
      </c>
      <c r="F10" s="78">
        <f t="shared" si="15"/>
        <v>132</v>
      </c>
      <c r="G10" s="90">
        <f t="shared" si="1"/>
        <v>0.99242424242424243</v>
      </c>
      <c r="H10" s="78">
        <f t="shared" ref="H10:L10" si="16">SUM(H6:H9)</f>
        <v>97</v>
      </c>
      <c r="I10" s="78">
        <f t="shared" si="16"/>
        <v>16</v>
      </c>
      <c r="J10" s="78">
        <f t="shared" si="16"/>
        <v>0</v>
      </c>
      <c r="K10" s="78">
        <f t="shared" si="16"/>
        <v>113</v>
      </c>
      <c r="L10" s="78">
        <f t="shared" si="16"/>
        <v>124</v>
      </c>
      <c r="M10" s="90">
        <f t="shared" si="3"/>
        <v>0.91129032258064513</v>
      </c>
      <c r="N10" s="78">
        <f t="shared" ref="N10:S10" si="17">SUM(N6:N9)</f>
        <v>88</v>
      </c>
      <c r="O10" s="78">
        <f t="shared" si="17"/>
        <v>7</v>
      </c>
      <c r="P10" s="78">
        <f t="shared" si="17"/>
        <v>0</v>
      </c>
      <c r="Q10" s="78">
        <f t="shared" si="17"/>
        <v>0</v>
      </c>
      <c r="R10" s="78">
        <f t="shared" si="17"/>
        <v>95</v>
      </c>
      <c r="S10" s="78">
        <f t="shared" si="17"/>
        <v>124</v>
      </c>
      <c r="T10" s="90">
        <f t="shared" si="5"/>
        <v>0.7661290322580645</v>
      </c>
      <c r="U10" s="78">
        <f t="shared" ref="U10:Z10" si="18">SUM(U6:U9)</f>
        <v>0</v>
      </c>
      <c r="V10" s="78">
        <f t="shared" si="18"/>
        <v>331</v>
      </c>
      <c r="W10" s="78">
        <f t="shared" si="18"/>
        <v>8</v>
      </c>
      <c r="X10" s="78">
        <f t="shared" si="18"/>
        <v>339</v>
      </c>
      <c r="Y10" s="92">
        <f t="shared" si="18"/>
        <v>380</v>
      </c>
      <c r="Z10" s="93">
        <f t="shared" si="18"/>
        <v>41</v>
      </c>
      <c r="AA10" s="93">
        <f t="shared" ca="1" si="11"/>
        <v>-1</v>
      </c>
      <c r="AB10" s="93">
        <f t="shared" ref="AB10:AC10" si="19">SUM(AB6:AB9)</f>
        <v>339</v>
      </c>
      <c r="AC10" s="78">
        <f t="shared" si="19"/>
        <v>380</v>
      </c>
      <c r="AD10" s="94">
        <f>AB10/AC10</f>
        <v>0.89210526315789473</v>
      </c>
      <c r="AF10" s="29"/>
      <c r="AT10" s="29"/>
      <c r="AU10" s="29"/>
      <c r="AV10" s="29"/>
      <c r="AW10" s="29"/>
      <c r="AX10" s="29"/>
      <c r="AY10" s="29"/>
      <c r="AZ10" s="29"/>
      <c r="BA10" s="29"/>
      <c r="BB10" s="29"/>
    </row>
    <row r="11" spans="1:54" ht="15.75" customHeight="1">
      <c r="A11" s="51" t="s">
        <v>52</v>
      </c>
      <c r="B11" s="152"/>
      <c r="C11" s="66">
        <v>23</v>
      </c>
      <c r="D11" s="66"/>
      <c r="E11" s="56">
        <f t="shared" ref="E11:E14" si="20">SUM(C11:D11)</f>
        <v>23</v>
      </c>
      <c r="F11" s="57">
        <v>30</v>
      </c>
      <c r="G11" s="61">
        <f t="shared" si="1"/>
        <v>0.76666666666666672</v>
      </c>
      <c r="H11" s="39">
        <v>18</v>
      </c>
      <c r="I11" s="39">
        <v>4</v>
      </c>
      <c r="J11" s="39"/>
      <c r="K11" s="56">
        <f t="shared" ref="K11:K14" si="21">SUM(H11:J11)</f>
        <v>22</v>
      </c>
      <c r="L11" s="57">
        <v>24</v>
      </c>
      <c r="M11" s="61">
        <f t="shared" si="3"/>
        <v>0.91666666666666663</v>
      </c>
      <c r="N11" s="39">
        <v>17</v>
      </c>
      <c r="O11" s="39">
        <v>1</v>
      </c>
      <c r="P11" s="39"/>
      <c r="Q11" s="39"/>
      <c r="R11" s="56">
        <f t="shared" ref="R11:R14" si="22">SUM(N11:Q11)</f>
        <v>18</v>
      </c>
      <c r="S11" s="57">
        <v>22</v>
      </c>
      <c r="T11" s="61">
        <f t="shared" si="5"/>
        <v>0.81818181818181823</v>
      </c>
      <c r="U11" s="65"/>
      <c r="V11" s="66">
        <f t="shared" ref="V11:V14" si="23">N11+H11+C11+O11+P11+I11</f>
        <v>63</v>
      </c>
      <c r="W11" s="66">
        <f t="shared" ref="W11:W14" si="24">Q11+J11+D11</f>
        <v>0</v>
      </c>
      <c r="X11" s="56">
        <f t="shared" ref="X11:X14" si="25">SUM(U11:W11)</f>
        <v>63</v>
      </c>
      <c r="Y11" s="68">
        <f t="shared" ref="Y11:Y14" si="26">S11+L11+F11</f>
        <v>76</v>
      </c>
      <c r="Z11" s="69">
        <f t="shared" ref="Z11:Z14" si="27">Y11-X11</f>
        <v>13</v>
      </c>
      <c r="AA11" s="37">
        <f t="shared" ca="1" si="11"/>
        <v>0</v>
      </c>
      <c r="AB11" s="37">
        <f t="shared" ref="AB11:AB14" si="28">W11+V11</f>
        <v>63</v>
      </c>
      <c r="AC11" s="66">
        <f t="shared" ref="AC11:AC14" si="29">Y11</f>
        <v>76</v>
      </c>
      <c r="AD11" s="75">
        <f t="shared" ref="AD11:AD14" si="30">(V11+W11)/Y11</f>
        <v>0.82894736842105265</v>
      </c>
      <c r="AE11" s="77">
        <v>46022</v>
      </c>
      <c r="AF11" s="29" t="s">
        <v>56</v>
      </c>
      <c r="AT11" s="29"/>
      <c r="AU11" s="29"/>
      <c r="AV11" s="29"/>
      <c r="AW11" s="29"/>
      <c r="AX11" s="29"/>
      <c r="AY11" s="29"/>
      <c r="AZ11" s="29"/>
      <c r="BA11" s="29"/>
      <c r="BB11" s="29"/>
    </row>
    <row r="12" spans="1:54" ht="15.75" customHeight="1">
      <c r="A12" s="51" t="s">
        <v>51</v>
      </c>
      <c r="B12" s="152"/>
      <c r="C12" s="66">
        <v>18</v>
      </c>
      <c r="D12" s="66">
        <v>2</v>
      </c>
      <c r="E12" s="56">
        <f t="shared" si="20"/>
        <v>20</v>
      </c>
      <c r="F12" s="57">
        <v>29</v>
      </c>
      <c r="G12" s="61">
        <f t="shared" si="1"/>
        <v>0.68965517241379315</v>
      </c>
      <c r="H12" s="39">
        <v>41</v>
      </c>
      <c r="I12" s="39">
        <v>4</v>
      </c>
      <c r="J12" s="39"/>
      <c r="K12" s="56">
        <f t="shared" si="21"/>
        <v>45</v>
      </c>
      <c r="L12" s="57">
        <v>30</v>
      </c>
      <c r="M12" s="61">
        <f t="shared" si="3"/>
        <v>1.5</v>
      </c>
      <c r="N12" s="39">
        <v>16</v>
      </c>
      <c r="O12" s="39">
        <v>3</v>
      </c>
      <c r="P12" s="39"/>
      <c r="Q12" s="39"/>
      <c r="R12" s="56">
        <f t="shared" si="22"/>
        <v>19</v>
      </c>
      <c r="S12" s="57">
        <v>28</v>
      </c>
      <c r="T12" s="61">
        <f t="shared" si="5"/>
        <v>0.6785714285714286</v>
      </c>
      <c r="U12" s="65"/>
      <c r="V12" s="66">
        <f t="shared" si="23"/>
        <v>82</v>
      </c>
      <c r="W12" s="66">
        <f t="shared" si="24"/>
        <v>2</v>
      </c>
      <c r="X12" s="56">
        <f t="shared" si="25"/>
        <v>84</v>
      </c>
      <c r="Y12" s="68">
        <f t="shared" si="26"/>
        <v>87</v>
      </c>
      <c r="Z12" s="69">
        <f t="shared" si="27"/>
        <v>3</v>
      </c>
      <c r="AA12" s="37">
        <f t="shared" ca="1" si="11"/>
        <v>0</v>
      </c>
      <c r="AB12" s="37">
        <f t="shared" si="28"/>
        <v>84</v>
      </c>
      <c r="AC12" s="66">
        <f t="shared" si="29"/>
        <v>87</v>
      </c>
      <c r="AD12" s="75">
        <f t="shared" si="30"/>
        <v>0.96551724137931039</v>
      </c>
      <c r="AE12" s="77">
        <v>46022</v>
      </c>
      <c r="AF12" s="29" t="s">
        <v>56</v>
      </c>
      <c r="AT12" s="29"/>
      <c r="AU12" s="29"/>
      <c r="AV12" s="29"/>
      <c r="AW12" s="29"/>
      <c r="AX12" s="29"/>
      <c r="AY12" s="29"/>
      <c r="AZ12" s="29"/>
      <c r="BA12" s="29"/>
      <c r="BB12" s="29"/>
    </row>
    <row r="13" spans="1:54" ht="15.75" customHeight="1">
      <c r="A13" s="51" t="s">
        <v>46</v>
      </c>
      <c r="B13" s="152"/>
      <c r="C13" s="66">
        <v>16</v>
      </c>
      <c r="D13" s="66"/>
      <c r="E13" s="56">
        <f t="shared" si="20"/>
        <v>16</v>
      </c>
      <c r="F13" s="57">
        <v>34</v>
      </c>
      <c r="G13" s="61">
        <f t="shared" si="1"/>
        <v>0.47058823529411764</v>
      </c>
      <c r="H13" s="39">
        <v>27</v>
      </c>
      <c r="I13" s="39">
        <v>4</v>
      </c>
      <c r="J13" s="39"/>
      <c r="K13" s="56">
        <f t="shared" si="21"/>
        <v>31</v>
      </c>
      <c r="L13" s="57">
        <v>29</v>
      </c>
      <c r="M13" s="61">
        <f t="shared" si="3"/>
        <v>1.0689655172413792</v>
      </c>
      <c r="N13" s="39">
        <v>16</v>
      </c>
      <c r="O13" s="39">
        <v>1</v>
      </c>
      <c r="P13" s="39"/>
      <c r="Q13" s="39"/>
      <c r="R13" s="56">
        <f t="shared" si="22"/>
        <v>17</v>
      </c>
      <c r="S13" s="57">
        <v>27</v>
      </c>
      <c r="T13" s="61">
        <f t="shared" si="5"/>
        <v>0.62962962962962965</v>
      </c>
      <c r="U13" s="65"/>
      <c r="V13" s="66">
        <f t="shared" si="23"/>
        <v>64</v>
      </c>
      <c r="W13" s="66">
        <f t="shared" si="24"/>
        <v>0</v>
      </c>
      <c r="X13" s="56">
        <f t="shared" si="25"/>
        <v>64</v>
      </c>
      <c r="Y13" s="68">
        <f t="shared" si="26"/>
        <v>90</v>
      </c>
      <c r="Z13" s="69">
        <f t="shared" si="27"/>
        <v>26</v>
      </c>
      <c r="AA13" s="37">
        <f t="shared" ca="1" si="11"/>
        <v>-1</v>
      </c>
      <c r="AB13" s="37">
        <f t="shared" si="28"/>
        <v>64</v>
      </c>
      <c r="AC13" s="66">
        <f t="shared" si="29"/>
        <v>90</v>
      </c>
      <c r="AD13" s="75">
        <f t="shared" si="30"/>
        <v>0.71111111111111114</v>
      </c>
      <c r="AE13" s="77">
        <v>46022</v>
      </c>
      <c r="AF13" s="29" t="s">
        <v>56</v>
      </c>
      <c r="AT13" s="29"/>
      <c r="AU13" s="29"/>
      <c r="AV13" s="29"/>
      <c r="AW13" s="29"/>
      <c r="AX13" s="29"/>
      <c r="AY13" s="29"/>
      <c r="AZ13" s="29"/>
      <c r="BA13" s="29"/>
      <c r="BB13" s="29"/>
    </row>
    <row r="14" spans="1:54" ht="15.75" customHeight="1">
      <c r="A14" s="51" t="s">
        <v>53</v>
      </c>
      <c r="B14" s="152"/>
      <c r="C14" s="66">
        <v>40</v>
      </c>
      <c r="D14" s="66"/>
      <c r="E14" s="56">
        <f t="shared" si="20"/>
        <v>40</v>
      </c>
      <c r="F14" s="57">
        <v>43</v>
      </c>
      <c r="G14" s="61">
        <f t="shared" si="1"/>
        <v>0.93023255813953487</v>
      </c>
      <c r="H14" s="39">
        <v>36</v>
      </c>
      <c r="I14" s="39">
        <v>4</v>
      </c>
      <c r="J14" s="39"/>
      <c r="K14" s="56">
        <f t="shared" si="21"/>
        <v>40</v>
      </c>
      <c r="L14" s="57">
        <v>43</v>
      </c>
      <c r="M14" s="61">
        <f t="shared" si="3"/>
        <v>0.93023255813953487</v>
      </c>
      <c r="N14" s="39">
        <v>32</v>
      </c>
      <c r="O14" s="39">
        <v>2</v>
      </c>
      <c r="P14" s="39"/>
      <c r="Q14" s="39"/>
      <c r="R14" s="56">
        <f t="shared" si="22"/>
        <v>34</v>
      </c>
      <c r="S14" s="57">
        <v>42</v>
      </c>
      <c r="T14" s="61">
        <f t="shared" si="5"/>
        <v>0.80952380952380953</v>
      </c>
      <c r="U14" s="65"/>
      <c r="V14" s="66">
        <f t="shared" si="23"/>
        <v>114</v>
      </c>
      <c r="W14" s="66">
        <f t="shared" si="24"/>
        <v>0</v>
      </c>
      <c r="X14" s="56">
        <f t="shared" si="25"/>
        <v>114</v>
      </c>
      <c r="Y14" s="68">
        <f t="shared" si="26"/>
        <v>128</v>
      </c>
      <c r="Z14" s="69">
        <f t="shared" si="27"/>
        <v>14</v>
      </c>
      <c r="AA14" s="37">
        <f t="shared" ca="1" si="11"/>
        <v>0</v>
      </c>
      <c r="AB14" s="37">
        <f t="shared" si="28"/>
        <v>114</v>
      </c>
      <c r="AC14" s="66">
        <f t="shared" si="29"/>
        <v>128</v>
      </c>
      <c r="AD14" s="75">
        <f t="shared" si="30"/>
        <v>0.890625</v>
      </c>
      <c r="AE14" s="77">
        <v>46022</v>
      </c>
      <c r="AF14" s="29" t="s">
        <v>56</v>
      </c>
      <c r="AT14" s="29"/>
      <c r="AU14" s="29"/>
      <c r="AV14" s="29"/>
      <c r="AW14" s="29"/>
      <c r="AX14" s="29"/>
      <c r="AY14" s="29"/>
      <c r="AZ14" s="29"/>
      <c r="BA14" s="29"/>
      <c r="BB14" s="29"/>
    </row>
    <row r="15" spans="1:54" ht="15.75" customHeight="1">
      <c r="A15" s="89" t="s">
        <v>54</v>
      </c>
      <c r="B15" s="78">
        <f t="shared" ref="B15:F15" si="31">SUM(B11:B14)</f>
        <v>0</v>
      </c>
      <c r="C15" s="78">
        <f t="shared" si="31"/>
        <v>97</v>
      </c>
      <c r="D15" s="78">
        <f t="shared" si="31"/>
        <v>2</v>
      </c>
      <c r="E15" s="78">
        <f t="shared" si="31"/>
        <v>99</v>
      </c>
      <c r="F15" s="78">
        <f t="shared" si="31"/>
        <v>136</v>
      </c>
      <c r="G15" s="90">
        <f t="shared" si="1"/>
        <v>0.7279411764705882</v>
      </c>
      <c r="H15" s="78">
        <f t="shared" ref="H15:L15" si="32">SUM(H11:H14)</f>
        <v>122</v>
      </c>
      <c r="I15" s="78">
        <f t="shared" si="32"/>
        <v>16</v>
      </c>
      <c r="J15" s="78">
        <f t="shared" si="32"/>
        <v>0</v>
      </c>
      <c r="K15" s="78">
        <f t="shared" si="32"/>
        <v>138</v>
      </c>
      <c r="L15" s="78">
        <f t="shared" si="32"/>
        <v>126</v>
      </c>
      <c r="M15" s="90">
        <f t="shared" si="3"/>
        <v>1.0952380952380953</v>
      </c>
      <c r="N15" s="78">
        <f t="shared" ref="N15:S15" si="33">SUM(N11:N14)</f>
        <v>81</v>
      </c>
      <c r="O15" s="78">
        <f t="shared" si="33"/>
        <v>7</v>
      </c>
      <c r="P15" s="78">
        <f t="shared" si="33"/>
        <v>0</v>
      </c>
      <c r="Q15" s="78">
        <f t="shared" si="33"/>
        <v>0</v>
      </c>
      <c r="R15" s="78">
        <f t="shared" si="33"/>
        <v>88</v>
      </c>
      <c r="S15" s="78">
        <f t="shared" si="33"/>
        <v>119</v>
      </c>
      <c r="T15" s="90">
        <f t="shared" si="5"/>
        <v>0.73949579831932777</v>
      </c>
      <c r="U15" s="78">
        <f t="shared" ref="U15:Z15" si="34">SUM(U11:U14)</f>
        <v>0</v>
      </c>
      <c r="V15" s="78">
        <f t="shared" si="34"/>
        <v>323</v>
      </c>
      <c r="W15" s="78">
        <f t="shared" si="34"/>
        <v>2</v>
      </c>
      <c r="X15" s="78">
        <f t="shared" si="34"/>
        <v>325</v>
      </c>
      <c r="Y15" s="92">
        <f t="shared" si="34"/>
        <v>381</v>
      </c>
      <c r="Z15" s="93">
        <f t="shared" si="34"/>
        <v>56</v>
      </c>
      <c r="AA15" s="93">
        <f t="shared" ca="1" si="11"/>
        <v>-1</v>
      </c>
      <c r="AB15" s="93">
        <f t="shared" ref="AB15:AC15" si="35">SUM(AB11:AB14)</f>
        <v>325</v>
      </c>
      <c r="AC15" s="78">
        <f t="shared" si="35"/>
        <v>381</v>
      </c>
      <c r="AD15" s="94">
        <f>AB15/AC15</f>
        <v>0.85301837270341208</v>
      </c>
      <c r="AF15" s="29"/>
      <c r="AT15" s="29"/>
      <c r="AU15" s="29"/>
      <c r="AV15" s="29"/>
      <c r="AW15" s="29"/>
      <c r="AX15" s="29"/>
      <c r="AY15" s="29"/>
      <c r="AZ15" s="29"/>
      <c r="BA15" s="29"/>
      <c r="BB15" s="29"/>
    </row>
    <row r="16" spans="1:54" ht="15.75" customHeight="1">
      <c r="A16" s="51" t="s">
        <v>55</v>
      </c>
      <c r="B16" s="152"/>
      <c r="C16" s="66">
        <v>18</v>
      </c>
      <c r="D16" s="66">
        <v>5</v>
      </c>
      <c r="E16" s="56">
        <f t="shared" ref="E16:E18" si="36">SUM(C16:D16)</f>
        <v>23</v>
      </c>
      <c r="F16" s="57">
        <v>30</v>
      </c>
      <c r="G16" s="61">
        <f t="shared" si="1"/>
        <v>0.76666666666666672</v>
      </c>
      <c r="H16" s="39">
        <v>28</v>
      </c>
      <c r="I16" s="39">
        <v>3</v>
      </c>
      <c r="J16" s="39">
        <v>3</v>
      </c>
      <c r="K16" s="56">
        <f t="shared" ref="K16:K18" si="37">SUM(H16:J16)</f>
        <v>34</v>
      </c>
      <c r="L16" s="57">
        <v>33</v>
      </c>
      <c r="M16" s="61">
        <f t="shared" si="3"/>
        <v>1.0303030303030303</v>
      </c>
      <c r="N16" s="39">
        <v>14</v>
      </c>
      <c r="O16" s="39">
        <v>4</v>
      </c>
      <c r="P16" s="39"/>
      <c r="Q16" s="39">
        <v>12</v>
      </c>
      <c r="R16" s="56">
        <f t="shared" ref="R16:R18" si="38">SUM(N16:Q16)</f>
        <v>30</v>
      </c>
      <c r="S16" s="57">
        <v>30</v>
      </c>
      <c r="T16" s="61">
        <f t="shared" si="5"/>
        <v>1</v>
      </c>
      <c r="U16" s="65"/>
      <c r="V16" s="66">
        <f t="shared" ref="V16:V18" si="39">N16+H16+C16+O16+P16+I16</f>
        <v>67</v>
      </c>
      <c r="W16" s="66">
        <f t="shared" ref="W16:W18" si="40">Q16+J16+D16</f>
        <v>20</v>
      </c>
      <c r="X16" s="56">
        <f t="shared" ref="X16:X18" si="41">SUM(U16:W16)</f>
        <v>87</v>
      </c>
      <c r="Y16" s="68">
        <f t="shared" ref="Y16:Y18" si="42">S16+L16+F16</f>
        <v>93</v>
      </c>
      <c r="Z16" s="69">
        <f t="shared" ref="Z16:Z18" si="43">Y16-X16</f>
        <v>6</v>
      </c>
      <c r="AA16" s="37">
        <f t="shared" ca="1" si="11"/>
        <v>0</v>
      </c>
      <c r="AB16" s="37">
        <f t="shared" ref="AB16:AB18" si="44">W16+V16</f>
        <v>87</v>
      </c>
      <c r="AC16" s="66">
        <f t="shared" ref="AC16:AC18" si="45">Y16</f>
        <v>93</v>
      </c>
      <c r="AD16" s="75">
        <f t="shared" ref="AD16:AD18" si="46">(V16+W16)/Y16</f>
        <v>0.93548387096774188</v>
      </c>
      <c r="AE16" s="83">
        <v>46022</v>
      </c>
      <c r="AF16" s="29" t="s">
        <v>80</v>
      </c>
      <c r="AT16" s="29"/>
      <c r="AU16" s="29"/>
      <c r="AV16" s="29"/>
      <c r="AW16" s="29"/>
      <c r="AX16" s="29"/>
      <c r="AY16" s="29"/>
      <c r="AZ16" s="29"/>
      <c r="BA16" s="29"/>
      <c r="BB16" s="29"/>
    </row>
    <row r="17" spans="1:54" ht="15.75" customHeight="1">
      <c r="A17" s="51" t="s">
        <v>57</v>
      </c>
      <c r="B17" s="152"/>
      <c r="C17" s="66">
        <v>39</v>
      </c>
      <c r="D17" s="66"/>
      <c r="E17" s="56">
        <f t="shared" si="36"/>
        <v>39</v>
      </c>
      <c r="F17" s="57">
        <v>28</v>
      </c>
      <c r="G17" s="61">
        <f t="shared" si="1"/>
        <v>1.3928571428571428</v>
      </c>
      <c r="H17" s="39">
        <v>18</v>
      </c>
      <c r="I17" s="39">
        <v>2</v>
      </c>
      <c r="J17" s="39">
        <v>3</v>
      </c>
      <c r="K17" s="56">
        <f t="shared" si="37"/>
        <v>23</v>
      </c>
      <c r="L17" s="57">
        <v>27</v>
      </c>
      <c r="M17" s="61">
        <f t="shared" si="3"/>
        <v>0.85185185185185186</v>
      </c>
      <c r="N17" s="39">
        <v>21</v>
      </c>
      <c r="O17" s="39">
        <v>1</v>
      </c>
      <c r="P17" s="39"/>
      <c r="Q17" s="39">
        <v>4</v>
      </c>
      <c r="R17" s="56">
        <f t="shared" si="38"/>
        <v>26</v>
      </c>
      <c r="S17" s="57">
        <v>25</v>
      </c>
      <c r="T17" s="61">
        <f t="shared" si="5"/>
        <v>1.04</v>
      </c>
      <c r="U17" s="65"/>
      <c r="V17" s="66">
        <f t="shared" si="39"/>
        <v>81</v>
      </c>
      <c r="W17" s="66">
        <f t="shared" si="40"/>
        <v>7</v>
      </c>
      <c r="X17" s="56">
        <f t="shared" si="41"/>
        <v>88</v>
      </c>
      <c r="Y17" s="68">
        <f t="shared" si="42"/>
        <v>80</v>
      </c>
      <c r="Z17" s="69">
        <f t="shared" si="43"/>
        <v>-8</v>
      </c>
      <c r="AA17" s="37">
        <f t="shared" ca="1" si="11"/>
        <v>0</v>
      </c>
      <c r="AB17" s="37">
        <f t="shared" si="44"/>
        <v>88</v>
      </c>
      <c r="AC17" s="66">
        <f t="shared" si="45"/>
        <v>80</v>
      </c>
      <c r="AD17" s="75">
        <f t="shared" si="46"/>
        <v>1.1000000000000001</v>
      </c>
      <c r="AE17" s="83">
        <v>46022</v>
      </c>
      <c r="AF17" s="29" t="s">
        <v>80</v>
      </c>
      <c r="AT17" s="29"/>
      <c r="AU17" s="29"/>
      <c r="AV17" s="29"/>
      <c r="AW17" s="29"/>
      <c r="AX17" s="29"/>
      <c r="AY17" s="29"/>
      <c r="AZ17" s="29"/>
      <c r="BA17" s="29"/>
      <c r="BB17" s="29"/>
    </row>
    <row r="18" spans="1:54" ht="15.75" customHeight="1">
      <c r="A18" s="51" t="s">
        <v>58</v>
      </c>
      <c r="B18" s="152"/>
      <c r="C18" s="66">
        <v>12</v>
      </c>
      <c r="D18" s="66"/>
      <c r="E18" s="56">
        <f t="shared" si="36"/>
        <v>12</v>
      </c>
      <c r="F18" s="57">
        <v>13</v>
      </c>
      <c r="G18" s="61">
        <f t="shared" si="1"/>
        <v>0.92307692307692313</v>
      </c>
      <c r="H18" s="39">
        <v>9</v>
      </c>
      <c r="I18" s="39">
        <v>3</v>
      </c>
      <c r="J18" s="39"/>
      <c r="K18" s="56">
        <f t="shared" si="37"/>
        <v>12</v>
      </c>
      <c r="L18" s="57">
        <v>10</v>
      </c>
      <c r="M18" s="61">
        <f t="shared" si="3"/>
        <v>1.2</v>
      </c>
      <c r="N18" s="39">
        <v>5</v>
      </c>
      <c r="O18" s="39">
        <v>1</v>
      </c>
      <c r="P18" s="39"/>
      <c r="Q18" s="39">
        <v>1</v>
      </c>
      <c r="R18" s="56">
        <f t="shared" si="38"/>
        <v>7</v>
      </c>
      <c r="S18" s="57">
        <v>10</v>
      </c>
      <c r="T18" s="61">
        <f t="shared" si="5"/>
        <v>0.7</v>
      </c>
      <c r="U18" s="65"/>
      <c r="V18" s="66">
        <f t="shared" si="39"/>
        <v>30</v>
      </c>
      <c r="W18" s="66">
        <f t="shared" si="40"/>
        <v>1</v>
      </c>
      <c r="X18" s="56">
        <f t="shared" si="41"/>
        <v>31</v>
      </c>
      <c r="Y18" s="68">
        <f t="shared" si="42"/>
        <v>33</v>
      </c>
      <c r="Z18" s="69">
        <f t="shared" si="43"/>
        <v>2</v>
      </c>
      <c r="AA18" s="37">
        <f t="shared" ca="1" si="11"/>
        <v>0</v>
      </c>
      <c r="AB18" s="37">
        <f t="shared" si="44"/>
        <v>31</v>
      </c>
      <c r="AC18" s="66">
        <f t="shared" si="45"/>
        <v>33</v>
      </c>
      <c r="AD18" s="75">
        <f t="shared" si="46"/>
        <v>0.93939393939393945</v>
      </c>
      <c r="AE18" s="83">
        <v>46020</v>
      </c>
      <c r="AF18" s="29" t="s">
        <v>80</v>
      </c>
      <c r="AT18" s="29"/>
      <c r="AU18" s="29"/>
      <c r="AV18" s="29"/>
      <c r="AW18" s="29"/>
      <c r="AX18" s="29"/>
      <c r="AY18" s="29"/>
      <c r="AZ18" s="29"/>
      <c r="BA18" s="29"/>
      <c r="BB18" s="29"/>
    </row>
    <row r="19" spans="1:54" ht="15.75" customHeight="1">
      <c r="A19" s="89" t="s">
        <v>59</v>
      </c>
      <c r="B19" s="78">
        <f t="shared" ref="B19:F19" si="47">SUM(B16:B18)</f>
        <v>0</v>
      </c>
      <c r="C19" s="78">
        <f t="shared" si="47"/>
        <v>69</v>
      </c>
      <c r="D19" s="78">
        <f t="shared" si="47"/>
        <v>5</v>
      </c>
      <c r="E19" s="78">
        <f t="shared" si="47"/>
        <v>74</v>
      </c>
      <c r="F19" s="78">
        <f t="shared" si="47"/>
        <v>71</v>
      </c>
      <c r="G19" s="90">
        <f t="shared" si="1"/>
        <v>1.0422535211267605</v>
      </c>
      <c r="H19" s="78">
        <f t="shared" ref="H19:L19" si="48">SUM(H16:H18)</f>
        <v>55</v>
      </c>
      <c r="I19" s="78">
        <f t="shared" si="48"/>
        <v>8</v>
      </c>
      <c r="J19" s="78">
        <f t="shared" si="48"/>
        <v>6</v>
      </c>
      <c r="K19" s="78">
        <f t="shared" si="48"/>
        <v>69</v>
      </c>
      <c r="L19" s="78">
        <f t="shared" si="48"/>
        <v>70</v>
      </c>
      <c r="M19" s="90">
        <f t="shared" si="3"/>
        <v>0.98571428571428577</v>
      </c>
      <c r="N19" s="78">
        <f t="shared" ref="N19:S19" si="49">SUM(N16:N18)</f>
        <v>40</v>
      </c>
      <c r="O19" s="78">
        <f t="shared" si="49"/>
        <v>6</v>
      </c>
      <c r="P19" s="78">
        <f t="shared" si="49"/>
        <v>0</v>
      </c>
      <c r="Q19" s="78">
        <f t="shared" si="49"/>
        <v>17</v>
      </c>
      <c r="R19" s="78">
        <f t="shared" si="49"/>
        <v>63</v>
      </c>
      <c r="S19" s="78">
        <f t="shared" si="49"/>
        <v>65</v>
      </c>
      <c r="T19" s="90">
        <f t="shared" si="5"/>
        <v>0.96923076923076923</v>
      </c>
      <c r="U19" s="78">
        <f t="shared" ref="U19:Z19" si="50">SUM(U16:U18)</f>
        <v>0</v>
      </c>
      <c r="V19" s="78">
        <f t="shared" si="50"/>
        <v>178</v>
      </c>
      <c r="W19" s="78">
        <f t="shared" si="50"/>
        <v>28</v>
      </c>
      <c r="X19" s="78">
        <f t="shared" si="50"/>
        <v>206</v>
      </c>
      <c r="Y19" s="92">
        <f t="shared" si="50"/>
        <v>206</v>
      </c>
      <c r="Z19" s="93">
        <f t="shared" si="50"/>
        <v>0</v>
      </c>
      <c r="AA19" s="93">
        <f t="shared" ca="1" si="11"/>
        <v>0</v>
      </c>
      <c r="AB19" s="93">
        <f t="shared" ref="AB19:AC19" si="51">SUM(AB16:AB18)</f>
        <v>206</v>
      </c>
      <c r="AC19" s="78">
        <f t="shared" si="51"/>
        <v>206</v>
      </c>
      <c r="AD19" s="94">
        <f>AB19/AC19</f>
        <v>1</v>
      </c>
      <c r="AF19" s="29"/>
      <c r="AT19" s="29"/>
      <c r="AU19" s="29"/>
      <c r="AV19" s="29"/>
      <c r="AW19" s="29"/>
      <c r="AX19" s="29"/>
      <c r="AY19" s="29"/>
      <c r="AZ19" s="29"/>
      <c r="BA19" s="29"/>
      <c r="BB19" s="29"/>
    </row>
    <row r="20" spans="1:54" ht="15.75" customHeight="1">
      <c r="A20" s="89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104"/>
      <c r="Z20" s="37"/>
      <c r="AA20" s="105"/>
      <c r="AB20" s="105"/>
      <c r="AC20" s="106"/>
      <c r="AD20" s="107"/>
      <c r="AF20" s="29"/>
      <c r="AT20" s="29"/>
      <c r="AU20" s="29"/>
      <c r="AV20" s="29"/>
      <c r="AW20" s="29"/>
      <c r="AX20" s="29"/>
      <c r="AY20" s="29"/>
      <c r="AZ20" s="29"/>
      <c r="BA20" s="29"/>
      <c r="BB20" s="29"/>
    </row>
    <row r="21" spans="1:54" ht="15.75" customHeight="1">
      <c r="A21" s="51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104"/>
      <c r="Z21" s="37"/>
      <c r="AA21" s="105"/>
      <c r="AB21" s="105"/>
      <c r="AC21" s="106"/>
      <c r="AD21" s="107"/>
      <c r="AF21" s="29"/>
      <c r="AT21" s="29"/>
      <c r="AU21" s="29"/>
      <c r="AV21" s="29"/>
      <c r="AW21" s="29"/>
      <c r="AX21" s="29"/>
      <c r="AY21" s="29"/>
      <c r="AZ21" s="29"/>
      <c r="BA21" s="29"/>
      <c r="BB21" s="29"/>
    </row>
    <row r="22" spans="1:54" ht="15.75" customHeight="1">
      <c r="A22" s="108" t="s">
        <v>14</v>
      </c>
      <c r="B22" s="110">
        <f t="shared" ref="B22:F22" si="52">B19+B15+B10</f>
        <v>0</v>
      </c>
      <c r="C22" s="110">
        <f t="shared" si="52"/>
        <v>289</v>
      </c>
      <c r="D22" s="110">
        <f t="shared" si="52"/>
        <v>15</v>
      </c>
      <c r="E22" s="110">
        <f t="shared" si="52"/>
        <v>304</v>
      </c>
      <c r="F22" s="110">
        <f t="shared" si="52"/>
        <v>339</v>
      </c>
      <c r="G22" s="112">
        <f>E22/F22</f>
        <v>0.89675516224188789</v>
      </c>
      <c r="H22" s="110">
        <f t="shared" ref="H22:L22" si="53">H19+H15+H10</f>
        <v>274</v>
      </c>
      <c r="I22" s="110">
        <f t="shared" si="53"/>
        <v>40</v>
      </c>
      <c r="J22" s="110">
        <f t="shared" si="53"/>
        <v>6</v>
      </c>
      <c r="K22" s="110">
        <f t="shared" si="53"/>
        <v>320</v>
      </c>
      <c r="L22" s="110">
        <f t="shared" si="53"/>
        <v>320</v>
      </c>
      <c r="M22" s="112">
        <f>K22/L22</f>
        <v>1</v>
      </c>
      <c r="N22" s="110">
        <f t="shared" ref="N22:S22" si="54">N19+N15+N10</f>
        <v>209</v>
      </c>
      <c r="O22" s="110">
        <f t="shared" si="54"/>
        <v>20</v>
      </c>
      <c r="P22" s="110">
        <f t="shared" si="54"/>
        <v>0</v>
      </c>
      <c r="Q22" s="110">
        <f t="shared" si="54"/>
        <v>17</v>
      </c>
      <c r="R22" s="110">
        <f t="shared" si="54"/>
        <v>246</v>
      </c>
      <c r="S22" s="110">
        <f t="shared" si="54"/>
        <v>308</v>
      </c>
      <c r="T22" s="112">
        <f>R22/S22</f>
        <v>0.79870129870129869</v>
      </c>
      <c r="U22" s="110">
        <f t="shared" ref="U22:Z22" si="55">U19+U15+U10</f>
        <v>0</v>
      </c>
      <c r="V22" s="110">
        <f t="shared" si="55"/>
        <v>832</v>
      </c>
      <c r="W22" s="110">
        <f t="shared" si="55"/>
        <v>38</v>
      </c>
      <c r="X22" s="110">
        <f t="shared" si="55"/>
        <v>870</v>
      </c>
      <c r="Y22" s="115">
        <f t="shared" si="55"/>
        <v>967</v>
      </c>
      <c r="Z22" s="116">
        <f t="shared" si="55"/>
        <v>97</v>
      </c>
      <c r="AA22" s="117">
        <f ca="1">ROUND(Z22/$AA$26*7,0)</f>
        <v>-2</v>
      </c>
      <c r="AB22" s="116">
        <f t="shared" ref="AB22:AC22" si="56">AB19+AB15+AB10</f>
        <v>870</v>
      </c>
      <c r="AC22" s="110">
        <f t="shared" si="56"/>
        <v>967</v>
      </c>
      <c r="AD22" s="118">
        <f>(V22+W22)/Y22</f>
        <v>0.8996897621509824</v>
      </c>
      <c r="AF22" s="29"/>
      <c r="AT22" s="29"/>
      <c r="AU22" s="29"/>
      <c r="AV22" s="29"/>
      <c r="AW22" s="29"/>
      <c r="AX22" s="29"/>
      <c r="AY22" s="29"/>
      <c r="AZ22" s="29"/>
      <c r="BA22" s="29"/>
      <c r="BB22" s="29"/>
    </row>
    <row r="23" spans="1:54" ht="15.75" customHeight="1">
      <c r="AT23" s="29"/>
      <c r="AU23" s="29"/>
      <c r="AV23" s="29"/>
      <c r="AW23" s="29"/>
      <c r="AX23" s="29"/>
      <c r="AY23" s="29"/>
      <c r="AZ23" s="29"/>
      <c r="BA23" s="29"/>
      <c r="BB23" s="29"/>
    </row>
    <row r="24" spans="1:54" ht="15.75" customHeight="1">
      <c r="AA24" s="2">
        <v>46022</v>
      </c>
      <c r="AB24" s="24"/>
      <c r="AC24" s="58">
        <f>AC22-AB22</f>
        <v>97</v>
      </c>
      <c r="AT24" s="29"/>
      <c r="AU24" s="29"/>
      <c r="AV24" s="29"/>
      <c r="AW24" s="29"/>
      <c r="AX24" s="29"/>
      <c r="AY24" s="29"/>
      <c r="AZ24" s="29"/>
      <c r="BA24" s="29"/>
      <c r="BB24" s="29"/>
    </row>
    <row r="25" spans="1:54" ht="15.75" customHeight="1">
      <c r="A25" s="293" t="s">
        <v>84</v>
      </c>
      <c r="B25" s="271"/>
      <c r="C25" s="271"/>
      <c r="D25" s="271"/>
      <c r="E25" s="271"/>
      <c r="F25" s="271"/>
      <c r="G25" s="272"/>
      <c r="AA25" s="121">
        <f ca="1">TODAY()-1</f>
        <v>46307</v>
      </c>
      <c r="AT25" s="29"/>
      <c r="AU25" s="29"/>
      <c r="AV25" s="29"/>
      <c r="AW25" s="29"/>
      <c r="AX25" s="29"/>
      <c r="AY25" s="29"/>
      <c r="AZ25" s="29"/>
      <c r="BA25" s="29"/>
      <c r="BB25" s="29"/>
    </row>
    <row r="26" spans="1:54" ht="15.75" customHeight="1">
      <c r="A26" s="25"/>
      <c r="G26" s="33"/>
      <c r="L26" s="294" t="s">
        <v>85</v>
      </c>
      <c r="M26" s="285"/>
      <c r="N26" s="285"/>
      <c r="O26" s="285"/>
      <c r="P26" s="285"/>
      <c r="AA26" s="31">
        <f ca="1">AA24-AA25</f>
        <v>-285</v>
      </c>
      <c r="AT26" s="29"/>
      <c r="AU26" s="29"/>
      <c r="AV26" s="29"/>
      <c r="AW26" s="29"/>
      <c r="AX26" s="29"/>
      <c r="AY26" s="29"/>
      <c r="AZ26" s="29"/>
      <c r="BA26" s="29"/>
      <c r="BB26" s="29"/>
    </row>
    <row r="27" spans="1:54" ht="28.8">
      <c r="A27" s="35"/>
      <c r="B27" s="132" t="s">
        <v>28</v>
      </c>
      <c r="C27" s="132" t="s">
        <v>29</v>
      </c>
      <c r="D27" s="132" t="s">
        <v>86</v>
      </c>
      <c r="F27" s="132" t="s">
        <v>87</v>
      </c>
      <c r="G27" s="33"/>
      <c r="L27" s="132" t="s">
        <v>88</v>
      </c>
      <c r="M27" s="132" t="s">
        <v>89</v>
      </c>
      <c r="N27" s="132" t="s">
        <v>90</v>
      </c>
      <c r="O27" s="132" t="s">
        <v>91</v>
      </c>
      <c r="P27" s="132" t="s">
        <v>28</v>
      </c>
      <c r="Q27" s="155"/>
      <c r="AJ27" s="29"/>
      <c r="AK27" s="29"/>
      <c r="AL27" s="29"/>
      <c r="AM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</row>
    <row r="28" spans="1:54" ht="14.4">
      <c r="A28" s="37" t="s">
        <v>24</v>
      </c>
      <c r="B28" s="57">
        <f t="shared" ref="B28:B31" si="57">P28</f>
        <v>7</v>
      </c>
      <c r="C28" s="57">
        <f>12+11</f>
        <v>23</v>
      </c>
      <c r="D28" s="156">
        <f t="shared" ref="D28:D31" si="58">C28-B28</f>
        <v>16</v>
      </c>
      <c r="F28" s="156"/>
      <c r="G28" s="33"/>
      <c r="I28" s="24"/>
      <c r="J28" s="24" t="s">
        <v>92</v>
      </c>
      <c r="K28" s="66" t="s">
        <v>24</v>
      </c>
      <c r="L28" s="31">
        <v>5</v>
      </c>
      <c r="M28" s="31">
        <v>2</v>
      </c>
      <c r="P28" s="56">
        <f t="shared" ref="P28:P31" si="59">SUM(L28:O28)</f>
        <v>7</v>
      </c>
      <c r="S28" s="31" t="s">
        <v>0</v>
      </c>
      <c r="AJ28" s="29"/>
      <c r="AK28" s="29"/>
      <c r="AL28" s="29"/>
      <c r="AM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</row>
    <row r="29" spans="1:54" ht="14.4">
      <c r="A29" s="37" t="s">
        <v>36</v>
      </c>
      <c r="B29" s="57">
        <f t="shared" si="57"/>
        <v>4</v>
      </c>
      <c r="C29" s="57">
        <f>6+7</f>
        <v>13</v>
      </c>
      <c r="D29" s="156">
        <f t="shared" si="58"/>
        <v>9</v>
      </c>
      <c r="F29" s="156">
        <v>4</v>
      </c>
      <c r="G29" s="33"/>
      <c r="I29" s="24"/>
      <c r="J29" s="24" t="s">
        <v>93</v>
      </c>
      <c r="K29" s="66" t="s">
        <v>36</v>
      </c>
      <c r="L29" s="31">
        <v>1</v>
      </c>
      <c r="N29" s="31">
        <v>3</v>
      </c>
      <c r="P29" s="56">
        <f t="shared" si="59"/>
        <v>4</v>
      </c>
      <c r="AJ29" s="29"/>
      <c r="AK29" s="29"/>
      <c r="AL29" s="29"/>
      <c r="AM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</row>
    <row r="30" spans="1:54" ht="15">
      <c r="A30" s="37" t="s">
        <v>40</v>
      </c>
      <c r="B30" s="57">
        <f t="shared" si="57"/>
        <v>0</v>
      </c>
      <c r="C30" s="57">
        <f>5+6</f>
        <v>11</v>
      </c>
      <c r="D30" s="156">
        <f t="shared" si="58"/>
        <v>11</v>
      </c>
      <c r="F30" s="156"/>
      <c r="G30" s="33"/>
      <c r="I30" s="24"/>
      <c r="J30" s="24" t="s">
        <v>94</v>
      </c>
      <c r="K30" s="66" t="s">
        <v>40</v>
      </c>
      <c r="P30" s="56">
        <f t="shared" si="59"/>
        <v>0</v>
      </c>
      <c r="V30" s="155"/>
    </row>
    <row r="31" spans="1:54" ht="13.2">
      <c r="A31" s="37" t="s">
        <v>41</v>
      </c>
      <c r="B31" s="57">
        <f t="shared" si="57"/>
        <v>2</v>
      </c>
      <c r="C31" s="57">
        <f>7+7</f>
        <v>14</v>
      </c>
      <c r="D31" s="156">
        <f t="shared" si="58"/>
        <v>12</v>
      </c>
      <c r="F31" s="156"/>
      <c r="G31" s="33"/>
      <c r="I31" s="24"/>
      <c r="J31" s="24" t="s">
        <v>95</v>
      </c>
      <c r="K31" s="66" t="s">
        <v>41</v>
      </c>
      <c r="M31" s="31">
        <v>2</v>
      </c>
      <c r="P31" s="56">
        <f t="shared" si="59"/>
        <v>2</v>
      </c>
    </row>
    <row r="32" spans="1:54" ht="13.2">
      <c r="A32" s="76" t="s">
        <v>44</v>
      </c>
      <c r="B32" s="81">
        <f t="shared" ref="B32:D32" si="60">SUM(B28:B31)</f>
        <v>13</v>
      </c>
      <c r="C32" s="81">
        <f t="shared" si="60"/>
        <v>61</v>
      </c>
      <c r="D32" s="81">
        <f t="shared" si="60"/>
        <v>48</v>
      </c>
      <c r="F32" s="81">
        <f>SUM(F28:F31)</f>
        <v>4</v>
      </c>
      <c r="G32" s="33"/>
      <c r="K32" s="157" t="s">
        <v>44</v>
      </c>
      <c r="L32" s="81">
        <f t="shared" ref="L32:P32" si="61">SUM(L28:L31)</f>
        <v>6</v>
      </c>
      <c r="M32" s="81">
        <f t="shared" si="61"/>
        <v>4</v>
      </c>
      <c r="N32" s="81">
        <f t="shared" si="61"/>
        <v>3</v>
      </c>
      <c r="O32" s="81">
        <f t="shared" si="61"/>
        <v>0</v>
      </c>
      <c r="P32" s="81">
        <f t="shared" si="61"/>
        <v>13</v>
      </c>
    </row>
    <row r="33" spans="1:20" ht="13.2">
      <c r="A33" s="37"/>
      <c r="B33" s="61"/>
      <c r="C33" s="61"/>
      <c r="D33" s="61"/>
      <c r="F33" s="61"/>
      <c r="G33" s="33"/>
      <c r="K33" s="66"/>
      <c r="L33" s="61"/>
      <c r="M33" s="61"/>
      <c r="N33" s="61"/>
      <c r="O33" s="61"/>
      <c r="P33" s="61"/>
    </row>
    <row r="34" spans="1:20" ht="13.2">
      <c r="A34" s="37" t="s">
        <v>46</v>
      </c>
      <c r="B34" s="57">
        <f>P34</f>
        <v>1</v>
      </c>
      <c r="C34" s="57">
        <f>7+6</f>
        <v>13</v>
      </c>
      <c r="D34" s="156">
        <f t="shared" ref="D34:D37" si="62">C34-B34</f>
        <v>12</v>
      </c>
      <c r="F34" s="156"/>
      <c r="G34" s="33"/>
      <c r="K34" s="66" t="s">
        <v>46</v>
      </c>
      <c r="L34" s="31">
        <v>1</v>
      </c>
      <c r="P34" s="56">
        <f t="shared" ref="P34:P37" si="63">SUM(L34:O34)</f>
        <v>1</v>
      </c>
    </row>
    <row r="35" spans="1:20" ht="13.2">
      <c r="A35" s="37" t="s">
        <v>51</v>
      </c>
      <c r="B35" s="57">
        <v>2</v>
      </c>
      <c r="C35" s="57">
        <f>9+9</f>
        <v>18</v>
      </c>
      <c r="D35" s="156">
        <f t="shared" si="62"/>
        <v>16</v>
      </c>
      <c r="F35" s="156">
        <v>2</v>
      </c>
      <c r="G35" s="33"/>
      <c r="K35" s="66" t="s">
        <v>51</v>
      </c>
      <c r="M35" s="31">
        <v>1</v>
      </c>
      <c r="P35" s="56">
        <f t="shared" si="63"/>
        <v>1</v>
      </c>
    </row>
    <row r="36" spans="1:20" ht="13.2">
      <c r="A36" s="37" t="s">
        <v>52</v>
      </c>
      <c r="B36" s="57">
        <v>1</v>
      </c>
      <c r="C36" s="57">
        <f>5+6</f>
        <v>11</v>
      </c>
      <c r="D36" s="156">
        <f t="shared" si="62"/>
        <v>10</v>
      </c>
      <c r="F36" s="156">
        <v>1</v>
      </c>
      <c r="G36" s="33"/>
      <c r="K36" s="66" t="s">
        <v>52</v>
      </c>
      <c r="P36" s="56">
        <f t="shared" si="63"/>
        <v>0</v>
      </c>
    </row>
    <row r="37" spans="1:20" ht="13.2">
      <c r="A37" s="37" t="s">
        <v>53</v>
      </c>
      <c r="B37" s="57">
        <v>1</v>
      </c>
      <c r="C37" s="57">
        <f>9+9</f>
        <v>18</v>
      </c>
      <c r="D37" s="156">
        <f t="shared" si="62"/>
        <v>17</v>
      </c>
      <c r="F37" s="156">
        <v>1</v>
      </c>
      <c r="G37" s="33"/>
      <c r="K37" s="66" t="s">
        <v>53</v>
      </c>
      <c r="O37" s="31">
        <v>1</v>
      </c>
      <c r="P37" s="56">
        <f t="shared" si="63"/>
        <v>1</v>
      </c>
    </row>
    <row r="38" spans="1:20" ht="13.2">
      <c r="A38" s="76" t="s">
        <v>54</v>
      </c>
      <c r="B38" s="81">
        <f t="shared" ref="B38:D38" si="64">SUM(B34:B37)</f>
        <v>5</v>
      </c>
      <c r="C38" s="81">
        <f t="shared" si="64"/>
        <v>60</v>
      </c>
      <c r="D38" s="81">
        <f t="shared" si="64"/>
        <v>55</v>
      </c>
      <c r="F38" s="81">
        <f>SUM(F34:F37)</f>
        <v>4</v>
      </c>
      <c r="G38" s="33"/>
      <c r="K38" s="157" t="s">
        <v>54</v>
      </c>
      <c r="L38" s="81">
        <f t="shared" ref="L38:P38" si="65">SUM(L34:L37)</f>
        <v>1</v>
      </c>
      <c r="M38" s="81">
        <f t="shared" si="65"/>
        <v>1</v>
      </c>
      <c r="N38" s="81">
        <f t="shared" si="65"/>
        <v>0</v>
      </c>
      <c r="O38" s="81">
        <f t="shared" si="65"/>
        <v>1</v>
      </c>
      <c r="P38" s="81">
        <f t="shared" si="65"/>
        <v>3</v>
      </c>
    </row>
    <row r="39" spans="1:20" ht="13.2">
      <c r="A39" s="37"/>
      <c r="B39" s="61"/>
      <c r="C39" s="61"/>
      <c r="D39" s="61"/>
      <c r="F39" s="61"/>
      <c r="G39" s="33"/>
      <c r="K39" s="66"/>
      <c r="L39" s="61"/>
      <c r="M39" s="61"/>
      <c r="N39" s="61"/>
      <c r="O39" s="61"/>
      <c r="P39" s="61"/>
    </row>
    <row r="40" spans="1:20" ht="14.4">
      <c r="A40" s="37" t="s">
        <v>55</v>
      </c>
      <c r="B40" s="57">
        <v>22</v>
      </c>
      <c r="C40" s="57">
        <f>9+9</f>
        <v>18</v>
      </c>
      <c r="D40" s="156">
        <f t="shared" ref="D40:D42" si="66">C40-B40</f>
        <v>-4</v>
      </c>
      <c r="F40" s="156">
        <v>0</v>
      </c>
      <c r="G40" s="33"/>
      <c r="K40" s="66" t="s">
        <v>55</v>
      </c>
      <c r="L40" s="31">
        <v>3</v>
      </c>
      <c r="M40" s="31">
        <v>4</v>
      </c>
      <c r="N40" s="31">
        <v>3</v>
      </c>
      <c r="O40" s="31">
        <v>12</v>
      </c>
      <c r="P40" s="56">
        <f t="shared" ref="P40:P42" si="67">SUM(L40:O40)</f>
        <v>22</v>
      </c>
      <c r="R40" s="158"/>
      <c r="S40" s="158"/>
      <c r="T40" s="158"/>
    </row>
    <row r="41" spans="1:20" ht="14.4">
      <c r="A41" s="37" t="s">
        <v>57</v>
      </c>
      <c r="B41" s="57">
        <v>3</v>
      </c>
      <c r="C41" s="57">
        <f>5+6</f>
        <v>11</v>
      </c>
      <c r="D41" s="156">
        <f t="shared" si="66"/>
        <v>8</v>
      </c>
      <c r="F41" s="156">
        <v>0</v>
      </c>
      <c r="G41" s="33"/>
      <c r="K41" s="66" t="s">
        <v>57</v>
      </c>
      <c r="N41" s="31">
        <v>2</v>
      </c>
      <c r="O41" s="31">
        <v>1</v>
      </c>
      <c r="P41" s="56">
        <f t="shared" si="67"/>
        <v>3</v>
      </c>
      <c r="R41" s="158"/>
      <c r="S41" s="158"/>
      <c r="T41" s="158"/>
    </row>
    <row r="42" spans="1:20" ht="14.4">
      <c r="A42" s="37" t="s">
        <v>58</v>
      </c>
      <c r="B42" s="57">
        <f>P42</f>
        <v>0</v>
      </c>
      <c r="C42" s="57">
        <f>2+3</f>
        <v>5</v>
      </c>
      <c r="D42" s="156">
        <f t="shared" si="66"/>
        <v>5</v>
      </c>
      <c r="F42" s="156">
        <v>0</v>
      </c>
      <c r="G42" s="33"/>
      <c r="K42" s="66" t="s">
        <v>58</v>
      </c>
      <c r="P42" s="56">
        <f t="shared" si="67"/>
        <v>0</v>
      </c>
      <c r="R42" s="158"/>
      <c r="S42" s="158"/>
      <c r="T42" s="158"/>
    </row>
    <row r="43" spans="1:20" ht="13.2">
      <c r="A43" s="76" t="s">
        <v>59</v>
      </c>
      <c r="B43" s="81">
        <f t="shared" ref="B43:D43" si="68">SUM(B40:B42)</f>
        <v>25</v>
      </c>
      <c r="C43" s="81">
        <f t="shared" si="68"/>
        <v>34</v>
      </c>
      <c r="D43" s="81">
        <f t="shared" si="68"/>
        <v>9</v>
      </c>
      <c r="F43" s="81">
        <f>SUM(F40:F42)</f>
        <v>0</v>
      </c>
      <c r="G43" s="33"/>
      <c r="K43" s="157" t="s">
        <v>59</v>
      </c>
      <c r="L43" s="81">
        <f t="shared" ref="L43:P43" si="69">SUM(L40:L42)</f>
        <v>3</v>
      </c>
      <c r="M43" s="81">
        <f t="shared" si="69"/>
        <v>4</v>
      </c>
      <c r="N43" s="81">
        <f t="shared" si="69"/>
        <v>5</v>
      </c>
      <c r="O43" s="81">
        <f t="shared" si="69"/>
        <v>13</v>
      </c>
      <c r="P43" s="81">
        <f t="shared" si="69"/>
        <v>25</v>
      </c>
    </row>
    <row r="44" spans="1:20" ht="13.2">
      <c r="A44" s="76"/>
      <c r="B44" s="66"/>
      <c r="C44" s="66"/>
      <c r="D44" s="66"/>
      <c r="F44" s="66"/>
      <c r="G44" s="33"/>
      <c r="K44" s="157"/>
      <c r="L44" s="66"/>
      <c r="M44" s="66"/>
      <c r="N44" s="66"/>
      <c r="O44" s="66"/>
      <c r="P44" s="66"/>
    </row>
    <row r="45" spans="1:20" ht="13.2">
      <c r="A45" s="76"/>
      <c r="B45" s="90"/>
      <c r="C45" s="90"/>
      <c r="D45" s="90"/>
      <c r="F45" s="90"/>
      <c r="G45" s="33"/>
      <c r="K45" s="157"/>
      <c r="L45" s="90"/>
      <c r="M45" s="90"/>
      <c r="N45" s="90"/>
      <c r="O45" s="90"/>
      <c r="P45" s="90"/>
    </row>
    <row r="46" spans="1:20" ht="13.2">
      <c r="A46" s="76" t="s">
        <v>14</v>
      </c>
      <c r="B46" s="81">
        <f t="shared" ref="B46:D46" si="70">B43+B38+B32</f>
        <v>43</v>
      </c>
      <c r="C46" s="81">
        <f t="shared" si="70"/>
        <v>155</v>
      </c>
      <c r="D46" s="81">
        <f t="shared" si="70"/>
        <v>112</v>
      </c>
      <c r="F46" s="81">
        <f>F43+F38+F32</f>
        <v>8</v>
      </c>
      <c r="G46" s="33"/>
      <c r="K46" s="157" t="s">
        <v>14</v>
      </c>
      <c r="L46" s="81">
        <f t="shared" ref="L46:P46" si="71">L43+L38+L32</f>
        <v>10</v>
      </c>
      <c r="M46" s="81">
        <f t="shared" si="71"/>
        <v>9</v>
      </c>
      <c r="N46" s="81">
        <f t="shared" si="71"/>
        <v>8</v>
      </c>
      <c r="O46" s="81">
        <f t="shared" si="71"/>
        <v>14</v>
      </c>
      <c r="P46" s="81">
        <f t="shared" si="71"/>
        <v>41</v>
      </c>
    </row>
    <row r="47" spans="1:20" ht="13.2">
      <c r="A47" s="159"/>
      <c r="B47" s="160"/>
      <c r="C47" s="160"/>
      <c r="D47" s="160"/>
      <c r="E47" s="160"/>
      <c r="F47" s="160"/>
      <c r="G47" s="161"/>
    </row>
    <row r="49" spans="1:25" ht="14.4">
      <c r="A49" s="292" t="s">
        <v>63</v>
      </c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6"/>
      <c r="X49" s="15" t="s">
        <v>2</v>
      </c>
      <c r="Y49" s="120" t="s">
        <v>3</v>
      </c>
    </row>
    <row r="50" spans="1:25" ht="14.4">
      <c r="A50" s="32"/>
      <c r="B50" s="130"/>
      <c r="C50" s="277" t="str">
        <f>C4</f>
        <v>OCT</v>
      </c>
      <c r="D50" s="278"/>
      <c r="E50" s="278"/>
      <c r="F50" s="278"/>
      <c r="G50" s="277" t="str">
        <f>H4</f>
        <v>NOV</v>
      </c>
      <c r="H50" s="278"/>
      <c r="I50" s="278"/>
      <c r="J50" s="278"/>
      <c r="K50" s="278"/>
      <c r="L50" s="277" t="str">
        <f>N4</f>
        <v>DEC</v>
      </c>
      <c r="M50" s="278"/>
      <c r="N50" s="278"/>
      <c r="O50" s="278"/>
      <c r="P50" s="128"/>
      <c r="Q50" s="128"/>
      <c r="R50" s="277" t="s">
        <v>14</v>
      </c>
      <c r="S50" s="278"/>
      <c r="T50" s="278"/>
      <c r="U50" s="279"/>
      <c r="Y50" s="29"/>
    </row>
    <row r="51" spans="1:25" ht="57.6">
      <c r="A51" s="35"/>
      <c r="B51" s="130"/>
      <c r="C51" s="132" t="s">
        <v>65</v>
      </c>
      <c r="D51" s="132" t="s">
        <v>66</v>
      </c>
      <c r="E51" s="132" t="s">
        <v>28</v>
      </c>
      <c r="F51" s="132" t="s">
        <v>67</v>
      </c>
      <c r="G51" s="132" t="s">
        <v>65</v>
      </c>
      <c r="H51" s="132" t="s">
        <v>66</v>
      </c>
      <c r="I51" s="132"/>
      <c r="J51" s="132" t="s">
        <v>28</v>
      </c>
      <c r="K51" s="132" t="s">
        <v>67</v>
      </c>
      <c r="L51" s="132" t="s">
        <v>65</v>
      </c>
      <c r="M51" s="132" t="s">
        <v>66</v>
      </c>
      <c r="N51" s="132" t="s">
        <v>28</v>
      </c>
      <c r="O51" s="132" t="s">
        <v>67</v>
      </c>
      <c r="P51" s="38"/>
      <c r="Q51" s="132"/>
      <c r="R51" s="132" t="s">
        <v>65</v>
      </c>
      <c r="S51" s="132" t="s">
        <v>66</v>
      </c>
      <c r="T51" s="132" t="s">
        <v>28</v>
      </c>
      <c r="U51" s="135" t="s">
        <v>67</v>
      </c>
      <c r="Y51" s="29"/>
    </row>
    <row r="52" spans="1:25" ht="14.4">
      <c r="A52" s="32" t="s">
        <v>24</v>
      </c>
      <c r="B52" s="130"/>
      <c r="C52" s="39">
        <v>127</v>
      </c>
      <c r="D52" s="39">
        <v>0</v>
      </c>
      <c r="E52" s="56">
        <f>SUM(C52:D52)</f>
        <v>127</v>
      </c>
      <c r="F52" s="57">
        <v>170</v>
      </c>
      <c r="G52" s="124">
        <v>199</v>
      </c>
      <c r="H52" s="39">
        <v>0</v>
      </c>
      <c r="I52" s="56"/>
      <c r="J52" s="56">
        <f>SUM(G52:H52)</f>
        <v>199</v>
      </c>
      <c r="K52" s="57">
        <v>159</v>
      </c>
      <c r="L52" s="124">
        <v>192</v>
      </c>
      <c r="M52" s="39">
        <v>0</v>
      </c>
      <c r="N52" s="56">
        <f>SUM(L52:M52)</f>
        <v>192</v>
      </c>
      <c r="O52" s="57">
        <v>128</v>
      </c>
      <c r="P52" s="66"/>
      <c r="Q52" s="65">
        <f t="shared" ref="Q52:Q58" si="72">B52</f>
        <v>0</v>
      </c>
      <c r="R52" s="66">
        <f t="shared" ref="R52:S52" si="73">L52+G52+C52</f>
        <v>518</v>
      </c>
      <c r="S52" s="66">
        <f t="shared" si="73"/>
        <v>0</v>
      </c>
      <c r="T52" s="56">
        <f>SUM(Q52:S52)</f>
        <v>518</v>
      </c>
      <c r="U52" s="68">
        <f>O52+K52+F52</f>
        <v>457</v>
      </c>
      <c r="X52" s="83">
        <v>46006</v>
      </c>
      <c r="Y52" s="29" t="s">
        <v>49</v>
      </c>
    </row>
    <row r="53" spans="1:25" ht="14.4">
      <c r="A53" s="35" t="s">
        <v>44</v>
      </c>
      <c r="B53" s="130"/>
      <c r="C53" s="78">
        <f t="shared" ref="C53:H53" si="74">SUM(C52)</f>
        <v>127</v>
      </c>
      <c r="D53" s="78">
        <f t="shared" si="74"/>
        <v>0</v>
      </c>
      <c r="E53" s="78">
        <f t="shared" si="74"/>
        <v>127</v>
      </c>
      <c r="F53" s="78">
        <f t="shared" si="74"/>
        <v>170</v>
      </c>
      <c r="G53" s="78">
        <f t="shared" si="74"/>
        <v>199</v>
      </c>
      <c r="H53" s="78">
        <f t="shared" si="74"/>
        <v>0</v>
      </c>
      <c r="I53" s="78"/>
      <c r="J53" s="78">
        <f t="shared" ref="J53:O53" si="75">SUM(J52)</f>
        <v>199</v>
      </c>
      <c r="K53" s="78">
        <f t="shared" si="75"/>
        <v>159</v>
      </c>
      <c r="L53" s="78">
        <f t="shared" si="75"/>
        <v>192</v>
      </c>
      <c r="M53" s="78">
        <f t="shared" si="75"/>
        <v>0</v>
      </c>
      <c r="N53" s="78">
        <f t="shared" si="75"/>
        <v>192</v>
      </c>
      <c r="O53" s="78">
        <f t="shared" si="75"/>
        <v>128</v>
      </c>
      <c r="P53" s="66"/>
      <c r="Q53" s="65">
        <f t="shared" si="72"/>
        <v>0</v>
      </c>
      <c r="R53" s="78">
        <f t="shared" ref="R53:U53" si="76">SUM(R52)</f>
        <v>518</v>
      </c>
      <c r="S53" s="78">
        <f t="shared" si="76"/>
        <v>0</v>
      </c>
      <c r="T53" s="78">
        <f t="shared" si="76"/>
        <v>518</v>
      </c>
      <c r="U53" s="92">
        <f t="shared" si="76"/>
        <v>457</v>
      </c>
      <c r="Y53" s="29"/>
    </row>
    <row r="54" spans="1:25" ht="14.4">
      <c r="A54" s="32" t="s">
        <v>51</v>
      </c>
      <c r="B54" s="130"/>
      <c r="C54" s="39">
        <v>14</v>
      </c>
      <c r="D54" s="66">
        <v>0</v>
      </c>
      <c r="E54" s="56">
        <f>SUM(C54:D54)</f>
        <v>14</v>
      </c>
      <c r="F54" s="57">
        <v>32</v>
      </c>
      <c r="G54" s="124">
        <v>6</v>
      </c>
      <c r="H54" s="66">
        <v>0</v>
      </c>
      <c r="I54" s="56"/>
      <c r="J54" s="56">
        <f>SUM(G54:H54)</f>
        <v>6</v>
      </c>
      <c r="K54" s="57">
        <v>25</v>
      </c>
      <c r="L54" s="124">
        <v>24</v>
      </c>
      <c r="M54" s="66">
        <v>0</v>
      </c>
      <c r="N54" s="56">
        <v>10</v>
      </c>
      <c r="O54" s="57">
        <v>40</v>
      </c>
      <c r="P54" s="66"/>
      <c r="Q54" s="65">
        <f t="shared" si="72"/>
        <v>0</v>
      </c>
      <c r="R54" s="66">
        <f>L54+G54+P58+C54</f>
        <v>44</v>
      </c>
      <c r="S54" s="66">
        <f>M54+H54+D54</f>
        <v>0</v>
      </c>
      <c r="T54" s="56">
        <f>SUM(Q54:S54)</f>
        <v>44</v>
      </c>
      <c r="U54" s="68">
        <f>O54+K54+F54</f>
        <v>97</v>
      </c>
      <c r="X54" s="83">
        <v>46022</v>
      </c>
      <c r="Y54" s="29" t="s">
        <v>56</v>
      </c>
    </row>
    <row r="55" spans="1:25" ht="14.4">
      <c r="A55" s="35" t="s">
        <v>54</v>
      </c>
      <c r="B55" s="130"/>
      <c r="C55" s="78">
        <f t="shared" ref="C55:H55" si="77">SUM(C54)</f>
        <v>14</v>
      </c>
      <c r="D55" s="78">
        <f t="shared" si="77"/>
        <v>0</v>
      </c>
      <c r="E55" s="78">
        <f t="shared" si="77"/>
        <v>14</v>
      </c>
      <c r="F55" s="78">
        <f t="shared" si="77"/>
        <v>32</v>
      </c>
      <c r="G55" s="78">
        <f t="shared" si="77"/>
        <v>6</v>
      </c>
      <c r="H55" s="78">
        <f t="shared" si="77"/>
        <v>0</v>
      </c>
      <c r="I55" s="78"/>
      <c r="J55" s="78">
        <f t="shared" ref="J55:O55" si="78">SUM(J54)</f>
        <v>6</v>
      </c>
      <c r="K55" s="78">
        <f t="shared" si="78"/>
        <v>25</v>
      </c>
      <c r="L55" s="78">
        <f t="shared" si="78"/>
        <v>24</v>
      </c>
      <c r="M55" s="78">
        <f t="shared" si="78"/>
        <v>0</v>
      </c>
      <c r="N55" s="78">
        <f t="shared" si="78"/>
        <v>10</v>
      </c>
      <c r="O55" s="78">
        <f t="shared" si="78"/>
        <v>40</v>
      </c>
      <c r="P55" s="66"/>
      <c r="Q55" s="65">
        <f t="shared" si="72"/>
        <v>0</v>
      </c>
      <c r="R55" s="78">
        <f t="shared" ref="R55:U55" si="79">SUM(R54)</f>
        <v>44</v>
      </c>
      <c r="S55" s="78">
        <f t="shared" si="79"/>
        <v>0</v>
      </c>
      <c r="T55" s="78">
        <f t="shared" si="79"/>
        <v>44</v>
      </c>
      <c r="U55" s="92">
        <f t="shared" si="79"/>
        <v>97</v>
      </c>
      <c r="Y55" s="29"/>
    </row>
    <row r="56" spans="1:25" ht="14.4">
      <c r="A56" s="32" t="s">
        <v>55</v>
      </c>
      <c r="B56" s="130"/>
      <c r="C56" s="39">
        <v>144</v>
      </c>
      <c r="D56" s="66">
        <v>0</v>
      </c>
      <c r="E56" s="56">
        <f>SUM(C56:D56)</f>
        <v>144</v>
      </c>
      <c r="F56" s="57">
        <v>49</v>
      </c>
      <c r="G56" s="124">
        <v>61</v>
      </c>
      <c r="H56" s="66">
        <v>0</v>
      </c>
      <c r="I56" s="56"/>
      <c r="J56" s="56">
        <f>SUM(G56:H56)</f>
        <v>61</v>
      </c>
      <c r="K56" s="57">
        <v>40</v>
      </c>
      <c r="L56" s="124">
        <v>49</v>
      </c>
      <c r="M56" s="66">
        <v>0</v>
      </c>
      <c r="N56" s="56">
        <f>SUM(L56:M56)</f>
        <v>49</v>
      </c>
      <c r="O56" s="57">
        <v>32</v>
      </c>
      <c r="P56" s="66"/>
      <c r="Q56" s="65">
        <f t="shared" si="72"/>
        <v>0</v>
      </c>
      <c r="R56" s="66">
        <f t="shared" ref="R56:S56" si="80">L56+G56+C56</f>
        <v>254</v>
      </c>
      <c r="S56" s="66">
        <f t="shared" si="80"/>
        <v>0</v>
      </c>
      <c r="T56" s="56">
        <f>SUM(Q56:S56)</f>
        <v>254</v>
      </c>
      <c r="U56" s="68">
        <f>O56+K56+F56</f>
        <v>121</v>
      </c>
      <c r="Y56" s="29"/>
    </row>
    <row r="57" spans="1:25" ht="14.4">
      <c r="A57" s="35"/>
      <c r="B57" s="130"/>
      <c r="C57" s="78">
        <f t="shared" ref="C57:H57" si="81">SUM(C56)</f>
        <v>144</v>
      </c>
      <c r="D57" s="78">
        <f t="shared" si="81"/>
        <v>0</v>
      </c>
      <c r="E57" s="78">
        <f t="shared" si="81"/>
        <v>144</v>
      </c>
      <c r="F57" s="78">
        <f t="shared" si="81"/>
        <v>49</v>
      </c>
      <c r="G57" s="78">
        <f t="shared" si="81"/>
        <v>61</v>
      </c>
      <c r="H57" s="78">
        <f t="shared" si="81"/>
        <v>0</v>
      </c>
      <c r="I57" s="78"/>
      <c r="J57" s="78">
        <f t="shared" ref="J57:O57" si="82">SUM(J56)</f>
        <v>61</v>
      </c>
      <c r="K57" s="78">
        <f t="shared" si="82"/>
        <v>40</v>
      </c>
      <c r="L57" s="78">
        <f t="shared" si="82"/>
        <v>49</v>
      </c>
      <c r="M57" s="78">
        <f t="shared" si="82"/>
        <v>0</v>
      </c>
      <c r="N57" s="78">
        <f t="shared" si="82"/>
        <v>49</v>
      </c>
      <c r="O57" s="78">
        <f t="shared" si="82"/>
        <v>32</v>
      </c>
      <c r="P57" s="66"/>
      <c r="Q57" s="65">
        <f t="shared" si="72"/>
        <v>0</v>
      </c>
      <c r="R57" s="78">
        <f t="shared" ref="R57:U57" si="83">SUM(R56)</f>
        <v>254</v>
      </c>
      <c r="S57" s="78">
        <f t="shared" si="83"/>
        <v>0</v>
      </c>
      <c r="T57" s="78">
        <f t="shared" si="83"/>
        <v>254</v>
      </c>
      <c r="U57" s="92">
        <f t="shared" si="83"/>
        <v>121</v>
      </c>
      <c r="X57" s="83">
        <v>46022</v>
      </c>
      <c r="Y57" s="29" t="s">
        <v>80</v>
      </c>
    </row>
    <row r="58" spans="1:25" ht="14.4">
      <c r="A58" s="35"/>
      <c r="B58" s="130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5">
        <f t="shared" si="72"/>
        <v>0</v>
      </c>
      <c r="R58" s="66"/>
      <c r="S58" s="66"/>
      <c r="T58" s="66"/>
      <c r="U58" s="104"/>
    </row>
    <row r="59" spans="1:25" ht="14.4">
      <c r="A59" s="32"/>
      <c r="B59" s="29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104"/>
    </row>
    <row r="60" spans="1:25" ht="14.4">
      <c r="A60" s="126" t="s">
        <v>14</v>
      </c>
      <c r="B60" s="162"/>
      <c r="C60" s="97">
        <f t="shared" ref="C60:H60" si="84">C57+C55+C53</f>
        <v>285</v>
      </c>
      <c r="D60" s="97">
        <f t="shared" si="84"/>
        <v>0</v>
      </c>
      <c r="E60" s="97">
        <f t="shared" si="84"/>
        <v>285</v>
      </c>
      <c r="F60" s="97">
        <f t="shared" si="84"/>
        <v>251</v>
      </c>
      <c r="G60" s="97">
        <f t="shared" si="84"/>
        <v>266</v>
      </c>
      <c r="H60" s="97">
        <f t="shared" si="84"/>
        <v>0</v>
      </c>
      <c r="I60" s="97"/>
      <c r="J60" s="97">
        <f t="shared" ref="J60:O60" si="85">J57+J55+J53</f>
        <v>266</v>
      </c>
      <c r="K60" s="97">
        <f t="shared" si="85"/>
        <v>224</v>
      </c>
      <c r="L60" s="97">
        <f t="shared" si="85"/>
        <v>265</v>
      </c>
      <c r="M60" s="97">
        <f t="shared" si="85"/>
        <v>0</v>
      </c>
      <c r="N60" s="97">
        <f t="shared" si="85"/>
        <v>251</v>
      </c>
      <c r="O60" s="97">
        <f t="shared" si="85"/>
        <v>200</v>
      </c>
      <c r="P60" s="127"/>
      <c r="Q60" s="127"/>
      <c r="R60" s="97">
        <f t="shared" ref="R60:U60" si="86">R57+R55+R53</f>
        <v>816</v>
      </c>
      <c r="S60" s="97">
        <f t="shared" si="86"/>
        <v>0</v>
      </c>
      <c r="T60" s="97">
        <f t="shared" si="86"/>
        <v>816</v>
      </c>
      <c r="U60" s="99">
        <f t="shared" si="86"/>
        <v>675</v>
      </c>
    </row>
    <row r="62" spans="1:25" ht="14.4">
      <c r="A62" s="289" t="s">
        <v>71</v>
      </c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3"/>
      <c r="P62" s="15" t="s">
        <v>2</v>
      </c>
      <c r="Q62" s="120" t="s">
        <v>3</v>
      </c>
      <c r="R62" s="15"/>
      <c r="S62" s="120"/>
    </row>
    <row r="63" spans="1:25" ht="14.4">
      <c r="A63" s="19"/>
      <c r="B63" s="290" t="str">
        <f>C50</f>
        <v>OCT</v>
      </c>
      <c r="C63" s="285"/>
      <c r="D63" s="285"/>
      <c r="E63" s="130"/>
      <c r="F63" s="290" t="str">
        <f>G50</f>
        <v>NOV</v>
      </c>
      <c r="G63" s="285"/>
      <c r="H63" s="285"/>
      <c r="I63" s="130"/>
      <c r="J63" s="290" t="str">
        <f>L50</f>
        <v>DEC</v>
      </c>
      <c r="K63" s="285"/>
      <c r="L63" s="285"/>
      <c r="M63" s="130"/>
      <c r="N63" s="130" t="s">
        <v>14</v>
      </c>
      <c r="O63" s="150"/>
      <c r="P63" s="29"/>
      <c r="Q63" s="29"/>
    </row>
    <row r="64" spans="1:25" ht="28.8">
      <c r="A64" s="36"/>
      <c r="B64" s="132" t="s">
        <v>13</v>
      </c>
      <c r="C64" s="132" t="s">
        <v>26</v>
      </c>
      <c r="D64" s="132" t="s">
        <v>29</v>
      </c>
      <c r="E64" s="132"/>
      <c r="F64" s="132" t="s">
        <v>26</v>
      </c>
      <c r="G64" s="132" t="s">
        <v>29</v>
      </c>
      <c r="H64" s="132"/>
      <c r="I64" s="132"/>
      <c r="J64" s="132" t="s">
        <v>26</v>
      </c>
      <c r="K64" s="132" t="s">
        <v>29</v>
      </c>
      <c r="L64" s="132"/>
      <c r="M64" s="132" t="s">
        <v>13</v>
      </c>
      <c r="N64" s="132" t="s">
        <v>26</v>
      </c>
      <c r="O64" s="135" t="s">
        <v>29</v>
      </c>
      <c r="Q64" s="29"/>
    </row>
    <row r="65" spans="1:17" ht="14.4">
      <c r="A65" s="51" t="s">
        <v>36</v>
      </c>
      <c r="B65" s="152"/>
      <c r="C65" s="39">
        <v>69</v>
      </c>
      <c r="D65" s="57">
        <v>48</v>
      </c>
      <c r="E65" s="61">
        <f t="shared" ref="E65:E78" si="87">C65/D65</f>
        <v>1.4375</v>
      </c>
      <c r="F65" s="39">
        <v>49</v>
      </c>
      <c r="G65" s="57">
        <v>45</v>
      </c>
      <c r="H65" s="61">
        <f t="shared" ref="H65:H78" si="88">F65/G65</f>
        <v>1.0888888888888888</v>
      </c>
      <c r="I65" s="39"/>
      <c r="J65" s="39">
        <v>23</v>
      </c>
      <c r="K65" s="57">
        <v>32</v>
      </c>
      <c r="L65" s="61">
        <f t="shared" ref="L65:L78" si="89">J65/K65</f>
        <v>0.71875</v>
      </c>
      <c r="M65" s="65">
        <f t="shared" ref="M65:M68" si="90">B65</f>
        <v>0</v>
      </c>
      <c r="N65" s="66">
        <f t="shared" ref="N65:O65" si="91">J65+F65+C65</f>
        <v>141</v>
      </c>
      <c r="O65" s="68">
        <f t="shared" si="91"/>
        <v>125</v>
      </c>
      <c r="P65" s="163"/>
      <c r="Q65" s="29" t="s">
        <v>49</v>
      </c>
    </row>
    <row r="66" spans="1:17" ht="14.4">
      <c r="A66" s="51" t="s">
        <v>40</v>
      </c>
      <c r="B66" s="152"/>
      <c r="C66" s="39">
        <v>47</v>
      </c>
      <c r="D66" s="57">
        <v>47</v>
      </c>
      <c r="E66" s="61">
        <f t="shared" si="87"/>
        <v>1</v>
      </c>
      <c r="F66" s="39">
        <v>36</v>
      </c>
      <c r="G66" s="57">
        <v>43</v>
      </c>
      <c r="H66" s="61">
        <f t="shared" si="88"/>
        <v>0.83720930232558144</v>
      </c>
      <c r="I66" s="39"/>
      <c r="J66" s="39">
        <v>29</v>
      </c>
      <c r="K66" s="57">
        <v>31</v>
      </c>
      <c r="L66" s="61">
        <f t="shared" si="89"/>
        <v>0.93548387096774188</v>
      </c>
      <c r="M66" s="65">
        <f t="shared" si="90"/>
        <v>0</v>
      </c>
      <c r="N66" s="66">
        <f t="shared" ref="N66:O66" si="92">J66+F66+C66</f>
        <v>112</v>
      </c>
      <c r="O66" s="68">
        <f t="shared" si="92"/>
        <v>121</v>
      </c>
      <c r="P66" s="163"/>
      <c r="Q66" s="29" t="s">
        <v>49</v>
      </c>
    </row>
    <row r="67" spans="1:17" ht="14.4">
      <c r="A67" s="51" t="s">
        <v>41</v>
      </c>
      <c r="B67" s="152"/>
      <c r="C67" s="39">
        <v>46</v>
      </c>
      <c r="D67" s="57">
        <v>59</v>
      </c>
      <c r="E67" s="61">
        <f t="shared" si="87"/>
        <v>0.77966101694915257</v>
      </c>
      <c r="F67" s="39">
        <v>40</v>
      </c>
      <c r="G67" s="57">
        <v>54</v>
      </c>
      <c r="H67" s="61">
        <f t="shared" si="88"/>
        <v>0.7407407407407407</v>
      </c>
      <c r="I67" s="39"/>
      <c r="J67" s="39">
        <v>23</v>
      </c>
      <c r="K67" s="57">
        <v>39</v>
      </c>
      <c r="L67" s="61">
        <f t="shared" si="89"/>
        <v>0.58974358974358976</v>
      </c>
      <c r="M67" s="65">
        <f t="shared" si="90"/>
        <v>0</v>
      </c>
      <c r="N67" s="66">
        <f t="shared" ref="N67:O67" si="93">J67+F67+C67</f>
        <v>109</v>
      </c>
      <c r="O67" s="68">
        <f t="shared" si="93"/>
        <v>152</v>
      </c>
      <c r="P67" s="83">
        <v>46024</v>
      </c>
      <c r="Q67" s="29" t="s">
        <v>49</v>
      </c>
    </row>
    <row r="68" spans="1:17" ht="14.4">
      <c r="A68" s="51" t="s">
        <v>48</v>
      </c>
      <c r="B68" s="152"/>
      <c r="C68" s="70">
        <v>64</v>
      </c>
      <c r="D68" s="57">
        <v>62</v>
      </c>
      <c r="E68" s="61">
        <f t="shared" si="87"/>
        <v>1.032258064516129</v>
      </c>
      <c r="F68" s="39">
        <v>50</v>
      </c>
      <c r="G68" s="57">
        <v>57</v>
      </c>
      <c r="H68" s="61">
        <f t="shared" si="88"/>
        <v>0.8771929824561403</v>
      </c>
      <c r="I68" s="39"/>
      <c r="J68" s="39">
        <v>32</v>
      </c>
      <c r="K68" s="57">
        <v>40</v>
      </c>
      <c r="L68" s="61">
        <f t="shared" si="89"/>
        <v>0.8</v>
      </c>
      <c r="M68" s="65">
        <f t="shared" si="90"/>
        <v>0</v>
      </c>
      <c r="N68" s="66">
        <f t="shared" ref="N68:O68" si="94">J68+F68+C68</f>
        <v>146</v>
      </c>
      <c r="O68" s="68">
        <f t="shared" si="94"/>
        <v>159</v>
      </c>
      <c r="P68" s="163">
        <v>46024</v>
      </c>
      <c r="Q68" s="29" t="s">
        <v>49</v>
      </c>
    </row>
    <row r="69" spans="1:17" ht="14.4">
      <c r="A69" s="89" t="s">
        <v>44</v>
      </c>
      <c r="B69" s="78">
        <f t="shared" ref="B69:D69" si="95">SUM(B65:B68)</f>
        <v>0</v>
      </c>
      <c r="C69" s="78">
        <f t="shared" si="95"/>
        <v>226</v>
      </c>
      <c r="D69" s="78">
        <f t="shared" si="95"/>
        <v>216</v>
      </c>
      <c r="E69" s="61">
        <f t="shared" si="87"/>
        <v>1.0462962962962963</v>
      </c>
      <c r="F69" s="78">
        <f t="shared" ref="F69:G69" si="96">SUM(F65:F68)</f>
        <v>175</v>
      </c>
      <c r="G69" s="78">
        <f t="shared" si="96"/>
        <v>199</v>
      </c>
      <c r="H69" s="61">
        <f t="shared" si="88"/>
        <v>0.87939698492462315</v>
      </c>
      <c r="I69" s="141"/>
      <c r="J69" s="78">
        <f t="shared" ref="J69:K69" si="97">SUM(J65:J68)</f>
        <v>107</v>
      </c>
      <c r="K69" s="78">
        <f t="shared" si="97"/>
        <v>142</v>
      </c>
      <c r="L69" s="61">
        <f t="shared" si="89"/>
        <v>0.75352112676056338</v>
      </c>
      <c r="M69" s="78">
        <f t="shared" ref="M69:O69" si="98">SUM(M65:M68)</f>
        <v>0</v>
      </c>
      <c r="N69" s="78">
        <f t="shared" si="98"/>
        <v>508</v>
      </c>
      <c r="O69" s="92">
        <f t="shared" si="98"/>
        <v>557</v>
      </c>
      <c r="Q69" s="29"/>
    </row>
    <row r="70" spans="1:17" ht="14.4">
      <c r="A70" s="51" t="s">
        <v>52</v>
      </c>
      <c r="B70" s="152"/>
      <c r="C70" s="66">
        <v>43</v>
      </c>
      <c r="D70" s="57">
        <v>44</v>
      </c>
      <c r="E70" s="61">
        <f t="shared" si="87"/>
        <v>0.97727272727272729</v>
      </c>
      <c r="F70" s="39">
        <v>42</v>
      </c>
      <c r="G70" s="57">
        <v>41</v>
      </c>
      <c r="H70" s="61">
        <f t="shared" si="88"/>
        <v>1.024390243902439</v>
      </c>
      <c r="I70" s="39"/>
      <c r="J70" s="39">
        <v>28</v>
      </c>
      <c r="K70" s="57">
        <v>28</v>
      </c>
      <c r="L70" s="61">
        <f t="shared" si="89"/>
        <v>1</v>
      </c>
      <c r="M70" s="65">
        <f t="shared" ref="M70:M73" si="99">B70</f>
        <v>0</v>
      </c>
      <c r="N70" s="66">
        <f t="shared" ref="N70:O70" si="100">J70+F70+C70</f>
        <v>113</v>
      </c>
      <c r="O70" s="68">
        <f t="shared" si="100"/>
        <v>113</v>
      </c>
      <c r="P70" s="83">
        <v>46020</v>
      </c>
      <c r="Q70" s="29" t="s">
        <v>56</v>
      </c>
    </row>
    <row r="71" spans="1:17" ht="14.4">
      <c r="A71" s="51" t="s">
        <v>51</v>
      </c>
      <c r="B71" s="152"/>
      <c r="C71" s="66">
        <v>36</v>
      </c>
      <c r="D71" s="57">
        <v>51</v>
      </c>
      <c r="E71" s="61">
        <f t="shared" si="87"/>
        <v>0.70588235294117652</v>
      </c>
      <c r="F71" s="39">
        <v>27</v>
      </c>
      <c r="G71" s="57">
        <v>47</v>
      </c>
      <c r="H71" s="61">
        <f t="shared" si="88"/>
        <v>0.57446808510638303</v>
      </c>
      <c r="I71" s="39"/>
      <c r="J71" s="39">
        <v>31</v>
      </c>
      <c r="K71" s="57">
        <v>33</v>
      </c>
      <c r="L71" s="61">
        <f t="shared" si="89"/>
        <v>0.93939393939393945</v>
      </c>
      <c r="M71" s="65">
        <f t="shared" si="99"/>
        <v>0</v>
      </c>
      <c r="N71" s="66">
        <f t="shared" ref="N71:O71" si="101">J71+F71+C71</f>
        <v>94</v>
      </c>
      <c r="O71" s="68">
        <f t="shared" si="101"/>
        <v>131</v>
      </c>
      <c r="P71" s="83">
        <v>46020</v>
      </c>
      <c r="Q71" s="29" t="s">
        <v>56</v>
      </c>
    </row>
    <row r="72" spans="1:17" ht="14.4">
      <c r="A72" s="51" t="s">
        <v>46</v>
      </c>
      <c r="B72" s="152"/>
      <c r="C72" s="66">
        <v>44</v>
      </c>
      <c r="D72" s="57">
        <v>41</v>
      </c>
      <c r="E72" s="61">
        <f t="shared" si="87"/>
        <v>1.0731707317073171</v>
      </c>
      <c r="F72" s="39">
        <v>27</v>
      </c>
      <c r="G72" s="57">
        <v>38</v>
      </c>
      <c r="H72" s="61">
        <f t="shared" si="88"/>
        <v>0.71052631578947367</v>
      </c>
      <c r="I72" s="39"/>
      <c r="J72" s="39">
        <v>28</v>
      </c>
      <c r="K72" s="57">
        <v>25</v>
      </c>
      <c r="L72" s="61">
        <f t="shared" si="89"/>
        <v>1.1200000000000001</v>
      </c>
      <c r="M72" s="65">
        <f t="shared" si="99"/>
        <v>0</v>
      </c>
      <c r="N72" s="66">
        <f t="shared" ref="N72:O72" si="102">J72+F72+C72</f>
        <v>99</v>
      </c>
      <c r="O72" s="68">
        <f t="shared" si="102"/>
        <v>104</v>
      </c>
      <c r="P72" s="83">
        <v>46020</v>
      </c>
      <c r="Q72" s="29" t="s">
        <v>56</v>
      </c>
    </row>
    <row r="73" spans="1:17" ht="14.4">
      <c r="A73" s="51" t="s">
        <v>53</v>
      </c>
      <c r="B73" s="152"/>
      <c r="C73" s="66">
        <v>88</v>
      </c>
      <c r="D73" s="57">
        <v>94</v>
      </c>
      <c r="E73" s="61">
        <f t="shared" si="87"/>
        <v>0.93617021276595747</v>
      </c>
      <c r="F73" s="39">
        <v>63</v>
      </c>
      <c r="G73" s="57">
        <v>86</v>
      </c>
      <c r="H73" s="61">
        <f t="shared" si="88"/>
        <v>0.73255813953488369</v>
      </c>
      <c r="I73" s="39"/>
      <c r="J73" s="39">
        <v>54</v>
      </c>
      <c r="K73" s="57">
        <v>60</v>
      </c>
      <c r="L73" s="61">
        <f t="shared" si="89"/>
        <v>0.9</v>
      </c>
      <c r="M73" s="65">
        <f t="shared" si="99"/>
        <v>0</v>
      </c>
      <c r="N73" s="66">
        <f t="shared" ref="N73:O73" si="103">J73+F73+C73</f>
        <v>205</v>
      </c>
      <c r="O73" s="68">
        <f t="shared" si="103"/>
        <v>240</v>
      </c>
      <c r="P73" s="83">
        <v>46020</v>
      </c>
      <c r="Q73" s="29" t="s">
        <v>56</v>
      </c>
    </row>
    <row r="74" spans="1:17" ht="14.4">
      <c r="A74" s="89" t="s">
        <v>54</v>
      </c>
      <c r="B74" s="78">
        <f t="shared" ref="B74:D74" si="104">SUM(B70:B73)</f>
        <v>0</v>
      </c>
      <c r="C74" s="78">
        <f t="shared" si="104"/>
        <v>211</v>
      </c>
      <c r="D74" s="78">
        <f t="shared" si="104"/>
        <v>230</v>
      </c>
      <c r="E74" s="61">
        <f t="shared" si="87"/>
        <v>0.91739130434782612</v>
      </c>
      <c r="F74" s="78">
        <f t="shared" ref="F74:G74" si="105">SUM(F70:F73)</f>
        <v>159</v>
      </c>
      <c r="G74" s="78">
        <f t="shared" si="105"/>
        <v>212</v>
      </c>
      <c r="H74" s="61">
        <f t="shared" si="88"/>
        <v>0.75</v>
      </c>
      <c r="I74" s="141"/>
      <c r="J74" s="78">
        <f t="shared" ref="J74:K74" si="106">SUM(J70:J73)</f>
        <v>141</v>
      </c>
      <c r="K74" s="78">
        <f t="shared" si="106"/>
        <v>146</v>
      </c>
      <c r="L74" s="61">
        <f t="shared" si="89"/>
        <v>0.96575342465753422</v>
      </c>
      <c r="M74" s="78">
        <f t="shared" ref="M74:O74" si="107">SUM(M70:M73)</f>
        <v>0</v>
      </c>
      <c r="N74" s="78">
        <f t="shared" si="107"/>
        <v>511</v>
      </c>
      <c r="O74" s="92">
        <f t="shared" si="107"/>
        <v>588</v>
      </c>
      <c r="Q74" s="29"/>
    </row>
    <row r="75" spans="1:17" ht="14.4">
      <c r="A75" s="51" t="s">
        <v>55</v>
      </c>
      <c r="B75" s="152"/>
      <c r="C75" s="66">
        <v>33</v>
      </c>
      <c r="D75" s="57">
        <v>38</v>
      </c>
      <c r="E75" s="61">
        <f t="shared" si="87"/>
        <v>0.86842105263157898</v>
      </c>
      <c r="F75" s="39">
        <v>25</v>
      </c>
      <c r="G75" s="57">
        <v>35</v>
      </c>
      <c r="H75" s="61">
        <f t="shared" si="88"/>
        <v>0.7142857142857143</v>
      </c>
      <c r="I75" s="39"/>
      <c r="J75" s="39">
        <v>23</v>
      </c>
      <c r="K75" s="57">
        <v>25</v>
      </c>
      <c r="L75" s="61">
        <f t="shared" si="89"/>
        <v>0.92</v>
      </c>
      <c r="M75" s="65">
        <f t="shared" ref="M75:M77" si="108">B75</f>
        <v>0</v>
      </c>
      <c r="N75" s="66">
        <f t="shared" ref="N75:O75" si="109">J75+F75+C75</f>
        <v>81</v>
      </c>
      <c r="O75" s="68">
        <f t="shared" si="109"/>
        <v>98</v>
      </c>
      <c r="P75" s="83">
        <v>46020</v>
      </c>
      <c r="Q75" s="29" t="s">
        <v>80</v>
      </c>
    </row>
    <row r="76" spans="1:17" ht="14.4">
      <c r="A76" s="51" t="s">
        <v>57</v>
      </c>
      <c r="B76" s="152"/>
      <c r="C76" s="66">
        <v>39</v>
      </c>
      <c r="D76" s="57">
        <v>51</v>
      </c>
      <c r="E76" s="61">
        <f t="shared" si="87"/>
        <v>0.76470588235294112</v>
      </c>
      <c r="F76" s="39">
        <v>27</v>
      </c>
      <c r="G76" s="57">
        <v>47</v>
      </c>
      <c r="H76" s="61">
        <f t="shared" si="88"/>
        <v>0.57446808510638303</v>
      </c>
      <c r="I76" s="39"/>
      <c r="J76" s="39">
        <v>23</v>
      </c>
      <c r="K76" s="57">
        <v>33</v>
      </c>
      <c r="L76" s="61">
        <f t="shared" si="89"/>
        <v>0.69696969696969702</v>
      </c>
      <c r="M76" s="65">
        <f t="shared" si="108"/>
        <v>0</v>
      </c>
      <c r="N76" s="66">
        <f t="shared" ref="N76:O76" si="110">J76+F76+C76</f>
        <v>89</v>
      </c>
      <c r="O76" s="68">
        <f t="shared" si="110"/>
        <v>131</v>
      </c>
      <c r="P76" s="83">
        <v>46020</v>
      </c>
      <c r="Q76" s="29" t="s">
        <v>80</v>
      </c>
    </row>
    <row r="77" spans="1:17" ht="14.4">
      <c r="A77" s="51" t="s">
        <v>58</v>
      </c>
      <c r="B77" s="152"/>
      <c r="C77" s="66">
        <v>24</v>
      </c>
      <c r="D77" s="57">
        <v>23</v>
      </c>
      <c r="E77" s="61">
        <f t="shared" si="87"/>
        <v>1.0434782608695652</v>
      </c>
      <c r="F77" s="39">
        <v>11</v>
      </c>
      <c r="G77" s="57">
        <v>21</v>
      </c>
      <c r="H77" s="61">
        <f t="shared" si="88"/>
        <v>0.52380952380952384</v>
      </c>
      <c r="I77" s="39"/>
      <c r="J77" s="39">
        <v>7</v>
      </c>
      <c r="K77" s="57">
        <v>15</v>
      </c>
      <c r="L77" s="61">
        <f t="shared" si="89"/>
        <v>0.46666666666666667</v>
      </c>
      <c r="M77" s="65">
        <f t="shared" si="108"/>
        <v>0</v>
      </c>
      <c r="N77" s="66">
        <f t="shared" ref="N77:O77" si="111">J77+F77+C77</f>
        <v>42</v>
      </c>
      <c r="O77" s="68">
        <f t="shared" si="111"/>
        <v>59</v>
      </c>
      <c r="P77" s="83">
        <v>46020</v>
      </c>
      <c r="Q77" s="29" t="s">
        <v>80</v>
      </c>
    </row>
    <row r="78" spans="1:17" ht="14.4">
      <c r="A78" s="89" t="s">
        <v>59</v>
      </c>
      <c r="B78" s="78">
        <f t="shared" ref="B78:D78" si="112">SUM(B75:B77)</f>
        <v>0</v>
      </c>
      <c r="C78" s="78">
        <f t="shared" si="112"/>
        <v>96</v>
      </c>
      <c r="D78" s="78">
        <f t="shared" si="112"/>
        <v>112</v>
      </c>
      <c r="E78" s="61">
        <f t="shared" si="87"/>
        <v>0.8571428571428571</v>
      </c>
      <c r="F78" s="78">
        <f t="shared" ref="F78:G78" si="113">SUM(F75:F77)</f>
        <v>63</v>
      </c>
      <c r="G78" s="78">
        <f t="shared" si="113"/>
        <v>103</v>
      </c>
      <c r="H78" s="61">
        <f t="shared" si="88"/>
        <v>0.61165048543689315</v>
      </c>
      <c r="I78" s="141"/>
      <c r="J78" s="78">
        <f t="shared" ref="J78:K78" si="114">SUM(J75:J77)</f>
        <v>53</v>
      </c>
      <c r="K78" s="78">
        <f t="shared" si="114"/>
        <v>73</v>
      </c>
      <c r="L78" s="61">
        <f t="shared" si="89"/>
        <v>0.72602739726027399</v>
      </c>
      <c r="M78" s="78">
        <f t="shared" ref="M78:O78" si="115">SUM(M75:M77)</f>
        <v>0</v>
      </c>
      <c r="N78" s="78">
        <f t="shared" si="115"/>
        <v>212</v>
      </c>
      <c r="O78" s="92">
        <f t="shared" si="115"/>
        <v>288</v>
      </c>
      <c r="Q78" s="29"/>
    </row>
    <row r="79" spans="1:17" ht="14.4">
      <c r="A79" s="89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104"/>
      <c r="Q79" s="29"/>
    </row>
    <row r="80" spans="1:17" ht="13.2">
      <c r="A80" s="51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104"/>
    </row>
    <row r="81" spans="1:15" ht="13.2">
      <c r="A81" s="108" t="s">
        <v>14</v>
      </c>
      <c r="B81" s="110">
        <f t="shared" ref="B81:D81" si="116">B78+B74+B69</f>
        <v>0</v>
      </c>
      <c r="C81" s="110">
        <f t="shared" si="116"/>
        <v>533</v>
      </c>
      <c r="D81" s="110">
        <f t="shared" si="116"/>
        <v>558</v>
      </c>
      <c r="E81" s="112">
        <f>C81/D81</f>
        <v>0.95519713261648742</v>
      </c>
      <c r="F81" s="110">
        <f t="shared" ref="F81:G81" si="117">F78+F74+F69</f>
        <v>397</v>
      </c>
      <c r="G81" s="110">
        <f t="shared" si="117"/>
        <v>514</v>
      </c>
      <c r="H81" s="112">
        <f>F81/G81</f>
        <v>0.77237354085603116</v>
      </c>
      <c r="I81" s="153"/>
      <c r="J81" s="110">
        <f t="shared" ref="J81:K81" si="118">J78+J74+J69</f>
        <v>301</v>
      </c>
      <c r="K81" s="110">
        <f t="shared" si="118"/>
        <v>361</v>
      </c>
      <c r="L81" s="112">
        <f>J81/K81</f>
        <v>0.83379501385041555</v>
      </c>
      <c r="M81" s="110">
        <f t="shared" ref="M81:O81" si="119">M78+M74+M69</f>
        <v>0</v>
      </c>
      <c r="N81" s="110">
        <f t="shared" si="119"/>
        <v>1231</v>
      </c>
      <c r="O81" s="115">
        <f t="shared" si="119"/>
        <v>1433</v>
      </c>
    </row>
  </sheetData>
  <mergeCells count="16">
    <mergeCell ref="A25:G25"/>
    <mergeCell ref="L26:P26"/>
    <mergeCell ref="F63:H63"/>
    <mergeCell ref="J63:L63"/>
    <mergeCell ref="A49:U49"/>
    <mergeCell ref="C50:F50"/>
    <mergeCell ref="G50:K50"/>
    <mergeCell ref="L50:O50"/>
    <mergeCell ref="R50:U50"/>
    <mergeCell ref="A62:O62"/>
    <mergeCell ref="B63:D63"/>
    <mergeCell ref="A3:Y3"/>
    <mergeCell ref="C4:F4"/>
    <mergeCell ref="H4:L4"/>
    <mergeCell ref="N4:S4"/>
    <mergeCell ref="V4:Y4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BB81"/>
  <sheetViews>
    <sheetView workbookViewId="0"/>
  </sheetViews>
  <sheetFormatPr defaultColWidth="12.6640625" defaultRowHeight="15.75" customHeight="1"/>
  <cols>
    <col min="2" max="2" width="7.109375" customWidth="1"/>
    <col min="3" max="3" width="9" customWidth="1"/>
    <col min="4" max="4" width="8.88671875" customWidth="1"/>
    <col min="5" max="5" width="7.109375" customWidth="1"/>
    <col min="6" max="8" width="8.109375" customWidth="1"/>
    <col min="9" max="10" width="11.33203125" customWidth="1"/>
    <col min="11" max="11" width="11" customWidth="1"/>
    <col min="12" max="13" width="8.44140625" customWidth="1"/>
    <col min="14" max="14" width="9.33203125" customWidth="1"/>
    <col min="15" max="17" width="9.77734375" customWidth="1"/>
    <col min="18" max="18" width="9.21875" customWidth="1"/>
    <col min="19" max="19" width="9.88671875" customWidth="1"/>
    <col min="20" max="20" width="9.33203125" customWidth="1"/>
    <col min="21" max="21" width="7.109375" customWidth="1"/>
    <col min="22" max="22" width="10.109375" customWidth="1"/>
    <col min="23" max="23" width="9" customWidth="1"/>
    <col min="24" max="24" width="11.33203125" customWidth="1"/>
    <col min="25" max="25" width="5.88671875" customWidth="1"/>
    <col min="26" max="26" width="7.109375" customWidth="1"/>
    <col min="27" max="27" width="9.88671875" customWidth="1"/>
    <col min="28" max="28" width="9.88671875" hidden="1" customWidth="1"/>
    <col min="29" max="29" width="7.77734375" hidden="1" customWidth="1"/>
    <col min="34" max="36" width="8.77734375" customWidth="1"/>
    <col min="37" max="37" width="10.44140625" customWidth="1"/>
    <col min="38" max="52" width="8.77734375" customWidth="1"/>
  </cols>
  <sheetData>
    <row r="1" spans="1:54">
      <c r="A1" s="1" t="s">
        <v>0</v>
      </c>
      <c r="AE1" s="3"/>
    </row>
    <row r="3" spans="1:54" ht="15.75" customHeight="1">
      <c r="A3" s="291" t="s">
        <v>1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8"/>
      <c r="Z3" s="7"/>
      <c r="AA3" s="8"/>
      <c r="AB3" s="8"/>
      <c r="AC3" s="11"/>
      <c r="AD3" s="13"/>
      <c r="AE3" s="15" t="s">
        <v>2</v>
      </c>
      <c r="AF3" s="120" t="s">
        <v>3</v>
      </c>
    </row>
    <row r="4" spans="1:54" ht="15.75" customHeight="1">
      <c r="A4" s="19"/>
      <c r="B4" s="130"/>
      <c r="C4" s="277" t="s">
        <v>20</v>
      </c>
      <c r="D4" s="278"/>
      <c r="E4" s="278"/>
      <c r="F4" s="278"/>
      <c r="G4" s="128"/>
      <c r="H4" s="277" t="s">
        <v>25</v>
      </c>
      <c r="I4" s="278"/>
      <c r="J4" s="278"/>
      <c r="K4" s="278"/>
      <c r="L4" s="278"/>
      <c r="M4" s="128"/>
      <c r="N4" s="277" t="s">
        <v>30</v>
      </c>
      <c r="O4" s="278"/>
      <c r="P4" s="278"/>
      <c r="Q4" s="278"/>
      <c r="R4" s="278"/>
      <c r="S4" s="278"/>
      <c r="T4" s="29"/>
      <c r="U4" s="130"/>
      <c r="V4" s="277" t="s">
        <v>14</v>
      </c>
      <c r="W4" s="278"/>
      <c r="X4" s="278"/>
      <c r="Y4" s="279"/>
      <c r="Z4" s="25"/>
      <c r="AA4" s="25"/>
      <c r="AB4" s="25"/>
      <c r="AD4" s="34"/>
      <c r="AF4" s="29"/>
    </row>
    <row r="5" spans="1:54" ht="15.75" customHeight="1">
      <c r="A5" s="36"/>
      <c r="B5" s="132" t="s">
        <v>13</v>
      </c>
      <c r="C5" s="132" t="s">
        <v>26</v>
      </c>
      <c r="D5" s="132" t="s">
        <v>27</v>
      </c>
      <c r="E5" s="132" t="s">
        <v>28</v>
      </c>
      <c r="F5" s="132" t="s">
        <v>29</v>
      </c>
      <c r="G5" s="132"/>
      <c r="H5" s="132" t="s">
        <v>26</v>
      </c>
      <c r="I5" s="134" t="s">
        <v>31</v>
      </c>
      <c r="J5" s="132" t="s">
        <v>27</v>
      </c>
      <c r="K5" s="132" t="s">
        <v>28</v>
      </c>
      <c r="L5" s="132" t="s">
        <v>29</v>
      </c>
      <c r="M5" s="132"/>
      <c r="N5" s="132" t="s">
        <v>26</v>
      </c>
      <c r="O5" s="134" t="s">
        <v>31</v>
      </c>
      <c r="P5" s="132" t="s">
        <v>83</v>
      </c>
      <c r="Q5" s="132" t="s">
        <v>27</v>
      </c>
      <c r="R5" s="132" t="s">
        <v>28</v>
      </c>
      <c r="S5" s="132" t="s">
        <v>29</v>
      </c>
      <c r="T5" s="132"/>
      <c r="U5" s="132" t="s">
        <v>13</v>
      </c>
      <c r="V5" s="132" t="s">
        <v>26</v>
      </c>
      <c r="W5" s="132" t="s">
        <v>27</v>
      </c>
      <c r="X5" s="132" t="s">
        <v>28</v>
      </c>
      <c r="Y5" s="135" t="s">
        <v>29</v>
      </c>
      <c r="Z5" s="136" t="s">
        <v>32</v>
      </c>
      <c r="AA5" s="48" t="s">
        <v>33</v>
      </c>
      <c r="AB5" s="48" t="s">
        <v>34</v>
      </c>
      <c r="AC5" s="24" t="s">
        <v>15</v>
      </c>
      <c r="AD5" s="50" t="s">
        <v>35</v>
      </c>
      <c r="AF5" s="29"/>
    </row>
    <row r="6" spans="1:54" ht="15.75" customHeight="1">
      <c r="A6" s="51" t="s">
        <v>36</v>
      </c>
      <c r="B6" s="152"/>
      <c r="C6" s="39">
        <v>24</v>
      </c>
      <c r="D6" s="39"/>
      <c r="E6" s="56">
        <f t="shared" ref="E6:E9" si="0">SUM(C6:D6)</f>
        <v>24</v>
      </c>
      <c r="F6" s="57">
        <v>31</v>
      </c>
      <c r="G6" s="61">
        <f t="shared" ref="G6:G19" si="1">E6/F6</f>
        <v>0.77419354838709675</v>
      </c>
      <c r="H6" s="39">
        <v>26</v>
      </c>
      <c r="I6" s="39">
        <v>4</v>
      </c>
      <c r="J6" s="39"/>
      <c r="K6" s="56">
        <f t="shared" ref="K6:K9" si="2">SUM(H6:J6)</f>
        <v>30</v>
      </c>
      <c r="L6" s="57">
        <v>29</v>
      </c>
      <c r="M6" s="61">
        <f t="shared" ref="M6:M19" si="3">K6/L6</f>
        <v>1.0344827586206897</v>
      </c>
      <c r="N6" s="39">
        <v>21</v>
      </c>
      <c r="O6" s="39">
        <v>2</v>
      </c>
      <c r="P6" s="39"/>
      <c r="Q6" s="39"/>
      <c r="R6" s="56">
        <f t="shared" ref="R6:R9" si="4">SUM(N6:Q6)</f>
        <v>23</v>
      </c>
      <c r="S6" s="57">
        <v>30</v>
      </c>
      <c r="T6" s="61">
        <f t="shared" ref="T6:T19" si="5">R6/S6</f>
        <v>0.76666666666666672</v>
      </c>
      <c r="U6" s="65"/>
      <c r="V6" s="66">
        <f t="shared" ref="V6:V9" si="6">N6+H6+C6+O6+P6+I6</f>
        <v>77</v>
      </c>
      <c r="W6" s="66">
        <f t="shared" ref="W6:W9" si="7">Q6+J6+D6</f>
        <v>0</v>
      </c>
      <c r="X6" s="56">
        <f t="shared" ref="X6:X9" si="8">SUM(U6:W6)</f>
        <v>77</v>
      </c>
      <c r="Y6" s="68">
        <f t="shared" ref="Y6:Y9" si="9">S6+L6+F6</f>
        <v>90</v>
      </c>
      <c r="Z6" s="69">
        <f t="shared" ref="Z6:Z9" si="10">Y6-X6</f>
        <v>13</v>
      </c>
      <c r="AA6" s="37">
        <f t="shared" ref="AA6:AA19" ca="1" si="11">ROUND(Z6/$AA$26*7,0)</f>
        <v>0</v>
      </c>
      <c r="AB6" s="37">
        <f t="shared" ref="AB6:AB9" si="12">W6+V6</f>
        <v>77</v>
      </c>
      <c r="AC6" s="66">
        <f t="shared" ref="AC6:AC9" si="13">Y6</f>
        <v>90</v>
      </c>
      <c r="AD6" s="75">
        <f t="shared" ref="AD6:AD9" si="14">(V6+W6)/Y6</f>
        <v>0.85555555555555551</v>
      </c>
      <c r="AE6" s="77">
        <v>46024</v>
      </c>
      <c r="AF6" s="29" t="s">
        <v>49</v>
      </c>
      <c r="AT6" s="29"/>
      <c r="AU6" s="29"/>
      <c r="AV6" s="29"/>
      <c r="AW6" s="29"/>
      <c r="AX6" s="29"/>
      <c r="AY6" s="29"/>
      <c r="AZ6" s="29"/>
      <c r="BA6" s="29"/>
      <c r="BB6" s="29"/>
    </row>
    <row r="7" spans="1:54" ht="15.75" customHeight="1">
      <c r="A7" s="51" t="s">
        <v>40</v>
      </c>
      <c r="B7" s="152"/>
      <c r="C7" s="39">
        <v>26</v>
      </c>
      <c r="D7" s="39"/>
      <c r="E7" s="56">
        <f t="shared" si="0"/>
        <v>26</v>
      </c>
      <c r="F7" s="57">
        <v>26</v>
      </c>
      <c r="G7" s="61">
        <f t="shared" si="1"/>
        <v>1</v>
      </c>
      <c r="H7" s="39">
        <v>20</v>
      </c>
      <c r="I7" s="39">
        <v>3</v>
      </c>
      <c r="J7" s="39"/>
      <c r="K7" s="56">
        <f t="shared" si="2"/>
        <v>23</v>
      </c>
      <c r="L7" s="57">
        <v>26</v>
      </c>
      <c r="M7" s="61">
        <f t="shared" si="3"/>
        <v>0.88461538461538458</v>
      </c>
      <c r="N7" s="39">
        <v>13</v>
      </c>
      <c r="O7" s="39">
        <v>1</v>
      </c>
      <c r="P7" s="39"/>
      <c r="Q7" s="39"/>
      <c r="R7" s="56">
        <f t="shared" si="4"/>
        <v>14</v>
      </c>
      <c r="S7" s="57">
        <v>25</v>
      </c>
      <c r="T7" s="61">
        <f t="shared" si="5"/>
        <v>0.56000000000000005</v>
      </c>
      <c r="U7" s="65"/>
      <c r="V7" s="66">
        <f t="shared" si="6"/>
        <v>63</v>
      </c>
      <c r="W7" s="66">
        <f t="shared" si="7"/>
        <v>0</v>
      </c>
      <c r="X7" s="56">
        <f t="shared" si="8"/>
        <v>63</v>
      </c>
      <c r="Y7" s="68">
        <f t="shared" si="9"/>
        <v>77</v>
      </c>
      <c r="Z7" s="69">
        <f t="shared" si="10"/>
        <v>14</v>
      </c>
      <c r="AA7" s="37">
        <f t="shared" ca="1" si="11"/>
        <v>0</v>
      </c>
      <c r="AB7" s="37">
        <f t="shared" si="12"/>
        <v>63</v>
      </c>
      <c r="AC7" s="66">
        <f t="shared" si="13"/>
        <v>77</v>
      </c>
      <c r="AD7" s="75">
        <f t="shared" si="14"/>
        <v>0.81818181818181823</v>
      </c>
      <c r="AE7" s="77">
        <v>46024</v>
      </c>
      <c r="AF7" s="29" t="s">
        <v>49</v>
      </c>
      <c r="AT7" s="29"/>
      <c r="AU7" s="29"/>
      <c r="AV7" s="29"/>
      <c r="AW7" s="29"/>
      <c r="AX7" s="29"/>
      <c r="AY7" s="29"/>
      <c r="AZ7" s="29"/>
      <c r="BA7" s="29"/>
      <c r="BB7" s="29"/>
    </row>
    <row r="8" spans="1:54" ht="15.75" customHeight="1">
      <c r="A8" s="51" t="s">
        <v>41</v>
      </c>
      <c r="B8" s="152"/>
      <c r="C8" s="39">
        <v>24</v>
      </c>
      <c r="D8" s="66">
        <v>2</v>
      </c>
      <c r="E8" s="56">
        <f t="shared" si="0"/>
        <v>26</v>
      </c>
      <c r="F8" s="57">
        <v>35</v>
      </c>
      <c r="G8" s="61">
        <f t="shared" si="1"/>
        <v>0.74285714285714288</v>
      </c>
      <c r="H8" s="39">
        <v>14</v>
      </c>
      <c r="I8" s="39">
        <v>3</v>
      </c>
      <c r="J8" s="39"/>
      <c r="K8" s="56">
        <f t="shared" si="2"/>
        <v>17</v>
      </c>
      <c r="L8" s="57">
        <v>31</v>
      </c>
      <c r="M8" s="61">
        <f t="shared" si="3"/>
        <v>0.54838709677419351</v>
      </c>
      <c r="N8" s="39">
        <v>18</v>
      </c>
      <c r="O8" s="39">
        <v>1</v>
      </c>
      <c r="P8" s="39"/>
      <c r="Q8" s="39"/>
      <c r="R8" s="56">
        <f t="shared" si="4"/>
        <v>19</v>
      </c>
      <c r="S8" s="57">
        <v>30</v>
      </c>
      <c r="T8" s="61">
        <f t="shared" si="5"/>
        <v>0.6333333333333333</v>
      </c>
      <c r="U8" s="65"/>
      <c r="V8" s="66">
        <f t="shared" si="6"/>
        <v>60</v>
      </c>
      <c r="W8" s="66">
        <f t="shared" si="7"/>
        <v>2</v>
      </c>
      <c r="X8" s="56">
        <f t="shared" si="8"/>
        <v>62</v>
      </c>
      <c r="Y8" s="68">
        <f t="shared" si="9"/>
        <v>96</v>
      </c>
      <c r="Z8" s="69">
        <f t="shared" si="10"/>
        <v>34</v>
      </c>
      <c r="AA8" s="37">
        <f t="shared" ca="1" si="11"/>
        <v>-1</v>
      </c>
      <c r="AB8" s="37">
        <f t="shared" si="12"/>
        <v>62</v>
      </c>
      <c r="AC8" s="66">
        <f t="shared" si="13"/>
        <v>96</v>
      </c>
      <c r="AD8" s="75">
        <f t="shared" si="14"/>
        <v>0.64583333333333337</v>
      </c>
      <c r="AE8" s="77">
        <v>46024</v>
      </c>
      <c r="AF8" s="29" t="s">
        <v>49</v>
      </c>
      <c r="AT8" s="29"/>
      <c r="AU8" s="29"/>
      <c r="AV8" s="29"/>
      <c r="AW8" s="29"/>
      <c r="AX8" s="29"/>
      <c r="AY8" s="29"/>
      <c r="AZ8" s="29"/>
      <c r="BA8" s="29"/>
      <c r="BB8" s="29"/>
    </row>
    <row r="9" spans="1:54" ht="15.75" customHeight="1">
      <c r="A9" s="51" t="s">
        <v>48</v>
      </c>
      <c r="B9" s="152"/>
      <c r="C9" s="70">
        <v>49</v>
      </c>
      <c r="D9" s="86">
        <v>6</v>
      </c>
      <c r="E9" s="56">
        <f t="shared" si="0"/>
        <v>55</v>
      </c>
      <c r="F9" s="57">
        <v>40</v>
      </c>
      <c r="G9" s="61">
        <f t="shared" si="1"/>
        <v>1.375</v>
      </c>
      <c r="H9" s="39">
        <v>37</v>
      </c>
      <c r="I9" s="39">
        <v>6</v>
      </c>
      <c r="J9" s="39"/>
      <c r="K9" s="56">
        <f t="shared" si="2"/>
        <v>43</v>
      </c>
      <c r="L9" s="57">
        <v>38</v>
      </c>
      <c r="M9" s="61">
        <f t="shared" si="3"/>
        <v>1.131578947368421</v>
      </c>
      <c r="N9" s="39">
        <v>36</v>
      </c>
      <c r="O9" s="39">
        <v>3</v>
      </c>
      <c r="P9" s="39"/>
      <c r="Q9" s="39"/>
      <c r="R9" s="56">
        <f t="shared" si="4"/>
        <v>39</v>
      </c>
      <c r="S9" s="57">
        <v>39</v>
      </c>
      <c r="T9" s="61">
        <f t="shared" si="5"/>
        <v>1</v>
      </c>
      <c r="U9" s="65"/>
      <c r="V9" s="66">
        <f t="shared" si="6"/>
        <v>131</v>
      </c>
      <c r="W9" s="66">
        <f t="shared" si="7"/>
        <v>6</v>
      </c>
      <c r="X9" s="56">
        <f t="shared" si="8"/>
        <v>137</v>
      </c>
      <c r="Y9" s="68">
        <f t="shared" si="9"/>
        <v>117</v>
      </c>
      <c r="Z9" s="69">
        <f t="shared" si="10"/>
        <v>-20</v>
      </c>
      <c r="AA9" s="37">
        <f t="shared" ca="1" si="11"/>
        <v>0</v>
      </c>
      <c r="AB9" s="37">
        <f t="shared" si="12"/>
        <v>137</v>
      </c>
      <c r="AC9" s="66">
        <f t="shared" si="13"/>
        <v>117</v>
      </c>
      <c r="AD9" s="75">
        <f t="shared" si="14"/>
        <v>1.170940170940171</v>
      </c>
      <c r="AE9" s="77">
        <v>46024</v>
      </c>
      <c r="AF9" s="29" t="s">
        <v>49</v>
      </c>
      <c r="AT9" s="29"/>
      <c r="AU9" s="29"/>
      <c r="AV9" s="29"/>
      <c r="AW9" s="29"/>
      <c r="AX9" s="29"/>
      <c r="AY9" s="29"/>
      <c r="AZ9" s="29"/>
      <c r="BA9" s="29"/>
      <c r="BB9" s="29"/>
    </row>
    <row r="10" spans="1:54" ht="15.75" customHeight="1">
      <c r="A10" s="89" t="s">
        <v>44</v>
      </c>
      <c r="B10" s="78">
        <f t="shared" ref="B10:F10" si="15">SUM(B6:B9)</f>
        <v>0</v>
      </c>
      <c r="C10" s="78">
        <f t="shared" si="15"/>
        <v>123</v>
      </c>
      <c r="D10" s="78">
        <f t="shared" si="15"/>
        <v>8</v>
      </c>
      <c r="E10" s="78">
        <f t="shared" si="15"/>
        <v>131</v>
      </c>
      <c r="F10" s="78">
        <f t="shared" si="15"/>
        <v>132</v>
      </c>
      <c r="G10" s="90">
        <f t="shared" si="1"/>
        <v>0.99242424242424243</v>
      </c>
      <c r="H10" s="78">
        <f t="shared" ref="H10:L10" si="16">SUM(H6:H9)</f>
        <v>97</v>
      </c>
      <c r="I10" s="78">
        <f t="shared" si="16"/>
        <v>16</v>
      </c>
      <c r="J10" s="78">
        <f t="shared" si="16"/>
        <v>0</v>
      </c>
      <c r="K10" s="78">
        <f t="shared" si="16"/>
        <v>113</v>
      </c>
      <c r="L10" s="78">
        <f t="shared" si="16"/>
        <v>124</v>
      </c>
      <c r="M10" s="90">
        <f t="shared" si="3"/>
        <v>0.91129032258064513</v>
      </c>
      <c r="N10" s="78">
        <f t="shared" ref="N10:S10" si="17">SUM(N6:N9)</f>
        <v>88</v>
      </c>
      <c r="O10" s="78">
        <f t="shared" si="17"/>
        <v>7</v>
      </c>
      <c r="P10" s="78">
        <f t="shared" si="17"/>
        <v>0</v>
      </c>
      <c r="Q10" s="78">
        <f t="shared" si="17"/>
        <v>0</v>
      </c>
      <c r="R10" s="78">
        <f t="shared" si="17"/>
        <v>95</v>
      </c>
      <c r="S10" s="78">
        <f t="shared" si="17"/>
        <v>124</v>
      </c>
      <c r="T10" s="90">
        <f t="shared" si="5"/>
        <v>0.7661290322580645</v>
      </c>
      <c r="U10" s="78">
        <f t="shared" ref="U10:Z10" si="18">SUM(U6:U9)</f>
        <v>0</v>
      </c>
      <c r="V10" s="78">
        <f t="shared" si="18"/>
        <v>331</v>
      </c>
      <c r="W10" s="78">
        <f t="shared" si="18"/>
        <v>8</v>
      </c>
      <c r="X10" s="78">
        <f t="shared" si="18"/>
        <v>339</v>
      </c>
      <c r="Y10" s="92">
        <f t="shared" si="18"/>
        <v>380</v>
      </c>
      <c r="Z10" s="93">
        <f t="shared" si="18"/>
        <v>41</v>
      </c>
      <c r="AA10" s="93">
        <f t="shared" ca="1" si="11"/>
        <v>-1</v>
      </c>
      <c r="AB10" s="93">
        <f t="shared" ref="AB10:AC10" si="19">SUM(AB6:AB9)</f>
        <v>339</v>
      </c>
      <c r="AC10" s="78">
        <f t="shared" si="19"/>
        <v>380</v>
      </c>
      <c r="AD10" s="94">
        <f>AB10/AC10</f>
        <v>0.89210526315789473</v>
      </c>
      <c r="AF10" s="29"/>
      <c r="AT10" s="29"/>
      <c r="AU10" s="29"/>
      <c r="AV10" s="29"/>
      <c r="AW10" s="29"/>
      <c r="AX10" s="29"/>
      <c r="AY10" s="29"/>
      <c r="AZ10" s="29"/>
      <c r="BA10" s="29"/>
      <c r="BB10" s="29"/>
    </row>
    <row r="11" spans="1:54" ht="15.75" customHeight="1">
      <c r="A11" s="51" t="s">
        <v>52</v>
      </c>
      <c r="B11" s="152"/>
      <c r="C11" s="66">
        <v>23</v>
      </c>
      <c r="D11" s="66"/>
      <c r="E11" s="56">
        <f t="shared" ref="E11:E14" si="20">SUM(C11:D11)</f>
        <v>23</v>
      </c>
      <c r="F11" s="57">
        <v>30</v>
      </c>
      <c r="G11" s="61">
        <f t="shared" si="1"/>
        <v>0.76666666666666672</v>
      </c>
      <c r="H11" s="39">
        <v>18</v>
      </c>
      <c r="I11" s="39">
        <v>4</v>
      </c>
      <c r="J11" s="39"/>
      <c r="K11" s="56">
        <f t="shared" ref="K11:K14" si="21">SUM(H11:J11)</f>
        <v>22</v>
      </c>
      <c r="L11" s="57">
        <v>24</v>
      </c>
      <c r="M11" s="61">
        <f t="shared" si="3"/>
        <v>0.91666666666666663</v>
      </c>
      <c r="N11" s="39">
        <v>17</v>
      </c>
      <c r="O11" s="39">
        <v>1</v>
      </c>
      <c r="P11" s="39"/>
      <c r="Q11" s="39"/>
      <c r="R11" s="56">
        <f t="shared" ref="R11:R14" si="22">SUM(N11:Q11)</f>
        <v>18</v>
      </c>
      <c r="S11" s="57">
        <v>22</v>
      </c>
      <c r="T11" s="61">
        <f t="shared" si="5"/>
        <v>0.81818181818181823</v>
      </c>
      <c r="U11" s="65"/>
      <c r="V11" s="66">
        <f t="shared" ref="V11:V14" si="23">N11+H11+C11+O11+P11+I11</f>
        <v>63</v>
      </c>
      <c r="W11" s="66">
        <f t="shared" ref="W11:W14" si="24">Q11+J11+D11</f>
        <v>0</v>
      </c>
      <c r="X11" s="56">
        <f t="shared" ref="X11:X14" si="25">SUM(U11:W11)</f>
        <v>63</v>
      </c>
      <c r="Y11" s="68">
        <f t="shared" ref="Y11:Y14" si="26">S11+L11+F11</f>
        <v>76</v>
      </c>
      <c r="Z11" s="69">
        <f t="shared" ref="Z11:Z14" si="27">Y11-X11</f>
        <v>13</v>
      </c>
      <c r="AA11" s="37">
        <f t="shared" ca="1" si="11"/>
        <v>0</v>
      </c>
      <c r="AB11" s="37">
        <f t="shared" ref="AB11:AB14" si="28">W11+V11</f>
        <v>63</v>
      </c>
      <c r="AC11" s="66">
        <f t="shared" ref="AC11:AC14" si="29">Y11</f>
        <v>76</v>
      </c>
      <c r="AD11" s="75">
        <f t="shared" ref="AD11:AD14" si="30">(V11+W11)/Y11</f>
        <v>0.82894736842105265</v>
      </c>
      <c r="AE11" s="77">
        <v>46022</v>
      </c>
      <c r="AF11" s="29" t="s">
        <v>56</v>
      </c>
      <c r="AT11" s="29"/>
      <c r="AU11" s="29"/>
      <c r="AV11" s="29"/>
      <c r="AW11" s="29"/>
      <c r="AX11" s="29"/>
      <c r="AY11" s="29"/>
      <c r="AZ11" s="29"/>
      <c r="BA11" s="29"/>
      <c r="BB11" s="29"/>
    </row>
    <row r="12" spans="1:54" ht="15.75" customHeight="1">
      <c r="A12" s="51" t="s">
        <v>51</v>
      </c>
      <c r="B12" s="152"/>
      <c r="C12" s="66">
        <v>18</v>
      </c>
      <c r="D12" s="66">
        <v>2</v>
      </c>
      <c r="E12" s="56">
        <f t="shared" si="20"/>
        <v>20</v>
      </c>
      <c r="F12" s="57">
        <v>29</v>
      </c>
      <c r="G12" s="61">
        <f t="shared" si="1"/>
        <v>0.68965517241379315</v>
      </c>
      <c r="H12" s="39">
        <v>41</v>
      </c>
      <c r="I12" s="39">
        <v>4</v>
      </c>
      <c r="J12" s="39"/>
      <c r="K12" s="56">
        <f t="shared" si="21"/>
        <v>45</v>
      </c>
      <c r="L12" s="57">
        <v>30</v>
      </c>
      <c r="M12" s="61">
        <f t="shared" si="3"/>
        <v>1.5</v>
      </c>
      <c r="N12" s="39">
        <v>16</v>
      </c>
      <c r="O12" s="39">
        <v>3</v>
      </c>
      <c r="P12" s="39"/>
      <c r="Q12" s="39"/>
      <c r="R12" s="56">
        <f t="shared" si="22"/>
        <v>19</v>
      </c>
      <c r="S12" s="57">
        <v>28</v>
      </c>
      <c r="T12" s="61">
        <f t="shared" si="5"/>
        <v>0.6785714285714286</v>
      </c>
      <c r="U12" s="65"/>
      <c r="V12" s="66">
        <f t="shared" si="23"/>
        <v>82</v>
      </c>
      <c r="W12" s="66">
        <f t="shared" si="24"/>
        <v>2</v>
      </c>
      <c r="X12" s="56">
        <f t="shared" si="25"/>
        <v>84</v>
      </c>
      <c r="Y12" s="68">
        <f t="shared" si="26"/>
        <v>87</v>
      </c>
      <c r="Z12" s="69">
        <f t="shared" si="27"/>
        <v>3</v>
      </c>
      <c r="AA12" s="37">
        <f t="shared" ca="1" si="11"/>
        <v>0</v>
      </c>
      <c r="AB12" s="37">
        <f t="shared" si="28"/>
        <v>84</v>
      </c>
      <c r="AC12" s="66">
        <f t="shared" si="29"/>
        <v>87</v>
      </c>
      <c r="AD12" s="75">
        <f t="shared" si="30"/>
        <v>0.96551724137931039</v>
      </c>
      <c r="AE12" s="77">
        <v>46022</v>
      </c>
      <c r="AF12" s="29" t="s">
        <v>56</v>
      </c>
      <c r="AT12" s="29"/>
      <c r="AU12" s="29"/>
      <c r="AV12" s="29"/>
      <c r="AW12" s="29"/>
      <c r="AX12" s="29"/>
      <c r="AY12" s="29"/>
      <c r="AZ12" s="29"/>
      <c r="BA12" s="29"/>
      <c r="BB12" s="29"/>
    </row>
    <row r="13" spans="1:54" ht="15.75" customHeight="1">
      <c r="A13" s="51" t="s">
        <v>46</v>
      </c>
      <c r="B13" s="152"/>
      <c r="C13" s="66">
        <v>16</v>
      </c>
      <c r="D13" s="66"/>
      <c r="E13" s="56">
        <f t="shared" si="20"/>
        <v>16</v>
      </c>
      <c r="F13" s="57">
        <v>34</v>
      </c>
      <c r="G13" s="61">
        <f t="shared" si="1"/>
        <v>0.47058823529411764</v>
      </c>
      <c r="H13" s="39">
        <v>27</v>
      </c>
      <c r="I13" s="39">
        <v>4</v>
      </c>
      <c r="J13" s="39"/>
      <c r="K13" s="56">
        <f t="shared" si="21"/>
        <v>31</v>
      </c>
      <c r="L13" s="57">
        <v>29</v>
      </c>
      <c r="M13" s="61">
        <f t="shared" si="3"/>
        <v>1.0689655172413792</v>
      </c>
      <c r="N13" s="39">
        <v>16</v>
      </c>
      <c r="O13" s="39">
        <v>1</v>
      </c>
      <c r="P13" s="39"/>
      <c r="Q13" s="39"/>
      <c r="R13" s="56">
        <f t="shared" si="22"/>
        <v>17</v>
      </c>
      <c r="S13" s="57">
        <v>27</v>
      </c>
      <c r="T13" s="61">
        <f t="shared" si="5"/>
        <v>0.62962962962962965</v>
      </c>
      <c r="U13" s="65"/>
      <c r="V13" s="66">
        <f t="shared" si="23"/>
        <v>64</v>
      </c>
      <c r="W13" s="66">
        <f t="shared" si="24"/>
        <v>0</v>
      </c>
      <c r="X13" s="56">
        <f t="shared" si="25"/>
        <v>64</v>
      </c>
      <c r="Y13" s="68">
        <f t="shared" si="26"/>
        <v>90</v>
      </c>
      <c r="Z13" s="69">
        <f t="shared" si="27"/>
        <v>26</v>
      </c>
      <c r="AA13" s="37">
        <f t="shared" ca="1" si="11"/>
        <v>-1</v>
      </c>
      <c r="AB13" s="37">
        <f t="shared" si="28"/>
        <v>64</v>
      </c>
      <c r="AC13" s="66">
        <f t="shared" si="29"/>
        <v>90</v>
      </c>
      <c r="AD13" s="75">
        <f t="shared" si="30"/>
        <v>0.71111111111111114</v>
      </c>
      <c r="AE13" s="77">
        <v>46022</v>
      </c>
      <c r="AF13" s="29" t="s">
        <v>56</v>
      </c>
      <c r="AT13" s="29"/>
      <c r="AU13" s="29"/>
      <c r="AV13" s="29"/>
      <c r="AW13" s="29"/>
      <c r="AX13" s="29"/>
      <c r="AY13" s="29"/>
      <c r="AZ13" s="29"/>
      <c r="BA13" s="29"/>
      <c r="BB13" s="29"/>
    </row>
    <row r="14" spans="1:54" ht="15.75" customHeight="1">
      <c r="A14" s="51" t="s">
        <v>53</v>
      </c>
      <c r="B14" s="152"/>
      <c r="C14" s="66">
        <v>40</v>
      </c>
      <c r="D14" s="66"/>
      <c r="E14" s="56">
        <f t="shared" si="20"/>
        <v>40</v>
      </c>
      <c r="F14" s="57">
        <v>43</v>
      </c>
      <c r="G14" s="61">
        <f t="shared" si="1"/>
        <v>0.93023255813953487</v>
      </c>
      <c r="H14" s="39">
        <v>36</v>
      </c>
      <c r="I14" s="39">
        <v>4</v>
      </c>
      <c r="J14" s="39"/>
      <c r="K14" s="56">
        <f t="shared" si="21"/>
        <v>40</v>
      </c>
      <c r="L14" s="57">
        <v>43</v>
      </c>
      <c r="M14" s="61">
        <f t="shared" si="3"/>
        <v>0.93023255813953487</v>
      </c>
      <c r="N14" s="39">
        <v>32</v>
      </c>
      <c r="O14" s="39">
        <v>2</v>
      </c>
      <c r="P14" s="39"/>
      <c r="Q14" s="39"/>
      <c r="R14" s="56">
        <f t="shared" si="22"/>
        <v>34</v>
      </c>
      <c r="S14" s="57">
        <v>42</v>
      </c>
      <c r="T14" s="61">
        <f t="shared" si="5"/>
        <v>0.80952380952380953</v>
      </c>
      <c r="U14" s="65"/>
      <c r="V14" s="66">
        <f t="shared" si="23"/>
        <v>114</v>
      </c>
      <c r="W14" s="66">
        <f t="shared" si="24"/>
        <v>0</v>
      </c>
      <c r="X14" s="56">
        <f t="shared" si="25"/>
        <v>114</v>
      </c>
      <c r="Y14" s="68">
        <f t="shared" si="26"/>
        <v>128</v>
      </c>
      <c r="Z14" s="69">
        <f t="shared" si="27"/>
        <v>14</v>
      </c>
      <c r="AA14" s="37">
        <f t="shared" ca="1" si="11"/>
        <v>0</v>
      </c>
      <c r="AB14" s="37">
        <f t="shared" si="28"/>
        <v>114</v>
      </c>
      <c r="AC14" s="66">
        <f t="shared" si="29"/>
        <v>128</v>
      </c>
      <c r="AD14" s="75">
        <f t="shared" si="30"/>
        <v>0.890625</v>
      </c>
      <c r="AE14" s="77">
        <v>46022</v>
      </c>
      <c r="AF14" s="29" t="s">
        <v>56</v>
      </c>
      <c r="AT14" s="29"/>
      <c r="AU14" s="29"/>
      <c r="AV14" s="29"/>
      <c r="AW14" s="29"/>
      <c r="AX14" s="29"/>
      <c r="AY14" s="29"/>
      <c r="AZ14" s="29"/>
      <c r="BA14" s="29"/>
      <c r="BB14" s="29"/>
    </row>
    <row r="15" spans="1:54" ht="15.75" customHeight="1">
      <c r="A15" s="89" t="s">
        <v>54</v>
      </c>
      <c r="B15" s="78">
        <f t="shared" ref="B15:F15" si="31">SUM(B11:B14)</f>
        <v>0</v>
      </c>
      <c r="C15" s="78">
        <f t="shared" si="31"/>
        <v>97</v>
      </c>
      <c r="D15" s="78">
        <f t="shared" si="31"/>
        <v>2</v>
      </c>
      <c r="E15" s="78">
        <f t="shared" si="31"/>
        <v>99</v>
      </c>
      <c r="F15" s="78">
        <f t="shared" si="31"/>
        <v>136</v>
      </c>
      <c r="G15" s="90">
        <f t="shared" si="1"/>
        <v>0.7279411764705882</v>
      </c>
      <c r="H15" s="78">
        <f t="shared" ref="H15:L15" si="32">SUM(H11:H14)</f>
        <v>122</v>
      </c>
      <c r="I15" s="78">
        <f t="shared" si="32"/>
        <v>16</v>
      </c>
      <c r="J15" s="78">
        <f t="shared" si="32"/>
        <v>0</v>
      </c>
      <c r="K15" s="78">
        <f t="shared" si="32"/>
        <v>138</v>
      </c>
      <c r="L15" s="78">
        <f t="shared" si="32"/>
        <v>126</v>
      </c>
      <c r="M15" s="90">
        <f t="shared" si="3"/>
        <v>1.0952380952380953</v>
      </c>
      <c r="N15" s="78">
        <f t="shared" ref="N15:S15" si="33">SUM(N11:N14)</f>
        <v>81</v>
      </c>
      <c r="O15" s="78">
        <f t="shared" si="33"/>
        <v>7</v>
      </c>
      <c r="P15" s="78">
        <f t="shared" si="33"/>
        <v>0</v>
      </c>
      <c r="Q15" s="78">
        <f t="shared" si="33"/>
        <v>0</v>
      </c>
      <c r="R15" s="78">
        <f t="shared" si="33"/>
        <v>88</v>
      </c>
      <c r="S15" s="78">
        <f t="shared" si="33"/>
        <v>119</v>
      </c>
      <c r="T15" s="90">
        <f t="shared" si="5"/>
        <v>0.73949579831932777</v>
      </c>
      <c r="U15" s="78">
        <f t="shared" ref="U15:Z15" si="34">SUM(U11:U14)</f>
        <v>0</v>
      </c>
      <c r="V15" s="78">
        <f t="shared" si="34"/>
        <v>323</v>
      </c>
      <c r="W15" s="78">
        <f t="shared" si="34"/>
        <v>2</v>
      </c>
      <c r="X15" s="78">
        <f t="shared" si="34"/>
        <v>325</v>
      </c>
      <c r="Y15" s="92">
        <f t="shared" si="34"/>
        <v>381</v>
      </c>
      <c r="Z15" s="93">
        <f t="shared" si="34"/>
        <v>56</v>
      </c>
      <c r="AA15" s="93">
        <f t="shared" ca="1" si="11"/>
        <v>-1</v>
      </c>
      <c r="AB15" s="93">
        <f t="shared" ref="AB15:AC15" si="35">SUM(AB11:AB14)</f>
        <v>325</v>
      </c>
      <c r="AC15" s="78">
        <f t="shared" si="35"/>
        <v>381</v>
      </c>
      <c r="AD15" s="94">
        <f>AB15/AC15</f>
        <v>0.85301837270341208</v>
      </c>
      <c r="AF15" s="29"/>
      <c r="AT15" s="29"/>
      <c r="AU15" s="29"/>
      <c r="AV15" s="29"/>
      <c r="AW15" s="29"/>
      <c r="AX15" s="29"/>
      <c r="AY15" s="29"/>
      <c r="AZ15" s="29"/>
      <c r="BA15" s="29"/>
      <c r="BB15" s="29"/>
    </row>
    <row r="16" spans="1:54" ht="15.75" customHeight="1">
      <c r="A16" s="51" t="s">
        <v>55</v>
      </c>
      <c r="B16" s="152"/>
      <c r="C16" s="66">
        <v>18</v>
      </c>
      <c r="D16" s="66">
        <v>5</v>
      </c>
      <c r="E16" s="56">
        <f t="shared" ref="E16:E18" si="36">SUM(C16:D16)</f>
        <v>23</v>
      </c>
      <c r="F16" s="57">
        <v>30</v>
      </c>
      <c r="G16" s="61">
        <f t="shared" si="1"/>
        <v>0.76666666666666672</v>
      </c>
      <c r="H16" s="39">
        <v>28</v>
      </c>
      <c r="I16" s="39">
        <v>3</v>
      </c>
      <c r="J16" s="39">
        <v>3</v>
      </c>
      <c r="K16" s="56">
        <f t="shared" ref="K16:K18" si="37">SUM(H16:J16)</f>
        <v>34</v>
      </c>
      <c r="L16" s="57">
        <v>33</v>
      </c>
      <c r="M16" s="61">
        <f t="shared" si="3"/>
        <v>1.0303030303030303</v>
      </c>
      <c r="N16" s="39">
        <v>14</v>
      </c>
      <c r="O16" s="39">
        <v>4</v>
      </c>
      <c r="P16" s="39"/>
      <c r="Q16" s="39">
        <v>12</v>
      </c>
      <c r="R16" s="56">
        <f t="shared" ref="R16:R18" si="38">SUM(N16:Q16)</f>
        <v>30</v>
      </c>
      <c r="S16" s="57">
        <v>30</v>
      </c>
      <c r="T16" s="61">
        <f t="shared" si="5"/>
        <v>1</v>
      </c>
      <c r="U16" s="65"/>
      <c r="V16" s="66">
        <f t="shared" ref="V16:V18" si="39">N16+H16+C16+O16+P16+I16</f>
        <v>67</v>
      </c>
      <c r="W16" s="66">
        <f t="shared" ref="W16:W18" si="40">Q16+J16+D16</f>
        <v>20</v>
      </c>
      <c r="X16" s="56">
        <f t="shared" ref="X16:X18" si="41">SUM(U16:W16)</f>
        <v>87</v>
      </c>
      <c r="Y16" s="68">
        <f t="shared" ref="Y16:Y18" si="42">S16+L16+F16</f>
        <v>93</v>
      </c>
      <c r="Z16" s="69">
        <f t="shared" ref="Z16:Z18" si="43">Y16-X16</f>
        <v>6</v>
      </c>
      <c r="AA16" s="37">
        <f t="shared" ca="1" si="11"/>
        <v>0</v>
      </c>
      <c r="AB16" s="37">
        <f t="shared" ref="AB16:AB18" si="44">W16+V16</f>
        <v>87</v>
      </c>
      <c r="AC16" s="66">
        <f t="shared" ref="AC16:AC18" si="45">Y16</f>
        <v>93</v>
      </c>
      <c r="AD16" s="75">
        <f t="shared" ref="AD16:AD18" si="46">(V16+W16)/Y16</f>
        <v>0.93548387096774188</v>
      </c>
      <c r="AE16" s="83">
        <v>46022</v>
      </c>
      <c r="AF16" s="29" t="s">
        <v>80</v>
      </c>
      <c r="AT16" s="29"/>
      <c r="AU16" s="29"/>
      <c r="AV16" s="29"/>
      <c r="AW16" s="29"/>
      <c r="AX16" s="29"/>
      <c r="AY16" s="29"/>
      <c r="AZ16" s="29"/>
      <c r="BA16" s="29"/>
      <c r="BB16" s="29"/>
    </row>
    <row r="17" spans="1:54" ht="15.75" customHeight="1">
      <c r="A17" s="51" t="s">
        <v>57</v>
      </c>
      <c r="B17" s="152"/>
      <c r="C17" s="66">
        <v>39</v>
      </c>
      <c r="D17" s="66"/>
      <c r="E17" s="56">
        <f t="shared" si="36"/>
        <v>39</v>
      </c>
      <c r="F17" s="57">
        <v>28</v>
      </c>
      <c r="G17" s="61">
        <f t="shared" si="1"/>
        <v>1.3928571428571428</v>
      </c>
      <c r="H17" s="39">
        <v>18</v>
      </c>
      <c r="I17" s="39">
        <v>2</v>
      </c>
      <c r="J17" s="39">
        <v>3</v>
      </c>
      <c r="K17" s="56">
        <f t="shared" si="37"/>
        <v>23</v>
      </c>
      <c r="L17" s="57">
        <v>27</v>
      </c>
      <c r="M17" s="61">
        <f t="shared" si="3"/>
        <v>0.85185185185185186</v>
      </c>
      <c r="N17" s="39">
        <v>21</v>
      </c>
      <c r="O17" s="39">
        <v>1</v>
      </c>
      <c r="P17" s="39"/>
      <c r="Q17" s="39">
        <v>4</v>
      </c>
      <c r="R17" s="56">
        <f t="shared" si="38"/>
        <v>26</v>
      </c>
      <c r="S17" s="57">
        <v>25</v>
      </c>
      <c r="T17" s="61">
        <f t="shared" si="5"/>
        <v>1.04</v>
      </c>
      <c r="U17" s="65"/>
      <c r="V17" s="66">
        <f t="shared" si="39"/>
        <v>81</v>
      </c>
      <c r="W17" s="66">
        <f t="shared" si="40"/>
        <v>7</v>
      </c>
      <c r="X17" s="56">
        <f t="shared" si="41"/>
        <v>88</v>
      </c>
      <c r="Y17" s="68">
        <f t="shared" si="42"/>
        <v>80</v>
      </c>
      <c r="Z17" s="69">
        <f t="shared" si="43"/>
        <v>-8</v>
      </c>
      <c r="AA17" s="37">
        <f t="shared" ca="1" si="11"/>
        <v>0</v>
      </c>
      <c r="AB17" s="37">
        <f t="shared" si="44"/>
        <v>88</v>
      </c>
      <c r="AC17" s="66">
        <f t="shared" si="45"/>
        <v>80</v>
      </c>
      <c r="AD17" s="75">
        <f t="shared" si="46"/>
        <v>1.1000000000000001</v>
      </c>
      <c r="AE17" s="83">
        <v>46022</v>
      </c>
      <c r="AF17" s="29" t="s">
        <v>80</v>
      </c>
      <c r="AT17" s="29"/>
      <c r="AU17" s="29"/>
      <c r="AV17" s="29"/>
      <c r="AW17" s="29"/>
      <c r="AX17" s="29"/>
      <c r="AY17" s="29"/>
      <c r="AZ17" s="29"/>
      <c r="BA17" s="29"/>
      <c r="BB17" s="29"/>
    </row>
    <row r="18" spans="1:54" ht="15.75" customHeight="1">
      <c r="A18" s="51" t="s">
        <v>58</v>
      </c>
      <c r="B18" s="152"/>
      <c r="C18" s="66">
        <v>12</v>
      </c>
      <c r="D18" s="66"/>
      <c r="E18" s="56">
        <f t="shared" si="36"/>
        <v>12</v>
      </c>
      <c r="F18" s="57">
        <v>13</v>
      </c>
      <c r="G18" s="61">
        <f t="shared" si="1"/>
        <v>0.92307692307692313</v>
      </c>
      <c r="H18" s="39">
        <v>9</v>
      </c>
      <c r="I18" s="39">
        <v>3</v>
      </c>
      <c r="J18" s="39"/>
      <c r="K18" s="56">
        <f t="shared" si="37"/>
        <v>12</v>
      </c>
      <c r="L18" s="57">
        <v>10</v>
      </c>
      <c r="M18" s="61">
        <f t="shared" si="3"/>
        <v>1.2</v>
      </c>
      <c r="N18" s="39">
        <v>5</v>
      </c>
      <c r="O18" s="39">
        <v>1</v>
      </c>
      <c r="P18" s="39"/>
      <c r="Q18" s="39">
        <v>1</v>
      </c>
      <c r="R18" s="56">
        <f t="shared" si="38"/>
        <v>7</v>
      </c>
      <c r="S18" s="57">
        <v>10</v>
      </c>
      <c r="T18" s="61">
        <f t="shared" si="5"/>
        <v>0.7</v>
      </c>
      <c r="U18" s="65"/>
      <c r="V18" s="66">
        <f t="shared" si="39"/>
        <v>30</v>
      </c>
      <c r="W18" s="66">
        <f t="shared" si="40"/>
        <v>1</v>
      </c>
      <c r="X18" s="56">
        <f t="shared" si="41"/>
        <v>31</v>
      </c>
      <c r="Y18" s="68">
        <f t="shared" si="42"/>
        <v>33</v>
      </c>
      <c r="Z18" s="69">
        <f t="shared" si="43"/>
        <v>2</v>
      </c>
      <c r="AA18" s="37">
        <f t="shared" ca="1" si="11"/>
        <v>0</v>
      </c>
      <c r="AB18" s="37">
        <f t="shared" si="44"/>
        <v>31</v>
      </c>
      <c r="AC18" s="66">
        <f t="shared" si="45"/>
        <v>33</v>
      </c>
      <c r="AD18" s="75">
        <f t="shared" si="46"/>
        <v>0.93939393939393945</v>
      </c>
      <c r="AE18" s="83">
        <v>46020</v>
      </c>
      <c r="AF18" s="29" t="s">
        <v>80</v>
      </c>
      <c r="AT18" s="29"/>
      <c r="AU18" s="29"/>
      <c r="AV18" s="29"/>
      <c r="AW18" s="29"/>
      <c r="AX18" s="29"/>
      <c r="AY18" s="29"/>
      <c r="AZ18" s="29"/>
      <c r="BA18" s="29"/>
      <c r="BB18" s="29"/>
    </row>
    <row r="19" spans="1:54" ht="15.75" customHeight="1">
      <c r="A19" s="89" t="s">
        <v>59</v>
      </c>
      <c r="B19" s="78">
        <f t="shared" ref="B19:F19" si="47">SUM(B16:B18)</f>
        <v>0</v>
      </c>
      <c r="C19" s="78">
        <f t="shared" si="47"/>
        <v>69</v>
      </c>
      <c r="D19" s="78">
        <f t="shared" si="47"/>
        <v>5</v>
      </c>
      <c r="E19" s="78">
        <f t="shared" si="47"/>
        <v>74</v>
      </c>
      <c r="F19" s="78">
        <f t="shared" si="47"/>
        <v>71</v>
      </c>
      <c r="G19" s="90">
        <f t="shared" si="1"/>
        <v>1.0422535211267605</v>
      </c>
      <c r="H19" s="78">
        <f t="shared" ref="H19:L19" si="48">SUM(H16:H18)</f>
        <v>55</v>
      </c>
      <c r="I19" s="78">
        <f t="shared" si="48"/>
        <v>8</v>
      </c>
      <c r="J19" s="78">
        <f t="shared" si="48"/>
        <v>6</v>
      </c>
      <c r="K19" s="78">
        <f t="shared" si="48"/>
        <v>69</v>
      </c>
      <c r="L19" s="78">
        <f t="shared" si="48"/>
        <v>70</v>
      </c>
      <c r="M19" s="90">
        <f t="shared" si="3"/>
        <v>0.98571428571428577</v>
      </c>
      <c r="N19" s="78">
        <f t="shared" ref="N19:S19" si="49">SUM(N16:N18)</f>
        <v>40</v>
      </c>
      <c r="O19" s="78">
        <f t="shared" si="49"/>
        <v>6</v>
      </c>
      <c r="P19" s="78">
        <f t="shared" si="49"/>
        <v>0</v>
      </c>
      <c r="Q19" s="78">
        <f t="shared" si="49"/>
        <v>17</v>
      </c>
      <c r="R19" s="78">
        <f t="shared" si="49"/>
        <v>63</v>
      </c>
      <c r="S19" s="78">
        <f t="shared" si="49"/>
        <v>65</v>
      </c>
      <c r="T19" s="90">
        <f t="shared" si="5"/>
        <v>0.96923076923076923</v>
      </c>
      <c r="U19" s="78">
        <f t="shared" ref="U19:Z19" si="50">SUM(U16:U18)</f>
        <v>0</v>
      </c>
      <c r="V19" s="78">
        <f t="shared" si="50"/>
        <v>178</v>
      </c>
      <c r="W19" s="78">
        <f t="shared" si="50"/>
        <v>28</v>
      </c>
      <c r="X19" s="78">
        <f t="shared" si="50"/>
        <v>206</v>
      </c>
      <c r="Y19" s="92">
        <f t="shared" si="50"/>
        <v>206</v>
      </c>
      <c r="Z19" s="93">
        <f t="shared" si="50"/>
        <v>0</v>
      </c>
      <c r="AA19" s="93">
        <f t="shared" ca="1" si="11"/>
        <v>0</v>
      </c>
      <c r="AB19" s="93">
        <f t="shared" ref="AB19:AC19" si="51">SUM(AB16:AB18)</f>
        <v>206</v>
      </c>
      <c r="AC19" s="78">
        <f t="shared" si="51"/>
        <v>206</v>
      </c>
      <c r="AD19" s="94">
        <f>AB19/AC19</f>
        <v>1</v>
      </c>
      <c r="AF19" s="29"/>
      <c r="AT19" s="29"/>
      <c r="AU19" s="29"/>
      <c r="AV19" s="29"/>
      <c r="AW19" s="29"/>
      <c r="AX19" s="29"/>
      <c r="AY19" s="29"/>
      <c r="AZ19" s="29"/>
      <c r="BA19" s="29"/>
      <c r="BB19" s="29"/>
    </row>
    <row r="20" spans="1:54" ht="15.75" customHeight="1">
      <c r="A20" s="89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104"/>
      <c r="Z20" s="37"/>
      <c r="AA20" s="105"/>
      <c r="AB20" s="105"/>
      <c r="AC20" s="106"/>
      <c r="AD20" s="107"/>
      <c r="AF20" s="29"/>
      <c r="AT20" s="29"/>
      <c r="AU20" s="29"/>
      <c r="AV20" s="29"/>
      <c r="AW20" s="29"/>
      <c r="AX20" s="29"/>
      <c r="AY20" s="29"/>
      <c r="AZ20" s="29"/>
      <c r="BA20" s="29"/>
      <c r="BB20" s="29"/>
    </row>
    <row r="21" spans="1:54" ht="15.75" customHeight="1">
      <c r="A21" s="51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104"/>
      <c r="Z21" s="37"/>
      <c r="AA21" s="105"/>
      <c r="AB21" s="105"/>
      <c r="AC21" s="106"/>
      <c r="AD21" s="107"/>
      <c r="AF21" s="29"/>
      <c r="AT21" s="29"/>
      <c r="AU21" s="29"/>
      <c r="AV21" s="29"/>
      <c r="AW21" s="29"/>
      <c r="AX21" s="29"/>
      <c r="AY21" s="29"/>
      <c r="AZ21" s="29"/>
      <c r="BA21" s="29"/>
      <c r="BB21" s="29"/>
    </row>
    <row r="22" spans="1:54" ht="15.75" customHeight="1">
      <c r="A22" s="108" t="s">
        <v>14</v>
      </c>
      <c r="B22" s="110">
        <f t="shared" ref="B22:F22" si="52">B19+B15+B10</f>
        <v>0</v>
      </c>
      <c r="C22" s="110">
        <f t="shared" si="52"/>
        <v>289</v>
      </c>
      <c r="D22" s="110">
        <f t="shared" si="52"/>
        <v>15</v>
      </c>
      <c r="E22" s="110">
        <f t="shared" si="52"/>
        <v>304</v>
      </c>
      <c r="F22" s="110">
        <f t="shared" si="52"/>
        <v>339</v>
      </c>
      <c r="G22" s="112">
        <f>E22/F22</f>
        <v>0.89675516224188789</v>
      </c>
      <c r="H22" s="110">
        <f t="shared" ref="H22:L22" si="53">H19+H15+H10</f>
        <v>274</v>
      </c>
      <c r="I22" s="110">
        <f t="shared" si="53"/>
        <v>40</v>
      </c>
      <c r="J22" s="110">
        <f t="shared" si="53"/>
        <v>6</v>
      </c>
      <c r="K22" s="110">
        <f t="shared" si="53"/>
        <v>320</v>
      </c>
      <c r="L22" s="110">
        <f t="shared" si="53"/>
        <v>320</v>
      </c>
      <c r="M22" s="112">
        <f>K22/L22</f>
        <v>1</v>
      </c>
      <c r="N22" s="110">
        <f t="shared" ref="N22:S22" si="54">N19+N15+N10</f>
        <v>209</v>
      </c>
      <c r="O22" s="110">
        <f t="shared" si="54"/>
        <v>20</v>
      </c>
      <c r="P22" s="110">
        <f t="shared" si="54"/>
        <v>0</v>
      </c>
      <c r="Q22" s="110">
        <f t="shared" si="54"/>
        <v>17</v>
      </c>
      <c r="R22" s="110">
        <f t="shared" si="54"/>
        <v>246</v>
      </c>
      <c r="S22" s="110">
        <f t="shared" si="54"/>
        <v>308</v>
      </c>
      <c r="T22" s="112">
        <f>R22/S22</f>
        <v>0.79870129870129869</v>
      </c>
      <c r="U22" s="110">
        <f t="shared" ref="U22:Z22" si="55">U19+U15+U10</f>
        <v>0</v>
      </c>
      <c r="V22" s="110">
        <f t="shared" si="55"/>
        <v>832</v>
      </c>
      <c r="W22" s="110">
        <f t="shared" si="55"/>
        <v>38</v>
      </c>
      <c r="X22" s="110">
        <f t="shared" si="55"/>
        <v>870</v>
      </c>
      <c r="Y22" s="115">
        <f t="shared" si="55"/>
        <v>967</v>
      </c>
      <c r="Z22" s="116">
        <f t="shared" si="55"/>
        <v>97</v>
      </c>
      <c r="AA22" s="117">
        <f ca="1">ROUND(Z22/$AA$26*7,0)</f>
        <v>-2</v>
      </c>
      <c r="AB22" s="116">
        <f t="shared" ref="AB22:AC22" si="56">AB19+AB15+AB10</f>
        <v>870</v>
      </c>
      <c r="AC22" s="110">
        <f t="shared" si="56"/>
        <v>967</v>
      </c>
      <c r="AD22" s="118">
        <f>(V22+W22)/Y22</f>
        <v>0.8996897621509824</v>
      </c>
      <c r="AF22" s="29"/>
      <c r="AT22" s="29"/>
      <c r="AU22" s="29"/>
      <c r="AV22" s="29"/>
      <c r="AW22" s="29"/>
      <c r="AX22" s="29"/>
      <c r="AY22" s="29"/>
      <c r="AZ22" s="29"/>
      <c r="BA22" s="29"/>
      <c r="BB22" s="29"/>
    </row>
    <row r="23" spans="1:54" ht="15.75" customHeight="1">
      <c r="AT23" s="29"/>
      <c r="AU23" s="29"/>
      <c r="AV23" s="29"/>
      <c r="AW23" s="29"/>
      <c r="AX23" s="29"/>
      <c r="AY23" s="29"/>
      <c r="AZ23" s="29"/>
      <c r="BA23" s="29"/>
      <c r="BB23" s="29"/>
    </row>
    <row r="24" spans="1:54" ht="15.75" customHeight="1">
      <c r="AA24" s="2">
        <v>46022</v>
      </c>
      <c r="AB24" s="24"/>
      <c r="AC24" s="58">
        <f>AC22-AB22</f>
        <v>97</v>
      </c>
      <c r="AT24" s="29"/>
      <c r="AU24" s="29"/>
      <c r="AV24" s="29"/>
      <c r="AW24" s="29"/>
      <c r="AX24" s="29"/>
      <c r="AY24" s="29"/>
      <c r="AZ24" s="29"/>
      <c r="BA24" s="29"/>
      <c r="BB24" s="29"/>
    </row>
    <row r="25" spans="1:54" ht="15.75" customHeight="1">
      <c r="A25" s="293" t="s">
        <v>84</v>
      </c>
      <c r="B25" s="271"/>
      <c r="C25" s="271"/>
      <c r="D25" s="271"/>
      <c r="E25" s="271"/>
      <c r="F25" s="271"/>
      <c r="G25" s="272"/>
      <c r="AA25" s="121">
        <f ca="1">TODAY()-1</f>
        <v>46307</v>
      </c>
      <c r="AT25" s="29"/>
      <c r="AU25" s="29"/>
      <c r="AV25" s="29"/>
      <c r="AW25" s="29"/>
      <c r="AX25" s="29"/>
      <c r="AY25" s="29"/>
      <c r="AZ25" s="29"/>
      <c r="BA25" s="29"/>
      <c r="BB25" s="29"/>
    </row>
    <row r="26" spans="1:54" ht="15.75" customHeight="1">
      <c r="A26" s="25"/>
      <c r="G26" s="33"/>
      <c r="L26" s="294" t="s">
        <v>85</v>
      </c>
      <c r="M26" s="285"/>
      <c r="N26" s="285"/>
      <c r="O26" s="285"/>
      <c r="P26" s="285"/>
      <c r="AA26" s="31">
        <f ca="1">AA24-AA25</f>
        <v>-285</v>
      </c>
      <c r="AT26" s="29"/>
      <c r="AU26" s="29"/>
      <c r="AV26" s="29"/>
      <c r="AW26" s="29"/>
      <c r="AX26" s="29"/>
      <c r="AY26" s="29"/>
      <c r="AZ26" s="29"/>
      <c r="BA26" s="29"/>
      <c r="BB26" s="29"/>
    </row>
    <row r="27" spans="1:54" ht="28.8">
      <c r="A27" s="35"/>
      <c r="B27" s="132" t="s">
        <v>28</v>
      </c>
      <c r="C27" s="132" t="s">
        <v>29</v>
      </c>
      <c r="D27" s="132" t="s">
        <v>86</v>
      </c>
      <c r="F27" s="132" t="s">
        <v>87</v>
      </c>
      <c r="G27" s="33"/>
      <c r="L27" s="132" t="s">
        <v>88</v>
      </c>
      <c r="M27" s="132" t="s">
        <v>89</v>
      </c>
      <c r="N27" s="132" t="s">
        <v>90</v>
      </c>
      <c r="O27" s="132" t="s">
        <v>91</v>
      </c>
      <c r="P27" s="132" t="s">
        <v>28</v>
      </c>
      <c r="Q27" s="155"/>
      <c r="AJ27" s="29"/>
      <c r="AK27" s="29"/>
      <c r="AL27" s="29"/>
      <c r="AM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</row>
    <row r="28" spans="1:54" ht="14.4">
      <c r="A28" s="37" t="s">
        <v>24</v>
      </c>
      <c r="B28" s="57">
        <f t="shared" ref="B28:B31" si="57">P28</f>
        <v>7</v>
      </c>
      <c r="C28" s="57">
        <f>12+11</f>
        <v>23</v>
      </c>
      <c r="D28" s="156">
        <f t="shared" ref="D28:D31" si="58">C28-B28</f>
        <v>16</v>
      </c>
      <c r="F28" s="156"/>
      <c r="G28" s="33"/>
      <c r="I28" s="24"/>
      <c r="J28" s="24" t="s">
        <v>92</v>
      </c>
      <c r="K28" s="66" t="s">
        <v>24</v>
      </c>
      <c r="L28" s="31">
        <v>5</v>
      </c>
      <c r="M28" s="31">
        <v>2</v>
      </c>
      <c r="P28" s="56">
        <f t="shared" ref="P28:P31" si="59">SUM(L28:O28)</f>
        <v>7</v>
      </c>
      <c r="S28" s="31" t="s">
        <v>0</v>
      </c>
      <c r="AJ28" s="29"/>
      <c r="AK28" s="29"/>
      <c r="AL28" s="29"/>
      <c r="AM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</row>
    <row r="29" spans="1:54" ht="14.4">
      <c r="A29" s="37" t="s">
        <v>36</v>
      </c>
      <c r="B29" s="57">
        <f t="shared" si="57"/>
        <v>4</v>
      </c>
      <c r="C29" s="57">
        <f>6+7</f>
        <v>13</v>
      </c>
      <c r="D29" s="156">
        <f t="shared" si="58"/>
        <v>9</v>
      </c>
      <c r="F29" s="156">
        <v>4</v>
      </c>
      <c r="G29" s="33"/>
      <c r="I29" s="24"/>
      <c r="J29" s="24" t="s">
        <v>93</v>
      </c>
      <c r="K29" s="66" t="s">
        <v>36</v>
      </c>
      <c r="L29" s="31">
        <v>1</v>
      </c>
      <c r="N29" s="31">
        <v>3</v>
      </c>
      <c r="P29" s="56">
        <f t="shared" si="59"/>
        <v>4</v>
      </c>
      <c r="AJ29" s="29"/>
      <c r="AK29" s="29"/>
      <c r="AL29" s="29"/>
      <c r="AM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</row>
    <row r="30" spans="1:54" ht="15">
      <c r="A30" s="37" t="s">
        <v>40</v>
      </c>
      <c r="B30" s="57">
        <f t="shared" si="57"/>
        <v>0</v>
      </c>
      <c r="C30" s="57">
        <f>5+6</f>
        <v>11</v>
      </c>
      <c r="D30" s="156">
        <f t="shared" si="58"/>
        <v>11</v>
      </c>
      <c r="F30" s="156"/>
      <c r="G30" s="33"/>
      <c r="I30" s="24"/>
      <c r="J30" s="24" t="s">
        <v>94</v>
      </c>
      <c r="K30" s="66" t="s">
        <v>40</v>
      </c>
      <c r="P30" s="56">
        <f t="shared" si="59"/>
        <v>0</v>
      </c>
      <c r="V30" s="155"/>
    </row>
    <row r="31" spans="1:54" ht="13.2">
      <c r="A31" s="37" t="s">
        <v>41</v>
      </c>
      <c r="B31" s="57">
        <f t="shared" si="57"/>
        <v>2</v>
      </c>
      <c r="C31" s="57">
        <f>7+7</f>
        <v>14</v>
      </c>
      <c r="D31" s="156">
        <f t="shared" si="58"/>
        <v>12</v>
      </c>
      <c r="F31" s="156"/>
      <c r="G31" s="33"/>
      <c r="I31" s="24"/>
      <c r="J31" s="24" t="s">
        <v>95</v>
      </c>
      <c r="K31" s="66" t="s">
        <v>41</v>
      </c>
      <c r="M31" s="31">
        <v>2</v>
      </c>
      <c r="P31" s="56">
        <f t="shared" si="59"/>
        <v>2</v>
      </c>
    </row>
    <row r="32" spans="1:54" ht="13.2">
      <c r="A32" s="76" t="s">
        <v>44</v>
      </c>
      <c r="B32" s="81">
        <f t="shared" ref="B32:D32" si="60">SUM(B28:B31)</f>
        <v>13</v>
      </c>
      <c r="C32" s="81">
        <f t="shared" si="60"/>
        <v>61</v>
      </c>
      <c r="D32" s="81">
        <f t="shared" si="60"/>
        <v>48</v>
      </c>
      <c r="F32" s="81">
        <f>SUM(F28:F31)</f>
        <v>4</v>
      </c>
      <c r="G32" s="33"/>
      <c r="K32" s="157" t="s">
        <v>44</v>
      </c>
      <c r="L32" s="81">
        <f t="shared" ref="L32:P32" si="61">SUM(L28:L31)</f>
        <v>6</v>
      </c>
      <c r="M32" s="81">
        <f t="shared" si="61"/>
        <v>4</v>
      </c>
      <c r="N32" s="81">
        <f t="shared" si="61"/>
        <v>3</v>
      </c>
      <c r="O32" s="81">
        <f t="shared" si="61"/>
        <v>0</v>
      </c>
      <c r="P32" s="81">
        <f t="shared" si="61"/>
        <v>13</v>
      </c>
    </row>
    <row r="33" spans="1:20" ht="13.2">
      <c r="A33" s="37"/>
      <c r="B33" s="61"/>
      <c r="C33" s="61"/>
      <c r="D33" s="61"/>
      <c r="F33" s="61"/>
      <c r="G33" s="33"/>
      <c r="K33" s="66"/>
      <c r="L33" s="61"/>
      <c r="M33" s="61"/>
      <c r="N33" s="61"/>
      <c r="O33" s="61"/>
      <c r="P33" s="61"/>
    </row>
    <row r="34" spans="1:20" ht="13.2">
      <c r="A34" s="37" t="s">
        <v>46</v>
      </c>
      <c r="B34" s="57">
        <f>P34</f>
        <v>1</v>
      </c>
      <c r="C34" s="57">
        <f>7+6</f>
        <v>13</v>
      </c>
      <c r="D34" s="156">
        <f t="shared" ref="D34:D37" si="62">C34-B34</f>
        <v>12</v>
      </c>
      <c r="F34" s="156"/>
      <c r="G34" s="33"/>
      <c r="K34" s="66" t="s">
        <v>46</v>
      </c>
      <c r="L34" s="31">
        <v>1</v>
      </c>
      <c r="P34" s="56">
        <f t="shared" ref="P34:P37" si="63">SUM(L34:O34)</f>
        <v>1</v>
      </c>
    </row>
    <row r="35" spans="1:20" ht="13.2">
      <c r="A35" s="37" t="s">
        <v>51</v>
      </c>
      <c r="B35" s="57">
        <v>2</v>
      </c>
      <c r="C35" s="57">
        <f>9+9</f>
        <v>18</v>
      </c>
      <c r="D35" s="156">
        <f t="shared" si="62"/>
        <v>16</v>
      </c>
      <c r="F35" s="156">
        <v>2</v>
      </c>
      <c r="G35" s="33"/>
      <c r="K35" s="66" t="s">
        <v>51</v>
      </c>
      <c r="M35" s="31">
        <v>1</v>
      </c>
      <c r="P35" s="56">
        <f t="shared" si="63"/>
        <v>1</v>
      </c>
    </row>
    <row r="36" spans="1:20" ht="13.2">
      <c r="A36" s="37" t="s">
        <v>52</v>
      </c>
      <c r="B36" s="57">
        <v>1</v>
      </c>
      <c r="C36" s="57">
        <f>5+6</f>
        <v>11</v>
      </c>
      <c r="D36" s="156">
        <f t="shared" si="62"/>
        <v>10</v>
      </c>
      <c r="F36" s="156">
        <v>1</v>
      </c>
      <c r="G36" s="33"/>
      <c r="K36" s="66" t="s">
        <v>52</v>
      </c>
      <c r="P36" s="56">
        <f t="shared" si="63"/>
        <v>0</v>
      </c>
    </row>
    <row r="37" spans="1:20" ht="13.2">
      <c r="A37" s="37" t="s">
        <v>53</v>
      </c>
      <c r="B37" s="57">
        <v>1</v>
      </c>
      <c r="C37" s="57">
        <f>9+9</f>
        <v>18</v>
      </c>
      <c r="D37" s="156">
        <f t="shared" si="62"/>
        <v>17</v>
      </c>
      <c r="F37" s="156">
        <v>1</v>
      </c>
      <c r="G37" s="33"/>
      <c r="K37" s="66" t="s">
        <v>53</v>
      </c>
      <c r="O37" s="31">
        <v>1</v>
      </c>
      <c r="P37" s="56">
        <f t="shared" si="63"/>
        <v>1</v>
      </c>
    </row>
    <row r="38" spans="1:20" ht="13.2">
      <c r="A38" s="76" t="s">
        <v>54</v>
      </c>
      <c r="B38" s="81">
        <f t="shared" ref="B38:D38" si="64">SUM(B34:B37)</f>
        <v>5</v>
      </c>
      <c r="C38" s="81">
        <f t="shared" si="64"/>
        <v>60</v>
      </c>
      <c r="D38" s="81">
        <f t="shared" si="64"/>
        <v>55</v>
      </c>
      <c r="F38" s="81">
        <f>SUM(F34:F37)</f>
        <v>4</v>
      </c>
      <c r="G38" s="33"/>
      <c r="K38" s="157" t="s">
        <v>54</v>
      </c>
      <c r="L38" s="81">
        <f t="shared" ref="L38:P38" si="65">SUM(L34:L37)</f>
        <v>1</v>
      </c>
      <c r="M38" s="81">
        <f t="shared" si="65"/>
        <v>1</v>
      </c>
      <c r="N38" s="81">
        <f t="shared" si="65"/>
        <v>0</v>
      </c>
      <c r="O38" s="81">
        <f t="shared" si="65"/>
        <v>1</v>
      </c>
      <c r="P38" s="81">
        <f t="shared" si="65"/>
        <v>3</v>
      </c>
    </row>
    <row r="39" spans="1:20" ht="13.2">
      <c r="A39" s="37"/>
      <c r="B39" s="61"/>
      <c r="C39" s="61"/>
      <c r="D39" s="61"/>
      <c r="F39" s="61"/>
      <c r="G39" s="33"/>
      <c r="K39" s="66"/>
      <c r="L39" s="61"/>
      <c r="M39" s="61"/>
      <c r="N39" s="61"/>
      <c r="O39" s="61"/>
      <c r="P39" s="61"/>
    </row>
    <row r="40" spans="1:20" ht="14.4">
      <c r="A40" s="37" t="s">
        <v>55</v>
      </c>
      <c r="B40" s="57">
        <v>22</v>
      </c>
      <c r="C40" s="57">
        <f>9+9</f>
        <v>18</v>
      </c>
      <c r="D40" s="156">
        <f t="shared" ref="D40:D42" si="66">C40-B40</f>
        <v>-4</v>
      </c>
      <c r="F40" s="156">
        <v>0</v>
      </c>
      <c r="G40" s="33"/>
      <c r="K40" s="66" t="s">
        <v>55</v>
      </c>
      <c r="L40" s="31">
        <v>3</v>
      </c>
      <c r="M40" s="31">
        <v>4</v>
      </c>
      <c r="N40" s="31">
        <v>3</v>
      </c>
      <c r="O40" s="31">
        <v>12</v>
      </c>
      <c r="P40" s="56">
        <f t="shared" ref="P40:P42" si="67">SUM(L40:O40)</f>
        <v>22</v>
      </c>
      <c r="R40" s="158"/>
      <c r="S40" s="158"/>
      <c r="T40" s="158"/>
    </row>
    <row r="41" spans="1:20" ht="14.4">
      <c r="A41" s="37" t="s">
        <v>57</v>
      </c>
      <c r="B41" s="57">
        <v>3</v>
      </c>
      <c r="C41" s="57">
        <f>5+6</f>
        <v>11</v>
      </c>
      <c r="D41" s="156">
        <f t="shared" si="66"/>
        <v>8</v>
      </c>
      <c r="F41" s="156">
        <v>0</v>
      </c>
      <c r="G41" s="33"/>
      <c r="K41" s="66" t="s">
        <v>57</v>
      </c>
      <c r="N41" s="31">
        <v>2</v>
      </c>
      <c r="O41" s="31">
        <v>1</v>
      </c>
      <c r="P41" s="56">
        <f t="shared" si="67"/>
        <v>3</v>
      </c>
      <c r="R41" s="158"/>
      <c r="S41" s="158"/>
      <c r="T41" s="158"/>
    </row>
    <row r="42" spans="1:20" ht="14.4">
      <c r="A42" s="37" t="s">
        <v>58</v>
      </c>
      <c r="B42" s="57">
        <f>P42</f>
        <v>0</v>
      </c>
      <c r="C42" s="57">
        <f>2+3</f>
        <v>5</v>
      </c>
      <c r="D42" s="156">
        <f t="shared" si="66"/>
        <v>5</v>
      </c>
      <c r="F42" s="156">
        <v>0</v>
      </c>
      <c r="G42" s="33"/>
      <c r="K42" s="66" t="s">
        <v>58</v>
      </c>
      <c r="P42" s="56">
        <f t="shared" si="67"/>
        <v>0</v>
      </c>
      <c r="R42" s="158"/>
      <c r="S42" s="158"/>
      <c r="T42" s="158"/>
    </row>
    <row r="43" spans="1:20" ht="13.2">
      <c r="A43" s="76" t="s">
        <v>59</v>
      </c>
      <c r="B43" s="81">
        <f t="shared" ref="B43:D43" si="68">SUM(B40:B42)</f>
        <v>25</v>
      </c>
      <c r="C43" s="81">
        <f t="shared" si="68"/>
        <v>34</v>
      </c>
      <c r="D43" s="81">
        <f t="shared" si="68"/>
        <v>9</v>
      </c>
      <c r="F43" s="81">
        <f>SUM(F40:F42)</f>
        <v>0</v>
      </c>
      <c r="G43" s="33"/>
      <c r="K43" s="157" t="s">
        <v>59</v>
      </c>
      <c r="L43" s="81">
        <f t="shared" ref="L43:P43" si="69">SUM(L40:L42)</f>
        <v>3</v>
      </c>
      <c r="M43" s="81">
        <f t="shared" si="69"/>
        <v>4</v>
      </c>
      <c r="N43" s="81">
        <f t="shared" si="69"/>
        <v>5</v>
      </c>
      <c r="O43" s="81">
        <f t="shared" si="69"/>
        <v>13</v>
      </c>
      <c r="P43" s="81">
        <f t="shared" si="69"/>
        <v>25</v>
      </c>
    </row>
    <row r="44" spans="1:20" ht="13.2">
      <c r="A44" s="76"/>
      <c r="B44" s="66"/>
      <c r="C44" s="66"/>
      <c r="D44" s="66"/>
      <c r="F44" s="66"/>
      <c r="G44" s="33"/>
      <c r="K44" s="157"/>
      <c r="L44" s="66"/>
      <c r="M44" s="66"/>
      <c r="N44" s="66"/>
      <c r="O44" s="66"/>
      <c r="P44" s="66"/>
    </row>
    <row r="45" spans="1:20" ht="13.2">
      <c r="A45" s="76"/>
      <c r="B45" s="90"/>
      <c r="C45" s="90"/>
      <c r="D45" s="90"/>
      <c r="F45" s="90"/>
      <c r="G45" s="33"/>
      <c r="K45" s="157"/>
      <c r="L45" s="90"/>
      <c r="M45" s="90"/>
      <c r="N45" s="90"/>
      <c r="O45" s="90"/>
      <c r="P45" s="90"/>
    </row>
    <row r="46" spans="1:20" ht="13.2">
      <c r="A46" s="76" t="s">
        <v>14</v>
      </c>
      <c r="B46" s="81">
        <f t="shared" ref="B46:D46" si="70">B43+B38+B32</f>
        <v>43</v>
      </c>
      <c r="C46" s="81">
        <f t="shared" si="70"/>
        <v>155</v>
      </c>
      <c r="D46" s="81">
        <f t="shared" si="70"/>
        <v>112</v>
      </c>
      <c r="F46" s="81">
        <f>F43+F38+F32</f>
        <v>8</v>
      </c>
      <c r="G46" s="33"/>
      <c r="K46" s="157" t="s">
        <v>14</v>
      </c>
      <c r="L46" s="81">
        <f t="shared" ref="L46:P46" si="71">L43+L38+L32</f>
        <v>10</v>
      </c>
      <c r="M46" s="81">
        <f t="shared" si="71"/>
        <v>9</v>
      </c>
      <c r="N46" s="81">
        <f t="shared" si="71"/>
        <v>8</v>
      </c>
      <c r="O46" s="81">
        <f t="shared" si="71"/>
        <v>14</v>
      </c>
      <c r="P46" s="81">
        <f t="shared" si="71"/>
        <v>41</v>
      </c>
    </row>
    <row r="47" spans="1:20" ht="13.2">
      <c r="A47" s="159"/>
      <c r="B47" s="160"/>
      <c r="C47" s="160"/>
      <c r="D47" s="160"/>
      <c r="E47" s="160"/>
      <c r="F47" s="160"/>
      <c r="G47" s="161"/>
    </row>
    <row r="49" spans="1:25" ht="14.4">
      <c r="A49" s="292" t="s">
        <v>63</v>
      </c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6"/>
      <c r="X49" s="15" t="s">
        <v>2</v>
      </c>
      <c r="Y49" s="120" t="s">
        <v>3</v>
      </c>
    </row>
    <row r="50" spans="1:25" ht="14.4">
      <c r="A50" s="32"/>
      <c r="B50" s="130"/>
      <c r="C50" s="277" t="str">
        <f>C4</f>
        <v>OCT</v>
      </c>
      <c r="D50" s="278"/>
      <c r="E50" s="278"/>
      <c r="F50" s="278"/>
      <c r="G50" s="277" t="str">
        <f>H4</f>
        <v>NOV</v>
      </c>
      <c r="H50" s="278"/>
      <c r="I50" s="278"/>
      <c r="J50" s="278"/>
      <c r="K50" s="278"/>
      <c r="L50" s="277" t="str">
        <f>N4</f>
        <v>DEC</v>
      </c>
      <c r="M50" s="278"/>
      <c r="N50" s="278"/>
      <c r="O50" s="278"/>
      <c r="P50" s="128"/>
      <c r="Q50" s="128"/>
      <c r="R50" s="277" t="s">
        <v>14</v>
      </c>
      <c r="S50" s="278"/>
      <c r="T50" s="278"/>
      <c r="U50" s="279"/>
      <c r="Y50" s="29"/>
    </row>
    <row r="51" spans="1:25" ht="57.6">
      <c r="A51" s="35"/>
      <c r="B51" s="130"/>
      <c r="C51" s="132" t="s">
        <v>65</v>
      </c>
      <c r="D51" s="132" t="s">
        <v>66</v>
      </c>
      <c r="E51" s="132" t="s">
        <v>28</v>
      </c>
      <c r="F51" s="132" t="s">
        <v>67</v>
      </c>
      <c r="G51" s="132" t="s">
        <v>65</v>
      </c>
      <c r="H51" s="132" t="s">
        <v>66</v>
      </c>
      <c r="I51" s="132"/>
      <c r="J51" s="132" t="s">
        <v>28</v>
      </c>
      <c r="K51" s="132" t="s">
        <v>67</v>
      </c>
      <c r="L51" s="132" t="s">
        <v>65</v>
      </c>
      <c r="M51" s="132" t="s">
        <v>66</v>
      </c>
      <c r="N51" s="132" t="s">
        <v>28</v>
      </c>
      <c r="O51" s="132" t="s">
        <v>67</v>
      </c>
      <c r="P51" s="38"/>
      <c r="Q51" s="132"/>
      <c r="R51" s="132" t="s">
        <v>65</v>
      </c>
      <c r="S51" s="132" t="s">
        <v>66</v>
      </c>
      <c r="T51" s="132" t="s">
        <v>28</v>
      </c>
      <c r="U51" s="135" t="s">
        <v>67</v>
      </c>
      <c r="Y51" s="29"/>
    </row>
    <row r="52" spans="1:25" ht="14.4">
      <c r="A52" s="32" t="s">
        <v>24</v>
      </c>
      <c r="B52" s="130"/>
      <c r="C52" s="39">
        <v>127</v>
      </c>
      <c r="D52" s="39">
        <v>0</v>
      </c>
      <c r="E52" s="56">
        <f>SUM(C52:D52)</f>
        <v>127</v>
      </c>
      <c r="F52" s="57">
        <v>170</v>
      </c>
      <c r="G52" s="124">
        <v>199</v>
      </c>
      <c r="H52" s="39">
        <v>0</v>
      </c>
      <c r="I52" s="56"/>
      <c r="J52" s="56">
        <f>SUM(G52:H52)</f>
        <v>199</v>
      </c>
      <c r="K52" s="57">
        <v>159</v>
      </c>
      <c r="L52" s="124">
        <v>192</v>
      </c>
      <c r="M52" s="39">
        <v>0</v>
      </c>
      <c r="N52" s="56">
        <f>SUM(L52:M52)</f>
        <v>192</v>
      </c>
      <c r="O52" s="57">
        <v>128</v>
      </c>
      <c r="P52" s="66"/>
      <c r="Q52" s="65">
        <f t="shared" ref="Q52:Q58" si="72">B52</f>
        <v>0</v>
      </c>
      <c r="R52" s="66">
        <f t="shared" ref="R52:S52" si="73">L52+G52+C52</f>
        <v>518</v>
      </c>
      <c r="S52" s="66">
        <f t="shared" si="73"/>
        <v>0</v>
      </c>
      <c r="T52" s="56">
        <f>SUM(Q52:S52)</f>
        <v>518</v>
      </c>
      <c r="U52" s="68">
        <f>O52+K52+F52</f>
        <v>457</v>
      </c>
      <c r="X52" s="83">
        <v>46006</v>
      </c>
      <c r="Y52" s="29" t="s">
        <v>49</v>
      </c>
    </row>
    <row r="53" spans="1:25" ht="14.4">
      <c r="A53" s="35" t="s">
        <v>44</v>
      </c>
      <c r="B53" s="130"/>
      <c r="C53" s="78">
        <f t="shared" ref="C53:H53" si="74">SUM(C52)</f>
        <v>127</v>
      </c>
      <c r="D53" s="78">
        <f t="shared" si="74"/>
        <v>0</v>
      </c>
      <c r="E53" s="78">
        <f t="shared" si="74"/>
        <v>127</v>
      </c>
      <c r="F53" s="78">
        <f t="shared" si="74"/>
        <v>170</v>
      </c>
      <c r="G53" s="78">
        <f t="shared" si="74"/>
        <v>199</v>
      </c>
      <c r="H53" s="78">
        <f t="shared" si="74"/>
        <v>0</v>
      </c>
      <c r="I53" s="78"/>
      <c r="J53" s="78">
        <f t="shared" ref="J53:O53" si="75">SUM(J52)</f>
        <v>199</v>
      </c>
      <c r="K53" s="78">
        <f t="shared" si="75"/>
        <v>159</v>
      </c>
      <c r="L53" s="78">
        <f t="shared" si="75"/>
        <v>192</v>
      </c>
      <c r="M53" s="78">
        <f t="shared" si="75"/>
        <v>0</v>
      </c>
      <c r="N53" s="78">
        <f t="shared" si="75"/>
        <v>192</v>
      </c>
      <c r="O53" s="78">
        <f t="shared" si="75"/>
        <v>128</v>
      </c>
      <c r="P53" s="66"/>
      <c r="Q53" s="65">
        <f t="shared" si="72"/>
        <v>0</v>
      </c>
      <c r="R53" s="78">
        <f t="shared" ref="R53:U53" si="76">SUM(R52)</f>
        <v>518</v>
      </c>
      <c r="S53" s="78">
        <f t="shared" si="76"/>
        <v>0</v>
      </c>
      <c r="T53" s="78">
        <f t="shared" si="76"/>
        <v>518</v>
      </c>
      <c r="U53" s="92">
        <f t="shared" si="76"/>
        <v>457</v>
      </c>
      <c r="Y53" s="29"/>
    </row>
    <row r="54" spans="1:25" ht="14.4">
      <c r="A54" s="32" t="s">
        <v>51</v>
      </c>
      <c r="B54" s="130"/>
      <c r="C54" s="39">
        <v>14</v>
      </c>
      <c r="D54" s="66">
        <v>0</v>
      </c>
      <c r="E54" s="56">
        <f>SUM(C54:D54)</f>
        <v>14</v>
      </c>
      <c r="F54" s="57">
        <v>32</v>
      </c>
      <c r="G54" s="124">
        <v>6</v>
      </c>
      <c r="H54" s="66">
        <v>0</v>
      </c>
      <c r="I54" s="56"/>
      <c r="J54" s="56">
        <f>SUM(G54:H54)</f>
        <v>6</v>
      </c>
      <c r="K54" s="57">
        <v>25</v>
      </c>
      <c r="L54" s="124">
        <v>24</v>
      </c>
      <c r="M54" s="66">
        <v>0</v>
      </c>
      <c r="N54" s="56">
        <v>10</v>
      </c>
      <c r="O54" s="57">
        <v>40</v>
      </c>
      <c r="P54" s="66"/>
      <c r="Q54" s="65">
        <f t="shared" si="72"/>
        <v>0</v>
      </c>
      <c r="R54" s="66">
        <f>L54+G54+P58+C54</f>
        <v>44</v>
      </c>
      <c r="S54" s="66">
        <f>M54+H54+D54</f>
        <v>0</v>
      </c>
      <c r="T54" s="56">
        <f>SUM(Q54:S54)</f>
        <v>44</v>
      </c>
      <c r="U54" s="68">
        <f>O54+K54+F54</f>
        <v>97</v>
      </c>
      <c r="X54" s="83">
        <v>46022</v>
      </c>
      <c r="Y54" s="29" t="s">
        <v>56</v>
      </c>
    </row>
    <row r="55" spans="1:25" ht="14.4">
      <c r="A55" s="35" t="s">
        <v>54</v>
      </c>
      <c r="B55" s="130"/>
      <c r="C55" s="78">
        <f t="shared" ref="C55:H55" si="77">SUM(C54)</f>
        <v>14</v>
      </c>
      <c r="D55" s="78">
        <f t="shared" si="77"/>
        <v>0</v>
      </c>
      <c r="E55" s="78">
        <f t="shared" si="77"/>
        <v>14</v>
      </c>
      <c r="F55" s="78">
        <f t="shared" si="77"/>
        <v>32</v>
      </c>
      <c r="G55" s="78">
        <f t="shared" si="77"/>
        <v>6</v>
      </c>
      <c r="H55" s="78">
        <f t="shared" si="77"/>
        <v>0</v>
      </c>
      <c r="I55" s="78"/>
      <c r="J55" s="78">
        <f t="shared" ref="J55:O55" si="78">SUM(J54)</f>
        <v>6</v>
      </c>
      <c r="K55" s="78">
        <f t="shared" si="78"/>
        <v>25</v>
      </c>
      <c r="L55" s="78">
        <f t="shared" si="78"/>
        <v>24</v>
      </c>
      <c r="M55" s="78">
        <f t="shared" si="78"/>
        <v>0</v>
      </c>
      <c r="N55" s="78">
        <f t="shared" si="78"/>
        <v>10</v>
      </c>
      <c r="O55" s="78">
        <f t="shared" si="78"/>
        <v>40</v>
      </c>
      <c r="P55" s="66"/>
      <c r="Q55" s="65">
        <f t="shared" si="72"/>
        <v>0</v>
      </c>
      <c r="R55" s="78">
        <f t="shared" ref="R55:U55" si="79">SUM(R54)</f>
        <v>44</v>
      </c>
      <c r="S55" s="78">
        <f t="shared" si="79"/>
        <v>0</v>
      </c>
      <c r="T55" s="78">
        <f t="shared" si="79"/>
        <v>44</v>
      </c>
      <c r="U55" s="92">
        <f t="shared" si="79"/>
        <v>97</v>
      </c>
      <c r="Y55" s="29"/>
    </row>
    <row r="56" spans="1:25" ht="14.4">
      <c r="A56" s="32" t="s">
        <v>55</v>
      </c>
      <c r="B56" s="130"/>
      <c r="C56" s="39">
        <v>144</v>
      </c>
      <c r="D56" s="66">
        <v>0</v>
      </c>
      <c r="E56" s="56">
        <f>SUM(C56:D56)</f>
        <v>144</v>
      </c>
      <c r="F56" s="57">
        <v>49</v>
      </c>
      <c r="G56" s="124">
        <v>61</v>
      </c>
      <c r="H56" s="66">
        <v>0</v>
      </c>
      <c r="I56" s="56"/>
      <c r="J56" s="56">
        <f>SUM(G56:H56)</f>
        <v>61</v>
      </c>
      <c r="K56" s="57">
        <v>40</v>
      </c>
      <c r="L56" s="124">
        <v>49</v>
      </c>
      <c r="M56" s="66">
        <v>0</v>
      </c>
      <c r="N56" s="56">
        <f>SUM(L56:M56)</f>
        <v>49</v>
      </c>
      <c r="O56" s="57">
        <v>32</v>
      </c>
      <c r="P56" s="66"/>
      <c r="Q56" s="65">
        <f t="shared" si="72"/>
        <v>0</v>
      </c>
      <c r="R56" s="66">
        <f t="shared" ref="R56:S56" si="80">L56+G56+C56</f>
        <v>254</v>
      </c>
      <c r="S56" s="66">
        <f t="shared" si="80"/>
        <v>0</v>
      </c>
      <c r="T56" s="56">
        <f>SUM(Q56:S56)</f>
        <v>254</v>
      </c>
      <c r="U56" s="68">
        <f>O56+K56+F56</f>
        <v>121</v>
      </c>
      <c r="Y56" s="29"/>
    </row>
    <row r="57" spans="1:25" ht="14.4">
      <c r="A57" s="35"/>
      <c r="B57" s="130"/>
      <c r="C57" s="78">
        <f t="shared" ref="C57:H57" si="81">SUM(C56)</f>
        <v>144</v>
      </c>
      <c r="D57" s="78">
        <f t="shared" si="81"/>
        <v>0</v>
      </c>
      <c r="E57" s="78">
        <f t="shared" si="81"/>
        <v>144</v>
      </c>
      <c r="F57" s="78">
        <f t="shared" si="81"/>
        <v>49</v>
      </c>
      <c r="G57" s="78">
        <f t="shared" si="81"/>
        <v>61</v>
      </c>
      <c r="H57" s="78">
        <f t="shared" si="81"/>
        <v>0</v>
      </c>
      <c r="I57" s="78"/>
      <c r="J57" s="78">
        <f t="shared" ref="J57:O57" si="82">SUM(J56)</f>
        <v>61</v>
      </c>
      <c r="K57" s="78">
        <f t="shared" si="82"/>
        <v>40</v>
      </c>
      <c r="L57" s="78">
        <f t="shared" si="82"/>
        <v>49</v>
      </c>
      <c r="M57" s="78">
        <f t="shared" si="82"/>
        <v>0</v>
      </c>
      <c r="N57" s="78">
        <f t="shared" si="82"/>
        <v>49</v>
      </c>
      <c r="O57" s="78">
        <f t="shared" si="82"/>
        <v>32</v>
      </c>
      <c r="P57" s="66"/>
      <c r="Q57" s="65">
        <f t="shared" si="72"/>
        <v>0</v>
      </c>
      <c r="R57" s="78">
        <f t="shared" ref="R57:U57" si="83">SUM(R56)</f>
        <v>254</v>
      </c>
      <c r="S57" s="78">
        <f t="shared" si="83"/>
        <v>0</v>
      </c>
      <c r="T57" s="78">
        <f t="shared" si="83"/>
        <v>254</v>
      </c>
      <c r="U57" s="92">
        <f t="shared" si="83"/>
        <v>121</v>
      </c>
      <c r="X57" s="83">
        <v>46022</v>
      </c>
      <c r="Y57" s="29" t="s">
        <v>80</v>
      </c>
    </row>
    <row r="58" spans="1:25" ht="14.4">
      <c r="A58" s="35"/>
      <c r="B58" s="130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5">
        <f t="shared" si="72"/>
        <v>0</v>
      </c>
      <c r="R58" s="66"/>
      <c r="S58" s="66"/>
      <c r="T58" s="66"/>
      <c r="U58" s="104"/>
    </row>
    <row r="59" spans="1:25" ht="14.4">
      <c r="A59" s="32"/>
      <c r="B59" s="29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104"/>
    </row>
    <row r="60" spans="1:25" ht="14.4">
      <c r="A60" s="126" t="s">
        <v>14</v>
      </c>
      <c r="B60" s="162"/>
      <c r="C60" s="97">
        <f t="shared" ref="C60:H60" si="84">C57+C55+C53</f>
        <v>285</v>
      </c>
      <c r="D60" s="97">
        <f t="shared" si="84"/>
        <v>0</v>
      </c>
      <c r="E60" s="97">
        <f t="shared" si="84"/>
        <v>285</v>
      </c>
      <c r="F60" s="97">
        <f t="shared" si="84"/>
        <v>251</v>
      </c>
      <c r="G60" s="97">
        <f t="shared" si="84"/>
        <v>266</v>
      </c>
      <c r="H60" s="97">
        <f t="shared" si="84"/>
        <v>0</v>
      </c>
      <c r="I60" s="97"/>
      <c r="J60" s="97">
        <f t="shared" ref="J60:O60" si="85">J57+J55+J53</f>
        <v>266</v>
      </c>
      <c r="K60" s="97">
        <f t="shared" si="85"/>
        <v>224</v>
      </c>
      <c r="L60" s="97">
        <f t="shared" si="85"/>
        <v>265</v>
      </c>
      <c r="M60" s="97">
        <f t="shared" si="85"/>
        <v>0</v>
      </c>
      <c r="N60" s="97">
        <f t="shared" si="85"/>
        <v>251</v>
      </c>
      <c r="O60" s="97">
        <f t="shared" si="85"/>
        <v>200</v>
      </c>
      <c r="P60" s="127"/>
      <c r="Q60" s="127"/>
      <c r="R60" s="97">
        <f t="shared" ref="R60:U60" si="86">R57+R55+R53</f>
        <v>816</v>
      </c>
      <c r="S60" s="97">
        <f t="shared" si="86"/>
        <v>0</v>
      </c>
      <c r="T60" s="97">
        <f t="shared" si="86"/>
        <v>816</v>
      </c>
      <c r="U60" s="99">
        <f t="shared" si="86"/>
        <v>675</v>
      </c>
    </row>
    <row r="62" spans="1:25" ht="14.4">
      <c r="A62" s="289" t="s">
        <v>71</v>
      </c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3"/>
      <c r="P62" s="15" t="s">
        <v>2</v>
      </c>
      <c r="Q62" s="120" t="s">
        <v>3</v>
      </c>
      <c r="R62" s="15"/>
      <c r="S62" s="120"/>
    </row>
    <row r="63" spans="1:25" ht="14.4">
      <c r="A63" s="19"/>
      <c r="B63" s="290" t="str">
        <f>C50</f>
        <v>OCT</v>
      </c>
      <c r="C63" s="285"/>
      <c r="D63" s="285"/>
      <c r="E63" s="130"/>
      <c r="F63" s="290" t="str">
        <f>G50</f>
        <v>NOV</v>
      </c>
      <c r="G63" s="285"/>
      <c r="H63" s="285"/>
      <c r="I63" s="130"/>
      <c r="J63" s="290" t="str">
        <f>L50</f>
        <v>DEC</v>
      </c>
      <c r="K63" s="285"/>
      <c r="L63" s="285"/>
      <c r="M63" s="130"/>
      <c r="N63" s="130" t="s">
        <v>14</v>
      </c>
      <c r="O63" s="150"/>
      <c r="P63" s="29"/>
      <c r="Q63" s="29"/>
    </row>
    <row r="64" spans="1:25" ht="28.8">
      <c r="A64" s="36"/>
      <c r="B64" s="132" t="s">
        <v>13</v>
      </c>
      <c r="C64" s="132" t="s">
        <v>26</v>
      </c>
      <c r="D64" s="132" t="s">
        <v>29</v>
      </c>
      <c r="E64" s="132"/>
      <c r="F64" s="132" t="s">
        <v>26</v>
      </c>
      <c r="G64" s="132" t="s">
        <v>29</v>
      </c>
      <c r="H64" s="132"/>
      <c r="I64" s="132"/>
      <c r="J64" s="132" t="s">
        <v>26</v>
      </c>
      <c r="K64" s="132" t="s">
        <v>29</v>
      </c>
      <c r="L64" s="132"/>
      <c r="M64" s="132" t="s">
        <v>13</v>
      </c>
      <c r="N64" s="132" t="s">
        <v>26</v>
      </c>
      <c r="O64" s="135" t="s">
        <v>29</v>
      </c>
      <c r="Q64" s="29"/>
    </row>
    <row r="65" spans="1:17" ht="14.4">
      <c r="A65" s="51" t="s">
        <v>36</v>
      </c>
      <c r="B65" s="152"/>
      <c r="C65" s="39">
        <v>69</v>
      </c>
      <c r="D65" s="57">
        <v>48</v>
      </c>
      <c r="E65" s="61">
        <f t="shared" ref="E65:E78" si="87">C65/D65</f>
        <v>1.4375</v>
      </c>
      <c r="F65" s="39">
        <v>49</v>
      </c>
      <c r="G65" s="57">
        <v>45</v>
      </c>
      <c r="H65" s="61">
        <f t="shared" ref="H65:H78" si="88">F65/G65</f>
        <v>1.0888888888888888</v>
      </c>
      <c r="I65" s="39"/>
      <c r="J65" s="39">
        <v>23</v>
      </c>
      <c r="K65" s="57">
        <v>32</v>
      </c>
      <c r="L65" s="61">
        <f t="shared" ref="L65:L78" si="89">J65/K65</f>
        <v>0.71875</v>
      </c>
      <c r="M65" s="65">
        <f t="shared" ref="M65:M68" si="90">B65</f>
        <v>0</v>
      </c>
      <c r="N65" s="66">
        <f t="shared" ref="N65:O65" si="91">J65+F65+C65</f>
        <v>141</v>
      </c>
      <c r="O65" s="68">
        <f t="shared" si="91"/>
        <v>125</v>
      </c>
      <c r="P65" s="163"/>
      <c r="Q65" s="29" t="s">
        <v>49</v>
      </c>
    </row>
    <row r="66" spans="1:17" ht="14.4">
      <c r="A66" s="51" t="s">
        <v>40</v>
      </c>
      <c r="B66" s="152"/>
      <c r="C66" s="39">
        <v>47</v>
      </c>
      <c r="D66" s="57">
        <v>47</v>
      </c>
      <c r="E66" s="61">
        <f t="shared" si="87"/>
        <v>1</v>
      </c>
      <c r="F66" s="39">
        <v>36</v>
      </c>
      <c r="G66" s="57">
        <v>43</v>
      </c>
      <c r="H66" s="61">
        <f t="shared" si="88"/>
        <v>0.83720930232558144</v>
      </c>
      <c r="I66" s="39"/>
      <c r="J66" s="39">
        <v>29</v>
      </c>
      <c r="K66" s="57">
        <v>31</v>
      </c>
      <c r="L66" s="61">
        <f t="shared" si="89"/>
        <v>0.93548387096774188</v>
      </c>
      <c r="M66" s="65">
        <f t="shared" si="90"/>
        <v>0</v>
      </c>
      <c r="N66" s="66">
        <f t="shared" ref="N66:O66" si="92">J66+F66+C66</f>
        <v>112</v>
      </c>
      <c r="O66" s="68">
        <f t="shared" si="92"/>
        <v>121</v>
      </c>
      <c r="P66" s="163"/>
      <c r="Q66" s="29" t="s">
        <v>49</v>
      </c>
    </row>
    <row r="67" spans="1:17" ht="14.4">
      <c r="A67" s="51" t="s">
        <v>41</v>
      </c>
      <c r="B67" s="152"/>
      <c r="C67" s="39">
        <v>46</v>
      </c>
      <c r="D67" s="57">
        <v>59</v>
      </c>
      <c r="E67" s="61">
        <f t="shared" si="87"/>
        <v>0.77966101694915257</v>
      </c>
      <c r="F67" s="39">
        <v>40</v>
      </c>
      <c r="G67" s="57">
        <v>54</v>
      </c>
      <c r="H67" s="61">
        <f t="shared" si="88"/>
        <v>0.7407407407407407</v>
      </c>
      <c r="I67" s="39"/>
      <c r="J67" s="39">
        <v>23</v>
      </c>
      <c r="K67" s="57">
        <v>39</v>
      </c>
      <c r="L67" s="61">
        <f t="shared" si="89"/>
        <v>0.58974358974358976</v>
      </c>
      <c r="M67" s="65">
        <f t="shared" si="90"/>
        <v>0</v>
      </c>
      <c r="N67" s="66">
        <f t="shared" ref="N67:O67" si="93">J67+F67+C67</f>
        <v>109</v>
      </c>
      <c r="O67" s="68">
        <f t="shared" si="93"/>
        <v>152</v>
      </c>
      <c r="P67" s="83">
        <v>46024</v>
      </c>
      <c r="Q67" s="29" t="s">
        <v>49</v>
      </c>
    </row>
    <row r="68" spans="1:17" ht="14.4">
      <c r="A68" s="51" t="s">
        <v>48</v>
      </c>
      <c r="B68" s="152"/>
      <c r="C68" s="70">
        <v>64</v>
      </c>
      <c r="D68" s="57">
        <v>62</v>
      </c>
      <c r="E68" s="61">
        <f t="shared" si="87"/>
        <v>1.032258064516129</v>
      </c>
      <c r="F68" s="39">
        <v>50</v>
      </c>
      <c r="G68" s="57">
        <v>57</v>
      </c>
      <c r="H68" s="61">
        <f t="shared" si="88"/>
        <v>0.8771929824561403</v>
      </c>
      <c r="I68" s="39"/>
      <c r="J68" s="39">
        <v>32</v>
      </c>
      <c r="K68" s="57">
        <v>40</v>
      </c>
      <c r="L68" s="61">
        <f t="shared" si="89"/>
        <v>0.8</v>
      </c>
      <c r="M68" s="65">
        <f t="shared" si="90"/>
        <v>0</v>
      </c>
      <c r="N68" s="66">
        <f t="shared" ref="N68:O68" si="94">J68+F68+C68</f>
        <v>146</v>
      </c>
      <c r="O68" s="68">
        <f t="shared" si="94"/>
        <v>159</v>
      </c>
      <c r="P68" s="163">
        <v>46024</v>
      </c>
      <c r="Q68" s="29" t="s">
        <v>49</v>
      </c>
    </row>
    <row r="69" spans="1:17" ht="14.4">
      <c r="A69" s="89" t="s">
        <v>44</v>
      </c>
      <c r="B69" s="78">
        <f t="shared" ref="B69:D69" si="95">SUM(B65:B68)</f>
        <v>0</v>
      </c>
      <c r="C69" s="78">
        <f t="shared" si="95"/>
        <v>226</v>
      </c>
      <c r="D69" s="78">
        <f t="shared" si="95"/>
        <v>216</v>
      </c>
      <c r="E69" s="61">
        <f t="shared" si="87"/>
        <v>1.0462962962962963</v>
      </c>
      <c r="F69" s="78">
        <f t="shared" ref="F69:G69" si="96">SUM(F65:F68)</f>
        <v>175</v>
      </c>
      <c r="G69" s="78">
        <f t="shared" si="96"/>
        <v>199</v>
      </c>
      <c r="H69" s="61">
        <f t="shared" si="88"/>
        <v>0.87939698492462315</v>
      </c>
      <c r="I69" s="141"/>
      <c r="J69" s="78">
        <f t="shared" ref="J69:K69" si="97">SUM(J65:J68)</f>
        <v>107</v>
      </c>
      <c r="K69" s="78">
        <f t="shared" si="97"/>
        <v>142</v>
      </c>
      <c r="L69" s="61">
        <f t="shared" si="89"/>
        <v>0.75352112676056338</v>
      </c>
      <c r="M69" s="78">
        <f t="shared" ref="M69:O69" si="98">SUM(M65:M68)</f>
        <v>0</v>
      </c>
      <c r="N69" s="78">
        <f t="shared" si="98"/>
        <v>508</v>
      </c>
      <c r="O69" s="92">
        <f t="shared" si="98"/>
        <v>557</v>
      </c>
      <c r="Q69" s="29"/>
    </row>
    <row r="70" spans="1:17" ht="14.4">
      <c r="A70" s="51" t="s">
        <v>52</v>
      </c>
      <c r="B70" s="152"/>
      <c r="C70" s="66">
        <v>43</v>
      </c>
      <c r="D70" s="57">
        <v>44</v>
      </c>
      <c r="E70" s="61">
        <f t="shared" si="87"/>
        <v>0.97727272727272729</v>
      </c>
      <c r="F70" s="39">
        <v>42</v>
      </c>
      <c r="G70" s="57">
        <v>41</v>
      </c>
      <c r="H70" s="61">
        <f t="shared" si="88"/>
        <v>1.024390243902439</v>
      </c>
      <c r="I70" s="39"/>
      <c r="J70" s="39">
        <v>28</v>
      </c>
      <c r="K70" s="57">
        <v>28</v>
      </c>
      <c r="L70" s="61">
        <f t="shared" si="89"/>
        <v>1</v>
      </c>
      <c r="M70" s="65">
        <f t="shared" ref="M70:M73" si="99">B70</f>
        <v>0</v>
      </c>
      <c r="N70" s="66">
        <f t="shared" ref="N70:O70" si="100">J70+F70+C70</f>
        <v>113</v>
      </c>
      <c r="O70" s="68">
        <f t="shared" si="100"/>
        <v>113</v>
      </c>
      <c r="P70" s="83">
        <v>46020</v>
      </c>
      <c r="Q70" s="29" t="s">
        <v>56</v>
      </c>
    </row>
    <row r="71" spans="1:17" ht="14.4">
      <c r="A71" s="51" t="s">
        <v>51</v>
      </c>
      <c r="B71" s="152"/>
      <c r="C71" s="66">
        <v>36</v>
      </c>
      <c r="D71" s="57">
        <v>51</v>
      </c>
      <c r="E71" s="61">
        <f t="shared" si="87"/>
        <v>0.70588235294117652</v>
      </c>
      <c r="F71" s="39">
        <v>27</v>
      </c>
      <c r="G71" s="57">
        <v>47</v>
      </c>
      <c r="H71" s="61">
        <f t="shared" si="88"/>
        <v>0.57446808510638303</v>
      </c>
      <c r="I71" s="39"/>
      <c r="J71" s="39">
        <v>31</v>
      </c>
      <c r="K71" s="57">
        <v>33</v>
      </c>
      <c r="L71" s="61">
        <f t="shared" si="89"/>
        <v>0.93939393939393945</v>
      </c>
      <c r="M71" s="65">
        <f t="shared" si="99"/>
        <v>0</v>
      </c>
      <c r="N71" s="66">
        <f t="shared" ref="N71:O71" si="101">J71+F71+C71</f>
        <v>94</v>
      </c>
      <c r="O71" s="68">
        <f t="shared" si="101"/>
        <v>131</v>
      </c>
      <c r="P71" s="83">
        <v>46020</v>
      </c>
      <c r="Q71" s="29" t="s">
        <v>56</v>
      </c>
    </row>
    <row r="72" spans="1:17" ht="14.4">
      <c r="A72" s="51" t="s">
        <v>46</v>
      </c>
      <c r="B72" s="152"/>
      <c r="C72" s="66">
        <v>44</v>
      </c>
      <c r="D72" s="57">
        <v>41</v>
      </c>
      <c r="E72" s="61">
        <f t="shared" si="87"/>
        <v>1.0731707317073171</v>
      </c>
      <c r="F72" s="39">
        <v>27</v>
      </c>
      <c r="G72" s="57">
        <v>38</v>
      </c>
      <c r="H72" s="61">
        <f t="shared" si="88"/>
        <v>0.71052631578947367</v>
      </c>
      <c r="I72" s="39"/>
      <c r="J72" s="39">
        <v>28</v>
      </c>
      <c r="K72" s="57">
        <v>25</v>
      </c>
      <c r="L72" s="61">
        <f t="shared" si="89"/>
        <v>1.1200000000000001</v>
      </c>
      <c r="M72" s="65">
        <f t="shared" si="99"/>
        <v>0</v>
      </c>
      <c r="N72" s="66">
        <f t="shared" ref="N72:O72" si="102">J72+F72+C72</f>
        <v>99</v>
      </c>
      <c r="O72" s="68">
        <f t="shared" si="102"/>
        <v>104</v>
      </c>
      <c r="P72" s="83">
        <v>46020</v>
      </c>
      <c r="Q72" s="29" t="s">
        <v>56</v>
      </c>
    </row>
    <row r="73" spans="1:17" ht="14.4">
      <c r="A73" s="51" t="s">
        <v>53</v>
      </c>
      <c r="B73" s="152"/>
      <c r="C73" s="66">
        <v>88</v>
      </c>
      <c r="D73" s="57">
        <v>94</v>
      </c>
      <c r="E73" s="61">
        <f t="shared" si="87"/>
        <v>0.93617021276595747</v>
      </c>
      <c r="F73" s="39">
        <v>63</v>
      </c>
      <c r="G73" s="57">
        <v>86</v>
      </c>
      <c r="H73" s="61">
        <f t="shared" si="88"/>
        <v>0.73255813953488369</v>
      </c>
      <c r="I73" s="39"/>
      <c r="J73" s="39">
        <v>54</v>
      </c>
      <c r="K73" s="57">
        <v>60</v>
      </c>
      <c r="L73" s="61">
        <f t="shared" si="89"/>
        <v>0.9</v>
      </c>
      <c r="M73" s="65">
        <f t="shared" si="99"/>
        <v>0</v>
      </c>
      <c r="N73" s="66">
        <f t="shared" ref="N73:O73" si="103">J73+F73+C73</f>
        <v>205</v>
      </c>
      <c r="O73" s="68">
        <f t="shared" si="103"/>
        <v>240</v>
      </c>
      <c r="P73" s="83">
        <v>46020</v>
      </c>
      <c r="Q73" s="29" t="s">
        <v>56</v>
      </c>
    </row>
    <row r="74" spans="1:17" ht="14.4">
      <c r="A74" s="89" t="s">
        <v>54</v>
      </c>
      <c r="B74" s="78">
        <f t="shared" ref="B74:D74" si="104">SUM(B70:B73)</f>
        <v>0</v>
      </c>
      <c r="C74" s="78">
        <f t="shared" si="104"/>
        <v>211</v>
      </c>
      <c r="D74" s="78">
        <f t="shared" si="104"/>
        <v>230</v>
      </c>
      <c r="E74" s="61">
        <f t="shared" si="87"/>
        <v>0.91739130434782612</v>
      </c>
      <c r="F74" s="78">
        <f t="shared" ref="F74:G74" si="105">SUM(F70:F73)</f>
        <v>159</v>
      </c>
      <c r="G74" s="78">
        <f t="shared" si="105"/>
        <v>212</v>
      </c>
      <c r="H74" s="61">
        <f t="shared" si="88"/>
        <v>0.75</v>
      </c>
      <c r="I74" s="141"/>
      <c r="J74" s="78">
        <f t="shared" ref="J74:K74" si="106">SUM(J70:J73)</f>
        <v>141</v>
      </c>
      <c r="K74" s="78">
        <f t="shared" si="106"/>
        <v>146</v>
      </c>
      <c r="L74" s="61">
        <f t="shared" si="89"/>
        <v>0.96575342465753422</v>
      </c>
      <c r="M74" s="78">
        <f t="shared" ref="M74:O74" si="107">SUM(M70:M73)</f>
        <v>0</v>
      </c>
      <c r="N74" s="78">
        <f t="shared" si="107"/>
        <v>511</v>
      </c>
      <c r="O74" s="92">
        <f t="shared" si="107"/>
        <v>588</v>
      </c>
      <c r="Q74" s="29"/>
    </row>
    <row r="75" spans="1:17" ht="14.4">
      <c r="A75" s="51" t="s">
        <v>55</v>
      </c>
      <c r="B75" s="152"/>
      <c r="C75" s="66">
        <v>33</v>
      </c>
      <c r="D75" s="57">
        <v>38</v>
      </c>
      <c r="E75" s="61">
        <f t="shared" si="87"/>
        <v>0.86842105263157898</v>
      </c>
      <c r="F75" s="39">
        <v>25</v>
      </c>
      <c r="G75" s="57">
        <v>35</v>
      </c>
      <c r="H75" s="61">
        <f t="shared" si="88"/>
        <v>0.7142857142857143</v>
      </c>
      <c r="I75" s="39"/>
      <c r="J75" s="39">
        <v>23</v>
      </c>
      <c r="K75" s="57">
        <v>25</v>
      </c>
      <c r="L75" s="61">
        <f t="shared" si="89"/>
        <v>0.92</v>
      </c>
      <c r="M75" s="65">
        <f t="shared" ref="M75:M77" si="108">B75</f>
        <v>0</v>
      </c>
      <c r="N75" s="66">
        <f t="shared" ref="N75:O75" si="109">J75+F75+C75</f>
        <v>81</v>
      </c>
      <c r="O75" s="68">
        <f t="shared" si="109"/>
        <v>98</v>
      </c>
      <c r="P75" s="83">
        <v>46020</v>
      </c>
      <c r="Q75" s="29" t="s">
        <v>80</v>
      </c>
    </row>
    <row r="76" spans="1:17" ht="14.4">
      <c r="A76" s="51" t="s">
        <v>57</v>
      </c>
      <c r="B76" s="152"/>
      <c r="C76" s="66">
        <v>39</v>
      </c>
      <c r="D76" s="57">
        <v>51</v>
      </c>
      <c r="E76" s="61">
        <f t="shared" si="87"/>
        <v>0.76470588235294112</v>
      </c>
      <c r="F76" s="39">
        <v>27</v>
      </c>
      <c r="G76" s="57">
        <v>47</v>
      </c>
      <c r="H76" s="61">
        <f t="shared" si="88"/>
        <v>0.57446808510638303</v>
      </c>
      <c r="I76" s="39"/>
      <c r="J76" s="39">
        <v>23</v>
      </c>
      <c r="K76" s="57">
        <v>33</v>
      </c>
      <c r="L76" s="61">
        <f t="shared" si="89"/>
        <v>0.69696969696969702</v>
      </c>
      <c r="M76" s="65">
        <f t="shared" si="108"/>
        <v>0</v>
      </c>
      <c r="N76" s="66">
        <f t="shared" ref="N76:O76" si="110">J76+F76+C76</f>
        <v>89</v>
      </c>
      <c r="O76" s="68">
        <f t="shared" si="110"/>
        <v>131</v>
      </c>
      <c r="P76" s="83">
        <v>46020</v>
      </c>
      <c r="Q76" s="29" t="s">
        <v>80</v>
      </c>
    </row>
    <row r="77" spans="1:17" ht="14.4">
      <c r="A77" s="51" t="s">
        <v>58</v>
      </c>
      <c r="B77" s="152"/>
      <c r="C77" s="66">
        <v>24</v>
      </c>
      <c r="D77" s="57">
        <v>23</v>
      </c>
      <c r="E77" s="61">
        <f t="shared" si="87"/>
        <v>1.0434782608695652</v>
      </c>
      <c r="F77" s="39">
        <v>11</v>
      </c>
      <c r="G77" s="57">
        <v>21</v>
      </c>
      <c r="H77" s="61">
        <f t="shared" si="88"/>
        <v>0.52380952380952384</v>
      </c>
      <c r="I77" s="39"/>
      <c r="J77" s="39">
        <v>7</v>
      </c>
      <c r="K77" s="57">
        <v>15</v>
      </c>
      <c r="L77" s="61">
        <f t="shared" si="89"/>
        <v>0.46666666666666667</v>
      </c>
      <c r="M77" s="65">
        <f t="shared" si="108"/>
        <v>0</v>
      </c>
      <c r="N77" s="66">
        <f t="shared" ref="N77:O77" si="111">J77+F77+C77</f>
        <v>42</v>
      </c>
      <c r="O77" s="68">
        <f t="shared" si="111"/>
        <v>59</v>
      </c>
      <c r="P77" s="83">
        <v>46020</v>
      </c>
      <c r="Q77" s="29" t="s">
        <v>80</v>
      </c>
    </row>
    <row r="78" spans="1:17" ht="14.4">
      <c r="A78" s="89" t="s">
        <v>59</v>
      </c>
      <c r="B78" s="78">
        <f t="shared" ref="B78:D78" si="112">SUM(B75:B77)</f>
        <v>0</v>
      </c>
      <c r="C78" s="78">
        <f t="shared" si="112"/>
        <v>96</v>
      </c>
      <c r="D78" s="78">
        <f t="shared" si="112"/>
        <v>112</v>
      </c>
      <c r="E78" s="61">
        <f t="shared" si="87"/>
        <v>0.8571428571428571</v>
      </c>
      <c r="F78" s="78">
        <f t="shared" ref="F78:G78" si="113">SUM(F75:F77)</f>
        <v>63</v>
      </c>
      <c r="G78" s="78">
        <f t="shared" si="113"/>
        <v>103</v>
      </c>
      <c r="H78" s="61">
        <f t="shared" si="88"/>
        <v>0.61165048543689315</v>
      </c>
      <c r="I78" s="141"/>
      <c r="J78" s="78">
        <f t="shared" ref="J78:K78" si="114">SUM(J75:J77)</f>
        <v>53</v>
      </c>
      <c r="K78" s="78">
        <f t="shared" si="114"/>
        <v>73</v>
      </c>
      <c r="L78" s="61">
        <f t="shared" si="89"/>
        <v>0.72602739726027399</v>
      </c>
      <c r="M78" s="78">
        <f t="shared" ref="M78:O78" si="115">SUM(M75:M77)</f>
        <v>0</v>
      </c>
      <c r="N78" s="78">
        <f t="shared" si="115"/>
        <v>212</v>
      </c>
      <c r="O78" s="92">
        <f t="shared" si="115"/>
        <v>288</v>
      </c>
      <c r="Q78" s="29"/>
    </row>
    <row r="79" spans="1:17" ht="14.4">
      <c r="A79" s="89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104"/>
      <c r="Q79" s="29"/>
    </row>
    <row r="80" spans="1:17" ht="13.2">
      <c r="A80" s="51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104"/>
    </row>
    <row r="81" spans="1:15" ht="13.2">
      <c r="A81" s="108" t="s">
        <v>14</v>
      </c>
      <c r="B81" s="110">
        <f t="shared" ref="B81:D81" si="116">B78+B74+B69</f>
        <v>0</v>
      </c>
      <c r="C81" s="110">
        <f t="shared" si="116"/>
        <v>533</v>
      </c>
      <c r="D81" s="110">
        <f t="shared" si="116"/>
        <v>558</v>
      </c>
      <c r="E81" s="112">
        <f>C81/D81</f>
        <v>0.95519713261648742</v>
      </c>
      <c r="F81" s="110">
        <f t="shared" ref="F81:G81" si="117">F78+F74+F69</f>
        <v>397</v>
      </c>
      <c r="G81" s="110">
        <f t="shared" si="117"/>
        <v>514</v>
      </c>
      <c r="H81" s="112">
        <f>F81/G81</f>
        <v>0.77237354085603116</v>
      </c>
      <c r="I81" s="153"/>
      <c r="J81" s="110">
        <f t="shared" ref="J81:K81" si="118">J78+J74+J69</f>
        <v>301</v>
      </c>
      <c r="K81" s="110">
        <f t="shared" si="118"/>
        <v>361</v>
      </c>
      <c r="L81" s="112">
        <f>J81/K81</f>
        <v>0.83379501385041555</v>
      </c>
      <c r="M81" s="110">
        <f t="shared" ref="M81:O81" si="119">M78+M74+M69</f>
        <v>0</v>
      </c>
      <c r="N81" s="110">
        <f t="shared" si="119"/>
        <v>1231</v>
      </c>
      <c r="O81" s="115">
        <f t="shared" si="119"/>
        <v>1433</v>
      </c>
    </row>
  </sheetData>
  <mergeCells count="16">
    <mergeCell ref="A25:G25"/>
    <mergeCell ref="L26:P26"/>
    <mergeCell ref="F63:H63"/>
    <mergeCell ref="J63:L63"/>
    <mergeCell ref="A49:U49"/>
    <mergeCell ref="C50:F50"/>
    <mergeCell ref="G50:K50"/>
    <mergeCell ref="L50:O50"/>
    <mergeCell ref="R50:U50"/>
    <mergeCell ref="A62:O62"/>
    <mergeCell ref="B63:D63"/>
    <mergeCell ref="A3:Y3"/>
    <mergeCell ref="C4:F4"/>
    <mergeCell ref="H4:L4"/>
    <mergeCell ref="N4:S4"/>
    <mergeCell ref="V4:Y4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BA81"/>
  <sheetViews>
    <sheetView workbookViewId="0"/>
  </sheetViews>
  <sheetFormatPr defaultColWidth="12.6640625" defaultRowHeight="15.75" customHeight="1"/>
  <cols>
    <col min="2" max="2" width="7.109375" customWidth="1"/>
    <col min="3" max="3" width="9" customWidth="1"/>
    <col min="4" max="4" width="8.88671875" customWidth="1"/>
    <col min="5" max="5" width="7.109375" customWidth="1"/>
    <col min="6" max="8" width="8.109375" customWidth="1"/>
    <col min="9" max="9" width="10.33203125" customWidth="1"/>
    <col min="10" max="12" width="8.44140625" customWidth="1"/>
    <col min="13" max="13" width="9.33203125" customWidth="1"/>
    <col min="14" max="16" width="9.77734375" customWidth="1"/>
    <col min="17" max="17" width="9.21875" customWidth="1"/>
    <col min="18" max="18" width="9.88671875" customWidth="1"/>
    <col min="19" max="19" width="9.33203125" customWidth="1"/>
    <col min="20" max="20" width="7.109375" customWidth="1"/>
    <col min="21" max="21" width="10.109375" customWidth="1"/>
    <col min="22" max="22" width="9" customWidth="1"/>
    <col min="23" max="23" width="11.33203125" customWidth="1"/>
    <col min="24" max="24" width="5.88671875" customWidth="1"/>
    <col min="25" max="25" width="7.109375" customWidth="1"/>
    <col min="26" max="26" width="9.88671875" customWidth="1"/>
    <col min="27" max="27" width="9.88671875" hidden="1" customWidth="1"/>
    <col min="28" max="28" width="7.77734375" hidden="1" customWidth="1"/>
    <col min="33" max="35" width="8.77734375" customWidth="1"/>
    <col min="36" max="36" width="10.44140625" customWidth="1"/>
    <col min="37" max="51" width="8.77734375" customWidth="1"/>
  </cols>
  <sheetData>
    <row r="1" spans="1:53">
      <c r="A1" s="1" t="s">
        <v>0</v>
      </c>
      <c r="AD1" s="3"/>
    </row>
    <row r="3" spans="1:53" ht="15.75" customHeight="1">
      <c r="A3" s="291" t="s">
        <v>1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8"/>
      <c r="Y3" s="7"/>
      <c r="Z3" s="8"/>
      <c r="AA3" s="8"/>
      <c r="AB3" s="11"/>
      <c r="AC3" s="13"/>
      <c r="AD3" s="15" t="s">
        <v>2</v>
      </c>
      <c r="AE3" s="120" t="s">
        <v>3</v>
      </c>
    </row>
    <row r="4" spans="1:53" ht="15.75" customHeight="1">
      <c r="A4" s="19"/>
      <c r="B4" s="130"/>
      <c r="C4" s="277" t="s">
        <v>18</v>
      </c>
      <c r="D4" s="278"/>
      <c r="E4" s="278"/>
      <c r="F4" s="278"/>
      <c r="G4" s="128"/>
      <c r="H4" s="277" t="s">
        <v>19</v>
      </c>
      <c r="I4" s="278"/>
      <c r="J4" s="278"/>
      <c r="K4" s="278"/>
      <c r="L4" s="128"/>
      <c r="M4" s="277" t="s">
        <v>96</v>
      </c>
      <c r="N4" s="278"/>
      <c r="O4" s="278"/>
      <c r="P4" s="278"/>
      <c r="Q4" s="278"/>
      <c r="R4" s="278"/>
      <c r="S4" s="29"/>
      <c r="T4" s="130"/>
      <c r="U4" s="277" t="s">
        <v>14</v>
      </c>
      <c r="V4" s="278"/>
      <c r="W4" s="278"/>
      <c r="X4" s="279"/>
      <c r="Y4" s="25"/>
      <c r="Z4" s="25"/>
      <c r="AA4" s="25"/>
      <c r="AC4" s="34"/>
      <c r="AE4" s="29"/>
    </row>
    <row r="5" spans="1:53" ht="15.75" customHeight="1">
      <c r="A5" s="36"/>
      <c r="B5" s="132" t="s">
        <v>13</v>
      </c>
      <c r="C5" s="132" t="s">
        <v>26</v>
      </c>
      <c r="D5" s="132" t="s">
        <v>27</v>
      </c>
      <c r="E5" s="132" t="s">
        <v>28</v>
      </c>
      <c r="F5" s="132" t="s">
        <v>29</v>
      </c>
      <c r="G5" s="132"/>
      <c r="H5" s="132" t="s">
        <v>26</v>
      </c>
      <c r="I5" s="132" t="s">
        <v>27</v>
      </c>
      <c r="J5" s="132" t="s">
        <v>28</v>
      </c>
      <c r="K5" s="132" t="s">
        <v>29</v>
      </c>
      <c r="L5" s="132"/>
      <c r="M5" s="132" t="s">
        <v>26</v>
      </c>
      <c r="N5" s="134" t="s">
        <v>31</v>
      </c>
      <c r="O5" s="132" t="s">
        <v>83</v>
      </c>
      <c r="P5" s="132" t="s">
        <v>27</v>
      </c>
      <c r="Q5" s="132" t="s">
        <v>28</v>
      </c>
      <c r="R5" s="132" t="s">
        <v>29</v>
      </c>
      <c r="S5" s="132"/>
      <c r="T5" s="132" t="s">
        <v>13</v>
      </c>
      <c r="U5" s="132" t="s">
        <v>26</v>
      </c>
      <c r="V5" s="132" t="s">
        <v>27</v>
      </c>
      <c r="W5" s="132" t="s">
        <v>28</v>
      </c>
      <c r="X5" s="135" t="s">
        <v>29</v>
      </c>
      <c r="Y5" s="136" t="s">
        <v>32</v>
      </c>
      <c r="Z5" s="48" t="s">
        <v>33</v>
      </c>
      <c r="AA5" s="48" t="s">
        <v>34</v>
      </c>
      <c r="AB5" s="24" t="s">
        <v>15</v>
      </c>
      <c r="AC5" s="50" t="s">
        <v>35</v>
      </c>
      <c r="AE5" s="29"/>
      <c r="AF5" s="2">
        <v>45908</v>
      </c>
      <c r="AG5" s="24" t="s">
        <v>97</v>
      </c>
      <c r="AH5" s="26" t="s">
        <v>98</v>
      </c>
      <c r="AI5" s="26" t="s">
        <v>99</v>
      </c>
      <c r="AK5" s="26" t="s">
        <v>100</v>
      </c>
    </row>
    <row r="6" spans="1:53" ht="15.75" customHeight="1">
      <c r="A6" s="51" t="s">
        <v>36</v>
      </c>
      <c r="B6" s="152"/>
      <c r="C6" s="39">
        <v>19</v>
      </c>
      <c r="D6" s="39">
        <v>3</v>
      </c>
      <c r="E6" s="56">
        <f t="shared" ref="E6:E9" si="0">SUM(C6:D6)</f>
        <v>22</v>
      </c>
      <c r="F6" s="57">
        <v>34</v>
      </c>
      <c r="G6" s="61">
        <f t="shared" ref="G6:G19" si="1">E6/F6</f>
        <v>0.6470588235294118</v>
      </c>
      <c r="H6" s="39">
        <v>16</v>
      </c>
      <c r="I6" s="39">
        <v>1</v>
      </c>
      <c r="J6" s="56">
        <f t="shared" ref="J6:J9" si="2">SUM(H6:I6)</f>
        <v>17</v>
      </c>
      <c r="K6" s="57">
        <v>10</v>
      </c>
      <c r="L6" s="61">
        <f t="shared" ref="L6:L19" si="3">J6/K6</f>
        <v>1.7</v>
      </c>
      <c r="M6" s="39">
        <v>77</v>
      </c>
      <c r="N6" s="39">
        <v>10</v>
      </c>
      <c r="O6" s="39">
        <v>4</v>
      </c>
      <c r="P6" s="39">
        <v>1</v>
      </c>
      <c r="Q6" s="56">
        <f t="shared" ref="Q6:Q9" si="4">SUM(M6:P6)</f>
        <v>92</v>
      </c>
      <c r="R6" s="57">
        <v>98</v>
      </c>
      <c r="S6" s="61">
        <f t="shared" ref="S6:S19" si="5">Q6/R6</f>
        <v>0.93877551020408168</v>
      </c>
      <c r="T6" s="65"/>
      <c r="U6" s="66">
        <f t="shared" ref="U6:U9" si="6">M6+H6+C6+N6+O6</f>
        <v>126</v>
      </c>
      <c r="V6" s="66">
        <f t="shared" ref="V6:V9" si="7">P6+I6+D6</f>
        <v>5</v>
      </c>
      <c r="W6" s="56">
        <f t="shared" ref="W6:W9" si="8">SUM(T6:V6)</f>
        <v>131</v>
      </c>
      <c r="X6" s="68">
        <f t="shared" ref="X6:X9" si="9">R6+K6+F6</f>
        <v>142</v>
      </c>
      <c r="Y6" s="69">
        <f t="shared" ref="Y6:Y9" si="10">X6-W6</f>
        <v>11</v>
      </c>
      <c r="Z6" s="37">
        <f t="shared" ref="Z6:Z19" ca="1" si="11">ROUND(Y6/$Z$26*7,0)</f>
        <v>0</v>
      </c>
      <c r="AA6" s="37">
        <f t="shared" ref="AA6:AA9" si="12">V6+U6</f>
        <v>131</v>
      </c>
      <c r="AB6" s="66">
        <f t="shared" ref="AB6:AB9" si="13">X6</f>
        <v>142</v>
      </c>
      <c r="AC6" s="75">
        <f t="shared" ref="AC6:AC9" si="14">(U6+V6)/X6</f>
        <v>0.92253521126760563</v>
      </c>
      <c r="AD6" s="77">
        <v>45930</v>
      </c>
      <c r="AE6" s="29" t="s">
        <v>49</v>
      </c>
      <c r="AS6" s="29"/>
      <c r="AT6" s="29"/>
      <c r="AU6" s="29"/>
      <c r="AV6" s="29"/>
      <c r="AW6" s="29"/>
      <c r="AX6" s="29"/>
      <c r="AY6" s="29"/>
      <c r="AZ6" s="29"/>
      <c r="BA6" s="29"/>
    </row>
    <row r="7" spans="1:53" ht="15.75" customHeight="1">
      <c r="A7" s="51" t="s">
        <v>40</v>
      </c>
      <c r="B7" s="152"/>
      <c r="C7" s="39">
        <v>20</v>
      </c>
      <c r="D7" s="39"/>
      <c r="E7" s="56">
        <f t="shared" si="0"/>
        <v>20</v>
      </c>
      <c r="F7" s="57">
        <v>26</v>
      </c>
      <c r="G7" s="61">
        <f t="shared" si="1"/>
        <v>0.76923076923076927</v>
      </c>
      <c r="H7" s="39">
        <v>3</v>
      </c>
      <c r="I7" s="39"/>
      <c r="J7" s="56">
        <f t="shared" si="2"/>
        <v>3</v>
      </c>
      <c r="K7" s="57">
        <v>10</v>
      </c>
      <c r="L7" s="61">
        <f t="shared" si="3"/>
        <v>0.3</v>
      </c>
      <c r="M7" s="39">
        <v>52</v>
      </c>
      <c r="N7" s="39">
        <v>12</v>
      </c>
      <c r="O7" s="39">
        <v>3</v>
      </c>
      <c r="P7" s="39"/>
      <c r="Q7" s="56">
        <f t="shared" si="4"/>
        <v>67</v>
      </c>
      <c r="R7" s="57">
        <v>84</v>
      </c>
      <c r="S7" s="61">
        <f t="shared" si="5"/>
        <v>0.79761904761904767</v>
      </c>
      <c r="T7" s="65"/>
      <c r="U7" s="66">
        <f t="shared" si="6"/>
        <v>90</v>
      </c>
      <c r="V7" s="66">
        <f t="shared" si="7"/>
        <v>0</v>
      </c>
      <c r="W7" s="56">
        <f t="shared" si="8"/>
        <v>90</v>
      </c>
      <c r="X7" s="68">
        <f t="shared" si="9"/>
        <v>120</v>
      </c>
      <c r="Y7" s="69">
        <f t="shared" si="10"/>
        <v>30</v>
      </c>
      <c r="Z7" s="37">
        <f t="shared" ca="1" si="11"/>
        <v>-1</v>
      </c>
      <c r="AA7" s="37">
        <f t="shared" si="12"/>
        <v>90</v>
      </c>
      <c r="AB7" s="66">
        <f t="shared" si="13"/>
        <v>120</v>
      </c>
      <c r="AC7" s="75">
        <f t="shared" si="14"/>
        <v>0.75</v>
      </c>
      <c r="AD7" s="77">
        <v>45930</v>
      </c>
      <c r="AE7" s="29" t="s">
        <v>49</v>
      </c>
      <c r="AS7" s="29"/>
      <c r="AT7" s="29"/>
      <c r="AU7" s="29"/>
      <c r="AV7" s="29"/>
      <c r="AW7" s="29"/>
      <c r="AX7" s="29"/>
      <c r="AY7" s="29"/>
      <c r="AZ7" s="29"/>
      <c r="BA7" s="29"/>
    </row>
    <row r="8" spans="1:53" ht="15.75" customHeight="1">
      <c r="A8" s="51" t="s">
        <v>41</v>
      </c>
      <c r="B8" s="152"/>
      <c r="C8" s="39">
        <v>26</v>
      </c>
      <c r="D8" s="66"/>
      <c r="E8" s="56">
        <f t="shared" si="0"/>
        <v>26</v>
      </c>
      <c r="F8" s="57">
        <v>36</v>
      </c>
      <c r="G8" s="61">
        <f t="shared" si="1"/>
        <v>0.72222222222222221</v>
      </c>
      <c r="H8" s="39">
        <v>4</v>
      </c>
      <c r="I8" s="39"/>
      <c r="J8" s="56">
        <f t="shared" si="2"/>
        <v>4</v>
      </c>
      <c r="K8" s="57">
        <v>10</v>
      </c>
      <c r="L8" s="61">
        <f t="shared" si="3"/>
        <v>0.4</v>
      </c>
      <c r="M8" s="39">
        <v>79</v>
      </c>
      <c r="N8" s="39">
        <v>11</v>
      </c>
      <c r="O8" s="39">
        <v>3</v>
      </c>
      <c r="P8" s="39"/>
      <c r="Q8" s="56">
        <f t="shared" si="4"/>
        <v>93</v>
      </c>
      <c r="R8" s="57">
        <v>104</v>
      </c>
      <c r="S8" s="61">
        <f t="shared" si="5"/>
        <v>0.89423076923076927</v>
      </c>
      <c r="T8" s="65"/>
      <c r="U8" s="66">
        <f t="shared" si="6"/>
        <v>123</v>
      </c>
      <c r="V8" s="66">
        <f t="shared" si="7"/>
        <v>0</v>
      </c>
      <c r="W8" s="56">
        <f t="shared" si="8"/>
        <v>123</v>
      </c>
      <c r="X8" s="68">
        <f t="shared" si="9"/>
        <v>150</v>
      </c>
      <c r="Y8" s="69">
        <f t="shared" si="10"/>
        <v>27</v>
      </c>
      <c r="Z8" s="37">
        <f t="shared" ca="1" si="11"/>
        <v>-1</v>
      </c>
      <c r="AA8" s="37">
        <f t="shared" si="12"/>
        <v>123</v>
      </c>
      <c r="AB8" s="66">
        <f t="shared" si="13"/>
        <v>150</v>
      </c>
      <c r="AC8" s="75">
        <f t="shared" si="14"/>
        <v>0.82</v>
      </c>
      <c r="AD8" s="77">
        <v>45930</v>
      </c>
      <c r="AE8" s="29" t="s">
        <v>49</v>
      </c>
      <c r="AS8" s="29"/>
      <c r="AT8" s="29"/>
      <c r="AU8" s="29"/>
      <c r="AV8" s="29"/>
      <c r="AW8" s="29"/>
      <c r="AX8" s="29"/>
      <c r="AY8" s="29"/>
      <c r="AZ8" s="29"/>
      <c r="BA8" s="29"/>
    </row>
    <row r="9" spans="1:53" ht="15.75" customHeight="1">
      <c r="A9" s="51" t="s">
        <v>48</v>
      </c>
      <c r="B9" s="152"/>
      <c r="C9" s="70">
        <v>42</v>
      </c>
      <c r="D9" s="86">
        <v>4</v>
      </c>
      <c r="E9" s="56">
        <f t="shared" si="0"/>
        <v>46</v>
      </c>
      <c r="F9" s="57">
        <v>40</v>
      </c>
      <c r="G9" s="61">
        <f t="shared" si="1"/>
        <v>1.1499999999999999</v>
      </c>
      <c r="H9" s="39">
        <v>17</v>
      </c>
      <c r="I9" s="39">
        <v>1</v>
      </c>
      <c r="J9" s="56">
        <f t="shared" si="2"/>
        <v>18</v>
      </c>
      <c r="K9" s="57">
        <v>15</v>
      </c>
      <c r="L9" s="61">
        <f t="shared" si="3"/>
        <v>1.2</v>
      </c>
      <c r="M9" s="39">
        <v>72</v>
      </c>
      <c r="N9" s="39">
        <v>14</v>
      </c>
      <c r="O9" s="39">
        <v>3</v>
      </c>
      <c r="P9" s="39">
        <v>4</v>
      </c>
      <c r="Q9" s="56">
        <f t="shared" si="4"/>
        <v>93</v>
      </c>
      <c r="R9" s="57">
        <v>124</v>
      </c>
      <c r="S9" s="61">
        <f t="shared" si="5"/>
        <v>0.75</v>
      </c>
      <c r="T9" s="65"/>
      <c r="U9" s="66">
        <f t="shared" si="6"/>
        <v>148</v>
      </c>
      <c r="V9" s="66">
        <f t="shared" si="7"/>
        <v>9</v>
      </c>
      <c r="W9" s="56">
        <f t="shared" si="8"/>
        <v>157</v>
      </c>
      <c r="X9" s="68">
        <f t="shared" si="9"/>
        <v>179</v>
      </c>
      <c r="Y9" s="69">
        <f t="shared" si="10"/>
        <v>22</v>
      </c>
      <c r="Z9" s="37">
        <f t="shared" ca="1" si="11"/>
        <v>0</v>
      </c>
      <c r="AA9" s="37">
        <f t="shared" si="12"/>
        <v>157</v>
      </c>
      <c r="AB9" s="66">
        <f t="shared" si="13"/>
        <v>179</v>
      </c>
      <c r="AC9" s="75">
        <f t="shared" si="14"/>
        <v>0.87709497206703912</v>
      </c>
      <c r="AD9" s="77">
        <v>45930</v>
      </c>
      <c r="AE9" s="29" t="s">
        <v>49</v>
      </c>
      <c r="AS9" s="29"/>
      <c r="AT9" s="29"/>
      <c r="AU9" s="29"/>
      <c r="AV9" s="29"/>
      <c r="AW9" s="29"/>
      <c r="AX9" s="29"/>
      <c r="AY9" s="29"/>
      <c r="AZ9" s="29"/>
      <c r="BA9" s="29"/>
    </row>
    <row r="10" spans="1:53" ht="15.75" customHeight="1">
      <c r="A10" s="89" t="s">
        <v>44</v>
      </c>
      <c r="B10" s="78">
        <f t="shared" ref="B10:F10" si="15">SUM(B6:B9)</f>
        <v>0</v>
      </c>
      <c r="C10" s="78">
        <f t="shared" si="15"/>
        <v>107</v>
      </c>
      <c r="D10" s="78">
        <f t="shared" si="15"/>
        <v>7</v>
      </c>
      <c r="E10" s="78">
        <f t="shared" si="15"/>
        <v>114</v>
      </c>
      <c r="F10" s="78">
        <f t="shared" si="15"/>
        <v>136</v>
      </c>
      <c r="G10" s="90">
        <f t="shared" si="1"/>
        <v>0.83823529411764708</v>
      </c>
      <c r="H10" s="78">
        <f t="shared" ref="H10:K10" si="16">SUM(H6:H9)</f>
        <v>40</v>
      </c>
      <c r="I10" s="78">
        <f t="shared" si="16"/>
        <v>2</v>
      </c>
      <c r="J10" s="78">
        <f t="shared" si="16"/>
        <v>42</v>
      </c>
      <c r="K10" s="78">
        <f t="shared" si="16"/>
        <v>45</v>
      </c>
      <c r="L10" s="90">
        <f t="shared" si="3"/>
        <v>0.93333333333333335</v>
      </c>
      <c r="M10" s="78">
        <f t="shared" ref="M10:R10" si="17">SUM(M6:M9)</f>
        <v>280</v>
      </c>
      <c r="N10" s="78">
        <f t="shared" si="17"/>
        <v>47</v>
      </c>
      <c r="O10" s="78">
        <f t="shared" si="17"/>
        <v>13</v>
      </c>
      <c r="P10" s="78">
        <f t="shared" si="17"/>
        <v>5</v>
      </c>
      <c r="Q10" s="78">
        <f t="shared" si="17"/>
        <v>345</v>
      </c>
      <c r="R10" s="78">
        <f t="shared" si="17"/>
        <v>410</v>
      </c>
      <c r="S10" s="90">
        <f t="shared" si="5"/>
        <v>0.84146341463414631</v>
      </c>
      <c r="T10" s="78">
        <f t="shared" ref="T10:Y10" si="18">SUM(T6:T9)</f>
        <v>0</v>
      </c>
      <c r="U10" s="78">
        <f t="shared" si="18"/>
        <v>487</v>
      </c>
      <c r="V10" s="78">
        <f t="shared" si="18"/>
        <v>14</v>
      </c>
      <c r="W10" s="78">
        <f t="shared" si="18"/>
        <v>501</v>
      </c>
      <c r="X10" s="92">
        <f t="shared" si="18"/>
        <v>591</v>
      </c>
      <c r="Y10" s="93">
        <f t="shared" si="18"/>
        <v>90</v>
      </c>
      <c r="Z10" s="93">
        <f t="shared" ca="1" si="11"/>
        <v>-2</v>
      </c>
      <c r="AA10" s="93">
        <f t="shared" ref="AA10:AB10" si="19">SUM(AA6:AA9)</f>
        <v>501</v>
      </c>
      <c r="AB10" s="78">
        <f t="shared" si="19"/>
        <v>591</v>
      </c>
      <c r="AC10" s="94">
        <f>AA10/AB10</f>
        <v>0.84771573604060912</v>
      </c>
      <c r="AE10" s="29"/>
      <c r="AF10" s="31">
        <v>400</v>
      </c>
      <c r="AG10" s="31">
        <f>12*4</f>
        <v>48</v>
      </c>
      <c r="AH10" s="31">
        <v>48</v>
      </c>
      <c r="AI10" s="24">
        <f>AF10+AG10+AH10</f>
        <v>496</v>
      </c>
      <c r="AJ10" s="164">
        <f>AI10/X10</f>
        <v>0.83925549915397635</v>
      </c>
      <c r="AK10" s="31">
        <f>AI10-W10</f>
        <v>-5</v>
      </c>
      <c r="AS10" s="29"/>
      <c r="AT10" s="29"/>
      <c r="AU10" s="29"/>
      <c r="AV10" s="29"/>
      <c r="AW10" s="29"/>
      <c r="AX10" s="29"/>
      <c r="AY10" s="29"/>
      <c r="AZ10" s="29"/>
      <c r="BA10" s="29"/>
    </row>
    <row r="11" spans="1:53" ht="15.75" customHeight="1">
      <c r="A11" s="51" t="s">
        <v>52</v>
      </c>
      <c r="B11" s="152"/>
      <c r="C11" s="66">
        <v>19</v>
      </c>
      <c r="D11" s="66"/>
      <c r="E11" s="56">
        <f t="shared" ref="E11:E14" si="20">SUM(C11:D11)</f>
        <v>19</v>
      </c>
      <c r="F11" s="57">
        <v>28</v>
      </c>
      <c r="G11" s="61">
        <f t="shared" si="1"/>
        <v>0.6785714285714286</v>
      </c>
      <c r="H11" s="39">
        <v>11</v>
      </c>
      <c r="I11" s="39"/>
      <c r="J11" s="56">
        <f t="shared" ref="J11:J14" si="21">SUM(H11:I11)</f>
        <v>11</v>
      </c>
      <c r="K11" s="57">
        <v>9</v>
      </c>
      <c r="L11" s="61">
        <f t="shared" si="3"/>
        <v>1.2222222222222223</v>
      </c>
      <c r="M11" s="39">
        <v>39</v>
      </c>
      <c r="N11" s="39">
        <v>9</v>
      </c>
      <c r="O11" s="39">
        <v>3</v>
      </c>
      <c r="P11" s="39"/>
      <c r="Q11" s="56">
        <f t="shared" ref="Q11:Q14" si="22">SUM(M11:P11)</f>
        <v>51</v>
      </c>
      <c r="R11" s="57">
        <v>88</v>
      </c>
      <c r="S11" s="61">
        <f t="shared" si="5"/>
        <v>0.57954545454545459</v>
      </c>
      <c r="T11" s="65"/>
      <c r="U11" s="66">
        <f t="shared" ref="U11:U14" si="23">M11+H11+C11+N11+O11</f>
        <v>81</v>
      </c>
      <c r="V11" s="66">
        <f t="shared" ref="V11:V14" si="24">P11+I11+D11</f>
        <v>0</v>
      </c>
      <c r="W11" s="56">
        <f t="shared" ref="W11:W14" si="25">SUM(T11:V11)</f>
        <v>81</v>
      </c>
      <c r="X11" s="68">
        <f t="shared" ref="X11:X14" si="26">R11+K11+F11</f>
        <v>125</v>
      </c>
      <c r="Y11" s="69">
        <f t="shared" ref="Y11:Y14" si="27">X11-W11</f>
        <v>44</v>
      </c>
      <c r="Z11" s="37">
        <f t="shared" ca="1" si="11"/>
        <v>-1</v>
      </c>
      <c r="AA11" s="37">
        <f t="shared" ref="AA11:AA14" si="28">V11+U11</f>
        <v>81</v>
      </c>
      <c r="AB11" s="66">
        <f t="shared" ref="AB11:AB14" si="29">X11</f>
        <v>125</v>
      </c>
      <c r="AC11" s="75">
        <f t="shared" ref="AC11:AC14" si="30">(U11+V11)/X11</f>
        <v>0.64800000000000002</v>
      </c>
      <c r="AD11" s="77"/>
      <c r="AE11" s="29" t="s">
        <v>56</v>
      </c>
      <c r="AS11" s="29"/>
      <c r="AT11" s="29"/>
      <c r="AU11" s="29"/>
      <c r="AV11" s="29"/>
      <c r="AW11" s="29"/>
      <c r="AX11" s="29"/>
      <c r="AY11" s="29"/>
      <c r="AZ11" s="29"/>
      <c r="BA11" s="29"/>
    </row>
    <row r="12" spans="1:53" ht="15.75" customHeight="1">
      <c r="A12" s="51" t="s">
        <v>51</v>
      </c>
      <c r="B12" s="152"/>
      <c r="C12" s="66">
        <v>15</v>
      </c>
      <c r="D12" s="66"/>
      <c r="E12" s="56">
        <f t="shared" si="20"/>
        <v>15</v>
      </c>
      <c r="F12" s="57">
        <v>33</v>
      </c>
      <c r="G12" s="61">
        <f t="shared" si="1"/>
        <v>0.45454545454545453</v>
      </c>
      <c r="H12" s="39">
        <v>16</v>
      </c>
      <c r="I12" s="39"/>
      <c r="J12" s="56">
        <f t="shared" si="21"/>
        <v>16</v>
      </c>
      <c r="K12" s="57">
        <v>10</v>
      </c>
      <c r="L12" s="61">
        <f t="shared" si="3"/>
        <v>1.6</v>
      </c>
      <c r="M12" s="39">
        <v>79</v>
      </c>
      <c r="N12" s="39">
        <v>11</v>
      </c>
      <c r="O12" s="39">
        <v>2</v>
      </c>
      <c r="P12" s="39"/>
      <c r="Q12" s="56">
        <f t="shared" si="22"/>
        <v>92</v>
      </c>
      <c r="R12" s="57">
        <v>100</v>
      </c>
      <c r="S12" s="61">
        <f t="shared" si="5"/>
        <v>0.92</v>
      </c>
      <c r="T12" s="65"/>
      <c r="U12" s="66">
        <f t="shared" si="23"/>
        <v>123</v>
      </c>
      <c r="V12" s="66">
        <f t="shared" si="24"/>
        <v>0</v>
      </c>
      <c r="W12" s="56">
        <f t="shared" si="25"/>
        <v>123</v>
      </c>
      <c r="X12" s="68">
        <f t="shared" si="26"/>
        <v>143</v>
      </c>
      <c r="Y12" s="69">
        <f t="shared" si="27"/>
        <v>20</v>
      </c>
      <c r="Z12" s="37">
        <f t="shared" ca="1" si="11"/>
        <v>0</v>
      </c>
      <c r="AA12" s="37">
        <f t="shared" si="28"/>
        <v>123</v>
      </c>
      <c r="AB12" s="66">
        <f t="shared" si="29"/>
        <v>143</v>
      </c>
      <c r="AC12" s="75">
        <f t="shared" si="30"/>
        <v>0.8601398601398601</v>
      </c>
      <c r="AD12" s="77"/>
      <c r="AE12" s="29" t="s">
        <v>56</v>
      </c>
      <c r="AS12" s="29"/>
      <c r="AT12" s="29"/>
      <c r="AU12" s="29"/>
      <c r="AV12" s="29"/>
      <c r="AW12" s="29"/>
      <c r="AX12" s="29"/>
      <c r="AY12" s="29"/>
      <c r="AZ12" s="29"/>
      <c r="BA12" s="29"/>
    </row>
    <row r="13" spans="1:53" ht="15.75" customHeight="1">
      <c r="A13" s="51" t="s">
        <v>46</v>
      </c>
      <c r="B13" s="152"/>
      <c r="C13" s="66">
        <v>13</v>
      </c>
      <c r="D13" s="66"/>
      <c r="E13" s="56">
        <f t="shared" si="20"/>
        <v>13</v>
      </c>
      <c r="F13" s="57">
        <v>32</v>
      </c>
      <c r="G13" s="61">
        <f t="shared" si="1"/>
        <v>0.40625</v>
      </c>
      <c r="H13" s="39">
        <v>5</v>
      </c>
      <c r="I13" s="39"/>
      <c r="J13" s="56">
        <f t="shared" si="21"/>
        <v>5</v>
      </c>
      <c r="K13" s="57">
        <v>12</v>
      </c>
      <c r="L13" s="61">
        <f t="shared" si="3"/>
        <v>0.41666666666666669</v>
      </c>
      <c r="M13" s="39">
        <v>81</v>
      </c>
      <c r="N13" s="39">
        <v>10</v>
      </c>
      <c r="O13" s="39">
        <v>3</v>
      </c>
      <c r="P13" s="39"/>
      <c r="Q13" s="56">
        <f t="shared" si="22"/>
        <v>94</v>
      </c>
      <c r="R13" s="57">
        <v>103</v>
      </c>
      <c r="S13" s="61">
        <f t="shared" si="5"/>
        <v>0.91262135922330101</v>
      </c>
      <c r="T13" s="65"/>
      <c r="U13" s="66">
        <f t="shared" si="23"/>
        <v>112</v>
      </c>
      <c r="V13" s="66">
        <f t="shared" si="24"/>
        <v>0</v>
      </c>
      <c r="W13" s="56">
        <f t="shared" si="25"/>
        <v>112</v>
      </c>
      <c r="X13" s="68">
        <f t="shared" si="26"/>
        <v>147</v>
      </c>
      <c r="Y13" s="69">
        <f t="shared" si="27"/>
        <v>35</v>
      </c>
      <c r="Z13" s="37">
        <f t="shared" ca="1" si="11"/>
        <v>-1</v>
      </c>
      <c r="AA13" s="37">
        <f t="shared" si="28"/>
        <v>112</v>
      </c>
      <c r="AB13" s="66">
        <f t="shared" si="29"/>
        <v>147</v>
      </c>
      <c r="AC13" s="75">
        <f t="shared" si="30"/>
        <v>0.76190476190476186</v>
      </c>
      <c r="AD13" s="77"/>
      <c r="AE13" s="29" t="s">
        <v>56</v>
      </c>
      <c r="AS13" s="29"/>
      <c r="AT13" s="29"/>
      <c r="AU13" s="29"/>
      <c r="AV13" s="29"/>
      <c r="AW13" s="29"/>
      <c r="AX13" s="29"/>
      <c r="AY13" s="29"/>
      <c r="AZ13" s="29"/>
      <c r="BA13" s="29"/>
    </row>
    <row r="14" spans="1:53" ht="15.75" customHeight="1">
      <c r="A14" s="51" t="s">
        <v>53</v>
      </c>
      <c r="B14" s="152"/>
      <c r="C14" s="66">
        <v>33</v>
      </c>
      <c r="D14" s="66"/>
      <c r="E14" s="56">
        <f t="shared" si="20"/>
        <v>33</v>
      </c>
      <c r="F14" s="57">
        <v>44</v>
      </c>
      <c r="G14" s="61">
        <f t="shared" si="1"/>
        <v>0.75</v>
      </c>
      <c r="H14" s="39">
        <v>6</v>
      </c>
      <c r="I14" s="39"/>
      <c r="J14" s="56">
        <f t="shared" si="21"/>
        <v>6</v>
      </c>
      <c r="K14" s="57">
        <v>18</v>
      </c>
      <c r="L14" s="61">
        <f t="shared" si="3"/>
        <v>0.33333333333333331</v>
      </c>
      <c r="M14" s="39">
        <v>96</v>
      </c>
      <c r="N14" s="39">
        <v>16</v>
      </c>
      <c r="O14" s="39">
        <v>3</v>
      </c>
      <c r="P14" s="39">
        <v>0</v>
      </c>
      <c r="Q14" s="56">
        <f t="shared" si="22"/>
        <v>115</v>
      </c>
      <c r="R14" s="57">
        <v>140</v>
      </c>
      <c r="S14" s="61">
        <f t="shared" si="5"/>
        <v>0.8214285714285714</v>
      </c>
      <c r="T14" s="65"/>
      <c r="U14" s="66">
        <f t="shared" si="23"/>
        <v>154</v>
      </c>
      <c r="V14" s="66">
        <f t="shared" si="24"/>
        <v>0</v>
      </c>
      <c r="W14" s="56">
        <f t="shared" si="25"/>
        <v>154</v>
      </c>
      <c r="X14" s="68">
        <f t="shared" si="26"/>
        <v>202</v>
      </c>
      <c r="Y14" s="69">
        <f t="shared" si="27"/>
        <v>48</v>
      </c>
      <c r="Z14" s="37">
        <f t="shared" ca="1" si="11"/>
        <v>-1</v>
      </c>
      <c r="AA14" s="37">
        <f t="shared" si="28"/>
        <v>154</v>
      </c>
      <c r="AB14" s="66">
        <f t="shared" si="29"/>
        <v>202</v>
      </c>
      <c r="AC14" s="75">
        <f t="shared" si="30"/>
        <v>0.76237623762376239</v>
      </c>
      <c r="AD14" s="77"/>
      <c r="AE14" s="29" t="s">
        <v>56</v>
      </c>
      <c r="AS14" s="29"/>
      <c r="AT14" s="29"/>
      <c r="AU14" s="29"/>
      <c r="AV14" s="29"/>
      <c r="AW14" s="29"/>
      <c r="AX14" s="29"/>
      <c r="AY14" s="29"/>
      <c r="AZ14" s="29"/>
      <c r="BA14" s="29"/>
    </row>
    <row r="15" spans="1:53" ht="15.75" customHeight="1">
      <c r="A15" s="89" t="s">
        <v>54</v>
      </c>
      <c r="B15" s="78">
        <f t="shared" ref="B15:F15" si="31">SUM(B11:B14)</f>
        <v>0</v>
      </c>
      <c r="C15" s="78">
        <f t="shared" si="31"/>
        <v>80</v>
      </c>
      <c r="D15" s="78">
        <f t="shared" si="31"/>
        <v>0</v>
      </c>
      <c r="E15" s="78">
        <f t="shared" si="31"/>
        <v>80</v>
      </c>
      <c r="F15" s="78">
        <f t="shared" si="31"/>
        <v>137</v>
      </c>
      <c r="G15" s="90">
        <f t="shared" si="1"/>
        <v>0.58394160583941601</v>
      </c>
      <c r="H15" s="78">
        <f t="shared" ref="H15:K15" si="32">SUM(H11:H14)</f>
        <v>38</v>
      </c>
      <c r="I15" s="78">
        <f t="shared" si="32"/>
        <v>0</v>
      </c>
      <c r="J15" s="78">
        <f t="shared" si="32"/>
        <v>38</v>
      </c>
      <c r="K15" s="78">
        <f t="shared" si="32"/>
        <v>49</v>
      </c>
      <c r="L15" s="90">
        <f t="shared" si="3"/>
        <v>0.77551020408163263</v>
      </c>
      <c r="M15" s="78">
        <f t="shared" ref="M15:R15" si="33">SUM(M11:M14)</f>
        <v>295</v>
      </c>
      <c r="N15" s="78">
        <f t="shared" si="33"/>
        <v>46</v>
      </c>
      <c r="O15" s="78">
        <f t="shared" si="33"/>
        <v>11</v>
      </c>
      <c r="P15" s="78">
        <f t="shared" si="33"/>
        <v>0</v>
      </c>
      <c r="Q15" s="78">
        <f t="shared" si="33"/>
        <v>352</v>
      </c>
      <c r="R15" s="78">
        <f t="shared" si="33"/>
        <v>431</v>
      </c>
      <c r="S15" s="90">
        <f t="shared" si="5"/>
        <v>0.81670533642691412</v>
      </c>
      <c r="T15" s="78">
        <f t="shared" ref="T15:Y15" si="34">SUM(T11:T14)</f>
        <v>0</v>
      </c>
      <c r="U15" s="78">
        <f t="shared" si="34"/>
        <v>470</v>
      </c>
      <c r="V15" s="78">
        <f t="shared" si="34"/>
        <v>0</v>
      </c>
      <c r="W15" s="78">
        <f t="shared" si="34"/>
        <v>470</v>
      </c>
      <c r="X15" s="92">
        <f t="shared" si="34"/>
        <v>617</v>
      </c>
      <c r="Y15" s="93">
        <f t="shared" si="34"/>
        <v>147</v>
      </c>
      <c r="Z15" s="93">
        <f t="shared" ca="1" si="11"/>
        <v>-3</v>
      </c>
      <c r="AA15" s="93">
        <f t="shared" ref="AA15:AB15" si="35">SUM(AA11:AA14)</f>
        <v>470</v>
      </c>
      <c r="AB15" s="78">
        <f t="shared" si="35"/>
        <v>617</v>
      </c>
      <c r="AC15" s="94">
        <f>AA15/AB15</f>
        <v>0.7617504051863857</v>
      </c>
      <c r="AE15" s="29"/>
      <c r="AF15" s="31">
        <v>363</v>
      </c>
      <c r="AG15" s="31">
        <v>48</v>
      </c>
      <c r="AH15" s="31">
        <v>56</v>
      </c>
      <c r="AI15" s="24">
        <f>AF15+AG15+AH15</f>
        <v>467</v>
      </c>
      <c r="AJ15" s="164">
        <f>AI15/X15</f>
        <v>0.75688816855753649</v>
      </c>
      <c r="AK15" s="31">
        <f>AI15-W15</f>
        <v>-3</v>
      </c>
      <c r="AS15" s="29"/>
      <c r="AT15" s="29"/>
      <c r="AU15" s="29"/>
      <c r="AV15" s="29"/>
      <c r="AW15" s="29"/>
      <c r="AX15" s="29"/>
      <c r="AY15" s="29"/>
      <c r="AZ15" s="29"/>
      <c r="BA15" s="29"/>
    </row>
    <row r="16" spans="1:53" ht="15.75" customHeight="1">
      <c r="A16" s="51" t="s">
        <v>55</v>
      </c>
      <c r="B16" s="152"/>
      <c r="C16" s="66">
        <v>15</v>
      </c>
      <c r="D16" s="66">
        <v>9</v>
      </c>
      <c r="E16" s="56">
        <f t="shared" ref="E16:E18" si="36">SUM(C16:D16)</f>
        <v>24</v>
      </c>
      <c r="F16" s="57">
        <v>32</v>
      </c>
      <c r="G16" s="61">
        <f t="shared" si="1"/>
        <v>0.75</v>
      </c>
      <c r="H16" s="39">
        <v>2</v>
      </c>
      <c r="I16" s="39">
        <v>3</v>
      </c>
      <c r="J16" s="56">
        <f t="shared" ref="J16:J18" si="37">SUM(H16:I16)</f>
        <v>5</v>
      </c>
      <c r="K16" s="57">
        <v>11</v>
      </c>
      <c r="L16" s="61">
        <f t="shared" si="3"/>
        <v>0.45454545454545453</v>
      </c>
      <c r="M16" s="39">
        <v>32</v>
      </c>
      <c r="N16" s="39">
        <v>16</v>
      </c>
      <c r="O16" s="39">
        <v>9</v>
      </c>
      <c r="P16" s="39">
        <v>4</v>
      </c>
      <c r="Q16" s="56">
        <f t="shared" ref="Q16:Q18" si="38">SUM(M16:P16)</f>
        <v>61</v>
      </c>
      <c r="R16" s="57">
        <v>101</v>
      </c>
      <c r="S16" s="61">
        <f t="shared" si="5"/>
        <v>0.60396039603960394</v>
      </c>
      <c r="T16" s="65"/>
      <c r="U16" s="66">
        <f t="shared" ref="U16:U18" si="39">M16+H16+C16+N16+O16</f>
        <v>74</v>
      </c>
      <c r="V16" s="66">
        <f t="shared" ref="V16:V18" si="40">P16+I16+D16</f>
        <v>16</v>
      </c>
      <c r="W16" s="56">
        <f t="shared" ref="W16:W18" si="41">SUM(T16:V16)</f>
        <v>90</v>
      </c>
      <c r="X16" s="68">
        <f t="shared" ref="X16:X18" si="42">R16+K16+F16</f>
        <v>144</v>
      </c>
      <c r="Y16" s="69">
        <f t="shared" ref="Y16:Y18" si="43">X16-W16</f>
        <v>54</v>
      </c>
      <c r="Z16" s="37">
        <f t="shared" ca="1" si="11"/>
        <v>-1</v>
      </c>
      <c r="AA16" s="37">
        <f t="shared" ref="AA16:AA18" si="44">V16+U16</f>
        <v>90</v>
      </c>
      <c r="AB16" s="66">
        <f t="shared" ref="AB16:AB18" si="45">X16</f>
        <v>144</v>
      </c>
      <c r="AC16" s="75">
        <f t="shared" ref="AC16:AC18" si="46">(U16+V16)/X16</f>
        <v>0.625</v>
      </c>
      <c r="AD16" s="83">
        <v>45930</v>
      </c>
      <c r="AE16" s="29" t="s">
        <v>80</v>
      </c>
      <c r="AS16" s="29"/>
      <c r="AT16" s="29"/>
      <c r="AU16" s="29"/>
      <c r="AV16" s="29"/>
      <c r="AW16" s="29"/>
      <c r="AX16" s="29"/>
      <c r="AY16" s="29"/>
      <c r="AZ16" s="29"/>
      <c r="BA16" s="29"/>
    </row>
    <row r="17" spans="1:53" ht="15.75" customHeight="1">
      <c r="A17" s="51" t="s">
        <v>57</v>
      </c>
      <c r="B17" s="152"/>
      <c r="C17" s="66">
        <v>28</v>
      </c>
      <c r="D17" s="66"/>
      <c r="E17" s="56">
        <f t="shared" si="36"/>
        <v>28</v>
      </c>
      <c r="F17" s="57">
        <v>31</v>
      </c>
      <c r="G17" s="61">
        <f t="shared" si="1"/>
        <v>0.90322580645161288</v>
      </c>
      <c r="H17" s="39">
        <v>7</v>
      </c>
      <c r="I17" s="39"/>
      <c r="J17" s="56">
        <f t="shared" si="37"/>
        <v>7</v>
      </c>
      <c r="K17" s="57">
        <v>9</v>
      </c>
      <c r="L17" s="61">
        <f t="shared" si="3"/>
        <v>0.77777777777777779</v>
      </c>
      <c r="M17" s="39">
        <v>59</v>
      </c>
      <c r="N17" s="39">
        <v>15</v>
      </c>
      <c r="O17" s="39">
        <v>5</v>
      </c>
      <c r="P17" s="39"/>
      <c r="Q17" s="56">
        <f t="shared" si="38"/>
        <v>79</v>
      </c>
      <c r="R17" s="57">
        <v>90</v>
      </c>
      <c r="S17" s="61">
        <f t="shared" si="5"/>
        <v>0.87777777777777777</v>
      </c>
      <c r="T17" s="65"/>
      <c r="U17" s="66">
        <f t="shared" si="39"/>
        <v>114</v>
      </c>
      <c r="V17" s="66">
        <f t="shared" si="40"/>
        <v>0</v>
      </c>
      <c r="W17" s="56">
        <f t="shared" si="41"/>
        <v>114</v>
      </c>
      <c r="X17" s="68">
        <f t="shared" si="42"/>
        <v>130</v>
      </c>
      <c r="Y17" s="69">
        <f t="shared" si="43"/>
        <v>16</v>
      </c>
      <c r="Z17" s="37">
        <f t="shared" ca="1" si="11"/>
        <v>0</v>
      </c>
      <c r="AA17" s="37">
        <f t="shared" si="44"/>
        <v>114</v>
      </c>
      <c r="AB17" s="66">
        <f t="shared" si="45"/>
        <v>130</v>
      </c>
      <c r="AC17" s="75">
        <f t="shared" si="46"/>
        <v>0.87692307692307692</v>
      </c>
      <c r="AD17" s="83">
        <v>45930</v>
      </c>
      <c r="AE17" s="29" t="s">
        <v>80</v>
      </c>
      <c r="AS17" s="29"/>
      <c r="AT17" s="29"/>
      <c r="AU17" s="29"/>
      <c r="AV17" s="29"/>
      <c r="AW17" s="29"/>
      <c r="AX17" s="29"/>
      <c r="AY17" s="29"/>
      <c r="AZ17" s="29"/>
      <c r="BA17" s="29"/>
    </row>
    <row r="18" spans="1:53" ht="15.75" customHeight="1">
      <c r="A18" s="51" t="s">
        <v>58</v>
      </c>
      <c r="B18" s="152"/>
      <c r="C18" s="66">
        <v>11</v>
      </c>
      <c r="D18" s="66"/>
      <c r="E18" s="56">
        <f t="shared" si="36"/>
        <v>11</v>
      </c>
      <c r="F18" s="57">
        <v>12</v>
      </c>
      <c r="G18" s="61">
        <f t="shared" si="1"/>
        <v>0.91666666666666663</v>
      </c>
      <c r="H18" s="39">
        <v>7</v>
      </c>
      <c r="I18" s="39"/>
      <c r="J18" s="56">
        <f t="shared" si="37"/>
        <v>7</v>
      </c>
      <c r="K18" s="57">
        <v>3</v>
      </c>
      <c r="L18" s="61">
        <f t="shared" si="3"/>
        <v>2.3333333333333335</v>
      </c>
      <c r="M18" s="39">
        <v>15</v>
      </c>
      <c r="N18" s="39">
        <v>5</v>
      </c>
      <c r="O18" s="39">
        <v>2</v>
      </c>
      <c r="P18" s="39"/>
      <c r="Q18" s="56">
        <f t="shared" si="38"/>
        <v>22</v>
      </c>
      <c r="R18" s="57">
        <v>35</v>
      </c>
      <c r="S18" s="61">
        <f t="shared" si="5"/>
        <v>0.62857142857142856</v>
      </c>
      <c r="T18" s="65"/>
      <c r="U18" s="66">
        <f t="shared" si="39"/>
        <v>40</v>
      </c>
      <c r="V18" s="66">
        <f t="shared" si="40"/>
        <v>0</v>
      </c>
      <c r="W18" s="56">
        <f t="shared" si="41"/>
        <v>40</v>
      </c>
      <c r="X18" s="68">
        <f t="shared" si="42"/>
        <v>50</v>
      </c>
      <c r="Y18" s="69">
        <f t="shared" si="43"/>
        <v>10</v>
      </c>
      <c r="Z18" s="37">
        <f t="shared" ca="1" si="11"/>
        <v>0</v>
      </c>
      <c r="AA18" s="37">
        <f t="shared" si="44"/>
        <v>40</v>
      </c>
      <c r="AB18" s="66">
        <f t="shared" si="45"/>
        <v>50</v>
      </c>
      <c r="AC18" s="75">
        <f t="shared" si="46"/>
        <v>0.8</v>
      </c>
      <c r="AD18" s="83">
        <v>45930</v>
      </c>
      <c r="AE18" s="29" t="s">
        <v>80</v>
      </c>
      <c r="AS18" s="29"/>
      <c r="AT18" s="29"/>
      <c r="AU18" s="29"/>
      <c r="AV18" s="29"/>
      <c r="AW18" s="29"/>
      <c r="AX18" s="29"/>
      <c r="AY18" s="29"/>
      <c r="AZ18" s="29"/>
      <c r="BA18" s="29"/>
    </row>
    <row r="19" spans="1:53" ht="15.75" customHeight="1">
      <c r="A19" s="89" t="s">
        <v>59</v>
      </c>
      <c r="B19" s="78">
        <f t="shared" ref="B19:F19" si="47">SUM(B16:B18)</f>
        <v>0</v>
      </c>
      <c r="C19" s="78">
        <f t="shared" si="47"/>
        <v>54</v>
      </c>
      <c r="D19" s="78">
        <f t="shared" si="47"/>
        <v>9</v>
      </c>
      <c r="E19" s="78">
        <f t="shared" si="47"/>
        <v>63</v>
      </c>
      <c r="F19" s="78">
        <f t="shared" si="47"/>
        <v>75</v>
      </c>
      <c r="G19" s="90">
        <f t="shared" si="1"/>
        <v>0.84</v>
      </c>
      <c r="H19" s="78">
        <f t="shared" ref="H19:K19" si="48">SUM(H16:H18)</f>
        <v>16</v>
      </c>
      <c r="I19" s="78">
        <f t="shared" si="48"/>
        <v>3</v>
      </c>
      <c r="J19" s="78">
        <f t="shared" si="48"/>
        <v>19</v>
      </c>
      <c r="K19" s="78">
        <f t="shared" si="48"/>
        <v>23</v>
      </c>
      <c r="L19" s="90">
        <f t="shared" si="3"/>
        <v>0.82608695652173914</v>
      </c>
      <c r="M19" s="78">
        <f t="shared" ref="M19:R19" si="49">SUM(M16:M18)</f>
        <v>106</v>
      </c>
      <c r="N19" s="78">
        <f t="shared" si="49"/>
        <v>36</v>
      </c>
      <c r="O19" s="78">
        <f t="shared" si="49"/>
        <v>16</v>
      </c>
      <c r="P19" s="78">
        <f t="shared" si="49"/>
        <v>4</v>
      </c>
      <c r="Q19" s="78">
        <f t="shared" si="49"/>
        <v>162</v>
      </c>
      <c r="R19" s="78">
        <f t="shared" si="49"/>
        <v>226</v>
      </c>
      <c r="S19" s="90">
        <f t="shared" si="5"/>
        <v>0.7168141592920354</v>
      </c>
      <c r="T19" s="78">
        <f t="shared" ref="T19:Y19" si="50">SUM(T16:T18)</f>
        <v>0</v>
      </c>
      <c r="U19" s="78">
        <f t="shared" si="50"/>
        <v>228</v>
      </c>
      <c r="V19" s="78">
        <f t="shared" si="50"/>
        <v>16</v>
      </c>
      <c r="W19" s="78">
        <f t="shared" si="50"/>
        <v>244</v>
      </c>
      <c r="X19" s="92">
        <f t="shared" si="50"/>
        <v>324</v>
      </c>
      <c r="Y19" s="93">
        <f t="shared" si="50"/>
        <v>80</v>
      </c>
      <c r="Z19" s="93">
        <f t="shared" ca="1" si="11"/>
        <v>-1</v>
      </c>
      <c r="AA19" s="93">
        <f t="shared" ref="AA19:AB19" si="51">SUM(AA16:AA18)</f>
        <v>244</v>
      </c>
      <c r="AB19" s="78">
        <f t="shared" si="51"/>
        <v>324</v>
      </c>
      <c r="AC19" s="94">
        <f>AA19/AB19</f>
        <v>0.75308641975308643</v>
      </c>
      <c r="AE19" s="29"/>
      <c r="AF19" s="31">
        <v>186</v>
      </c>
      <c r="AG19" s="31">
        <v>24</v>
      </c>
      <c r="AH19" s="31">
        <v>27</v>
      </c>
      <c r="AI19" s="24">
        <f>AF19+AG19+AH19</f>
        <v>237</v>
      </c>
      <c r="AJ19" s="164">
        <f>AI19/X19</f>
        <v>0.73148148148148151</v>
      </c>
      <c r="AK19" s="31">
        <f>AI19-W19</f>
        <v>-7</v>
      </c>
      <c r="AS19" s="29"/>
      <c r="AT19" s="29"/>
      <c r="AU19" s="29"/>
      <c r="AV19" s="29"/>
      <c r="AW19" s="29"/>
      <c r="AX19" s="29"/>
      <c r="AY19" s="29"/>
      <c r="AZ19" s="29"/>
      <c r="BA19" s="29"/>
    </row>
    <row r="20" spans="1:53" ht="15.75" customHeight="1">
      <c r="A20" s="89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104"/>
      <c r="Y20" s="37"/>
      <c r="Z20" s="105"/>
      <c r="AA20" s="105"/>
      <c r="AB20" s="106"/>
      <c r="AC20" s="107"/>
      <c r="AE20" s="29"/>
      <c r="AS20" s="29"/>
      <c r="AT20" s="29"/>
      <c r="AU20" s="29"/>
      <c r="AV20" s="29"/>
      <c r="AW20" s="29"/>
      <c r="AX20" s="29"/>
      <c r="AY20" s="29"/>
      <c r="AZ20" s="29"/>
      <c r="BA20" s="29"/>
    </row>
    <row r="21" spans="1:53" ht="15.75" customHeight="1">
      <c r="A21" s="51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104"/>
      <c r="Y21" s="37"/>
      <c r="Z21" s="105"/>
      <c r="AA21" s="105"/>
      <c r="AB21" s="106"/>
      <c r="AC21" s="107"/>
      <c r="AE21" s="29"/>
      <c r="AS21" s="29"/>
      <c r="AT21" s="29"/>
      <c r="AU21" s="29"/>
      <c r="AV21" s="29"/>
      <c r="AW21" s="29"/>
      <c r="AX21" s="29"/>
      <c r="AY21" s="29"/>
      <c r="AZ21" s="29"/>
      <c r="BA21" s="29"/>
    </row>
    <row r="22" spans="1:53" ht="15.75" customHeight="1">
      <c r="A22" s="108" t="s">
        <v>14</v>
      </c>
      <c r="B22" s="110">
        <f t="shared" ref="B22:F22" si="52">B19+B15+B10</f>
        <v>0</v>
      </c>
      <c r="C22" s="110">
        <f t="shared" si="52"/>
        <v>241</v>
      </c>
      <c r="D22" s="110">
        <f t="shared" si="52"/>
        <v>16</v>
      </c>
      <c r="E22" s="110">
        <f t="shared" si="52"/>
        <v>257</v>
      </c>
      <c r="F22" s="110">
        <f t="shared" si="52"/>
        <v>348</v>
      </c>
      <c r="G22" s="112">
        <f>E22/F22</f>
        <v>0.7385057471264368</v>
      </c>
      <c r="H22" s="110">
        <f t="shared" ref="H22:K22" si="53">H19+H15+H10</f>
        <v>94</v>
      </c>
      <c r="I22" s="110">
        <f t="shared" si="53"/>
        <v>5</v>
      </c>
      <c r="J22" s="110">
        <f t="shared" si="53"/>
        <v>99</v>
      </c>
      <c r="K22" s="110">
        <f t="shared" si="53"/>
        <v>117</v>
      </c>
      <c r="L22" s="112">
        <f>J22/K22</f>
        <v>0.84615384615384615</v>
      </c>
      <c r="M22" s="110">
        <f t="shared" ref="M22:R22" si="54">M19+M15+M10</f>
        <v>681</v>
      </c>
      <c r="N22" s="110">
        <f t="shared" si="54"/>
        <v>129</v>
      </c>
      <c r="O22" s="110">
        <f t="shared" si="54"/>
        <v>40</v>
      </c>
      <c r="P22" s="110">
        <f t="shared" si="54"/>
        <v>9</v>
      </c>
      <c r="Q22" s="110">
        <f t="shared" si="54"/>
        <v>859</v>
      </c>
      <c r="R22" s="110">
        <f t="shared" si="54"/>
        <v>1067</v>
      </c>
      <c r="S22" s="112">
        <f>Q22/R22</f>
        <v>0.80506091846298033</v>
      </c>
      <c r="T22" s="110">
        <f t="shared" ref="T22:Y22" si="55">T19+T15+T10</f>
        <v>0</v>
      </c>
      <c r="U22" s="110">
        <f t="shared" si="55"/>
        <v>1185</v>
      </c>
      <c r="V22" s="110">
        <f t="shared" si="55"/>
        <v>30</v>
      </c>
      <c r="W22" s="110">
        <f t="shared" si="55"/>
        <v>1215</v>
      </c>
      <c r="X22" s="115">
        <f t="shared" si="55"/>
        <v>1532</v>
      </c>
      <c r="Y22" s="116">
        <f t="shared" si="55"/>
        <v>317</v>
      </c>
      <c r="Z22" s="117">
        <f ca="1">ROUND(Y22/$Z$26*7,0)</f>
        <v>-6</v>
      </c>
      <c r="AA22" s="116">
        <f t="shared" ref="AA22:AB22" si="56">AA19+AA15+AA10</f>
        <v>1215</v>
      </c>
      <c r="AB22" s="110">
        <f t="shared" si="56"/>
        <v>1532</v>
      </c>
      <c r="AC22" s="118">
        <f>(U22+V22)/X22</f>
        <v>0.79308093994778073</v>
      </c>
      <c r="AE22" s="29"/>
      <c r="AG22" s="31">
        <f t="shared" ref="AG22:AI22" si="57">SUM(AG10:AG21)</f>
        <v>120</v>
      </c>
      <c r="AH22" s="31">
        <f t="shared" si="57"/>
        <v>131</v>
      </c>
      <c r="AI22" s="24">
        <f t="shared" si="57"/>
        <v>1200</v>
      </c>
      <c r="AJ22" s="164">
        <f>AI22/X22</f>
        <v>0.78328981723237601</v>
      </c>
      <c r="AK22" s="24">
        <f>SUM(AK10:AK21)</f>
        <v>-15</v>
      </c>
      <c r="AS22" s="29"/>
      <c r="AT22" s="29"/>
      <c r="AU22" s="29"/>
      <c r="AV22" s="29"/>
      <c r="AW22" s="29"/>
      <c r="AX22" s="29"/>
      <c r="AY22" s="29"/>
      <c r="AZ22" s="29"/>
      <c r="BA22" s="29"/>
    </row>
    <row r="23" spans="1:53" ht="15.75" customHeight="1">
      <c r="AI23" s="24">
        <f>ROUNDUP(X22*AJ23,0)</f>
        <v>1226</v>
      </c>
      <c r="AJ23" s="164">
        <v>0.8</v>
      </c>
      <c r="AS23" s="29"/>
      <c r="AT23" s="29"/>
      <c r="AU23" s="29"/>
      <c r="AV23" s="29"/>
      <c r="AW23" s="29"/>
      <c r="AX23" s="29"/>
      <c r="AY23" s="29"/>
      <c r="AZ23" s="29"/>
      <c r="BA23" s="29"/>
    </row>
    <row r="24" spans="1:53" ht="15.75" customHeight="1">
      <c r="Z24" s="2">
        <v>45930</v>
      </c>
      <c r="AA24" s="24"/>
      <c r="AB24" s="58">
        <f>AB22-AA22</f>
        <v>317</v>
      </c>
      <c r="AS24" s="29"/>
      <c r="AT24" s="29"/>
      <c r="AU24" s="29"/>
      <c r="AV24" s="29"/>
      <c r="AW24" s="29"/>
      <c r="AX24" s="29"/>
      <c r="AY24" s="29"/>
      <c r="AZ24" s="29"/>
      <c r="BA24" s="29"/>
    </row>
    <row r="25" spans="1:53" ht="15.75" customHeight="1">
      <c r="A25" s="293" t="s">
        <v>84</v>
      </c>
      <c r="B25" s="271"/>
      <c r="C25" s="271"/>
      <c r="D25" s="271"/>
      <c r="E25" s="271"/>
      <c r="F25" s="271"/>
      <c r="G25" s="272"/>
      <c r="Z25" s="121">
        <f ca="1">TODAY()-1</f>
        <v>46307</v>
      </c>
      <c r="AS25" s="29"/>
      <c r="AT25" s="29"/>
      <c r="AU25" s="29"/>
      <c r="AV25" s="29"/>
      <c r="AW25" s="29"/>
      <c r="AX25" s="29"/>
      <c r="AY25" s="29"/>
      <c r="AZ25" s="29"/>
      <c r="BA25" s="29"/>
    </row>
    <row r="26" spans="1:53" ht="15.75" customHeight="1">
      <c r="A26" s="25"/>
      <c r="G26" s="33"/>
      <c r="Z26" s="31">
        <f ca="1">Z24-Z25</f>
        <v>-377</v>
      </c>
      <c r="AS26" s="29"/>
      <c r="AT26" s="29"/>
      <c r="AU26" s="29"/>
      <c r="AV26" s="29"/>
      <c r="AW26" s="29"/>
      <c r="AX26" s="29"/>
      <c r="AY26" s="29"/>
      <c r="AZ26" s="29"/>
      <c r="BA26" s="29"/>
    </row>
    <row r="27" spans="1:53" ht="28.8">
      <c r="A27" s="35"/>
      <c r="B27" s="132" t="s">
        <v>28</v>
      </c>
      <c r="C27" s="132" t="s">
        <v>29</v>
      </c>
      <c r="D27" s="132" t="s">
        <v>86</v>
      </c>
      <c r="F27" s="132" t="s">
        <v>87</v>
      </c>
      <c r="G27" s="33"/>
      <c r="N27" s="155"/>
      <c r="O27" s="155"/>
      <c r="P27" s="155"/>
      <c r="AI27" s="29"/>
      <c r="AJ27" s="29"/>
      <c r="AK27" s="29"/>
      <c r="AL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</row>
    <row r="28" spans="1:53" ht="14.4">
      <c r="A28" s="37" t="s">
        <v>24</v>
      </c>
      <c r="B28" s="56">
        <v>3</v>
      </c>
      <c r="C28" s="57">
        <f>12+11</f>
        <v>23</v>
      </c>
      <c r="D28" s="156">
        <f t="shared" ref="D28:D31" si="58">C28-B28</f>
        <v>20</v>
      </c>
      <c r="F28" s="156"/>
      <c r="G28" s="33"/>
      <c r="I28" s="24" t="s">
        <v>92</v>
      </c>
      <c r="R28" s="31" t="s">
        <v>0</v>
      </c>
      <c r="AI28" s="29"/>
      <c r="AJ28" s="29"/>
      <c r="AK28" s="29"/>
      <c r="AL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</row>
    <row r="29" spans="1:53" ht="14.4">
      <c r="A29" s="37" t="s">
        <v>36</v>
      </c>
      <c r="B29" s="56">
        <v>1</v>
      </c>
      <c r="C29" s="57">
        <f>6+7</f>
        <v>13</v>
      </c>
      <c r="D29" s="156">
        <f t="shared" si="58"/>
        <v>12</v>
      </c>
      <c r="F29" s="156"/>
      <c r="G29" s="33"/>
      <c r="I29" s="24" t="s">
        <v>93</v>
      </c>
      <c r="AI29" s="29"/>
      <c r="AJ29" s="29"/>
      <c r="AK29" s="29"/>
      <c r="AL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</row>
    <row r="30" spans="1:53" ht="15">
      <c r="A30" s="37" t="s">
        <v>40</v>
      </c>
      <c r="B30" s="56"/>
      <c r="C30" s="57">
        <f>5+6</f>
        <v>11</v>
      </c>
      <c r="D30" s="156">
        <f t="shared" si="58"/>
        <v>11</v>
      </c>
      <c r="F30" s="156"/>
      <c r="G30" s="33"/>
      <c r="I30" s="24" t="s">
        <v>94</v>
      </c>
      <c r="U30" s="155"/>
    </row>
    <row r="31" spans="1:53" ht="13.2">
      <c r="A31" s="37" t="s">
        <v>41</v>
      </c>
      <c r="B31" s="56"/>
      <c r="C31" s="57">
        <f>7+7</f>
        <v>14</v>
      </c>
      <c r="D31" s="156">
        <f t="shared" si="58"/>
        <v>14</v>
      </c>
      <c r="F31" s="156"/>
      <c r="G31" s="33"/>
      <c r="I31" s="24" t="s">
        <v>95</v>
      </c>
    </row>
    <row r="32" spans="1:53" ht="13.2">
      <c r="A32" s="76" t="s">
        <v>44</v>
      </c>
      <c r="B32" s="81">
        <f t="shared" ref="B32:D32" si="59">SUM(B28:B31)</f>
        <v>4</v>
      </c>
      <c r="C32" s="81">
        <f t="shared" si="59"/>
        <v>61</v>
      </c>
      <c r="D32" s="81">
        <f t="shared" si="59"/>
        <v>57</v>
      </c>
      <c r="F32" s="81">
        <f>SUM(F28:F31)</f>
        <v>0</v>
      </c>
      <c r="G32" s="33"/>
    </row>
    <row r="33" spans="1:19" ht="13.2">
      <c r="A33" s="37"/>
      <c r="B33" s="61"/>
      <c r="C33" s="61"/>
      <c r="D33" s="61"/>
      <c r="F33" s="61"/>
      <c r="G33" s="33"/>
    </row>
    <row r="34" spans="1:19" ht="13.2">
      <c r="A34" s="37" t="s">
        <v>46</v>
      </c>
      <c r="B34" s="56">
        <v>1</v>
      </c>
      <c r="C34" s="57">
        <f>7+6</f>
        <v>13</v>
      </c>
      <c r="D34" s="156">
        <f t="shared" ref="D34:D37" si="60">C34-B34</f>
        <v>12</v>
      </c>
      <c r="F34" s="156"/>
      <c r="G34" s="33"/>
    </row>
    <row r="35" spans="1:19" ht="13.2">
      <c r="A35" s="37" t="s">
        <v>51</v>
      </c>
      <c r="B35" s="56">
        <v>1</v>
      </c>
      <c r="C35" s="57">
        <f>9+9</f>
        <v>18</v>
      </c>
      <c r="D35" s="156">
        <f t="shared" si="60"/>
        <v>17</v>
      </c>
      <c r="F35" s="156">
        <v>1</v>
      </c>
      <c r="G35" s="33"/>
    </row>
    <row r="36" spans="1:19" ht="13.2">
      <c r="A36" s="37" t="s">
        <v>52</v>
      </c>
      <c r="B36" s="56"/>
      <c r="C36" s="57">
        <f>5+6</f>
        <v>11</v>
      </c>
      <c r="D36" s="156">
        <f t="shared" si="60"/>
        <v>11</v>
      </c>
      <c r="F36" s="156"/>
      <c r="G36" s="33"/>
    </row>
    <row r="37" spans="1:19" ht="13.2">
      <c r="A37" s="37" t="s">
        <v>53</v>
      </c>
      <c r="B37" s="56"/>
      <c r="C37" s="57">
        <f>9+9</f>
        <v>18</v>
      </c>
      <c r="D37" s="156">
        <f t="shared" si="60"/>
        <v>18</v>
      </c>
      <c r="F37" s="156"/>
      <c r="G37" s="33"/>
    </row>
    <row r="38" spans="1:19" ht="13.2">
      <c r="A38" s="76" t="s">
        <v>54</v>
      </c>
      <c r="B38" s="81">
        <f t="shared" ref="B38:D38" si="61">SUM(B34:B37)</f>
        <v>2</v>
      </c>
      <c r="C38" s="81">
        <f t="shared" si="61"/>
        <v>60</v>
      </c>
      <c r="D38" s="81">
        <f t="shared" si="61"/>
        <v>58</v>
      </c>
      <c r="F38" s="81">
        <f>SUM(F34:F37)</f>
        <v>1</v>
      </c>
      <c r="G38" s="33"/>
    </row>
    <row r="39" spans="1:19" ht="13.2">
      <c r="A39" s="37"/>
      <c r="B39" s="61"/>
      <c r="C39" s="61"/>
      <c r="D39" s="61"/>
      <c r="F39" s="61"/>
      <c r="G39" s="33"/>
    </row>
    <row r="40" spans="1:19" ht="14.4">
      <c r="A40" s="37" t="s">
        <v>55</v>
      </c>
      <c r="B40" s="56">
        <v>3</v>
      </c>
      <c r="C40" s="57">
        <f>9+9</f>
        <v>18</v>
      </c>
      <c r="D40" s="156">
        <f t="shared" ref="D40:D42" si="62">C40-B40</f>
        <v>15</v>
      </c>
      <c r="F40" s="156">
        <v>6</v>
      </c>
      <c r="G40" s="33"/>
      <c r="Q40" s="158"/>
      <c r="R40" s="158"/>
      <c r="S40" s="158"/>
    </row>
    <row r="41" spans="1:19" ht="14.4">
      <c r="A41" s="37" t="s">
        <v>57</v>
      </c>
      <c r="B41" s="56"/>
      <c r="C41" s="57">
        <f>5+6</f>
        <v>11</v>
      </c>
      <c r="D41" s="156">
        <f t="shared" si="62"/>
        <v>11</v>
      </c>
      <c r="F41" s="156"/>
      <c r="G41" s="33"/>
      <c r="Q41" s="158"/>
      <c r="R41" s="158"/>
      <c r="S41" s="158"/>
    </row>
    <row r="42" spans="1:19" ht="14.4">
      <c r="A42" s="37" t="s">
        <v>58</v>
      </c>
      <c r="B42" s="56"/>
      <c r="C42" s="57">
        <f>2+3</f>
        <v>5</v>
      </c>
      <c r="D42" s="156">
        <f t="shared" si="62"/>
        <v>5</v>
      </c>
      <c r="F42" s="156"/>
      <c r="G42" s="33"/>
      <c r="Q42" s="158"/>
      <c r="R42" s="158"/>
      <c r="S42" s="158"/>
    </row>
    <row r="43" spans="1:19" ht="13.2">
      <c r="A43" s="76" t="s">
        <v>59</v>
      </c>
      <c r="B43" s="81">
        <f t="shared" ref="B43:D43" si="63">SUM(B40:B42)</f>
        <v>3</v>
      </c>
      <c r="C43" s="81">
        <f t="shared" si="63"/>
        <v>34</v>
      </c>
      <c r="D43" s="81">
        <f t="shared" si="63"/>
        <v>31</v>
      </c>
      <c r="F43" s="81">
        <f>SUM(F40:F42)</f>
        <v>6</v>
      </c>
      <c r="G43" s="33"/>
    </row>
    <row r="44" spans="1:19" ht="13.2">
      <c r="A44" s="76"/>
      <c r="B44" s="66"/>
      <c r="C44" s="66"/>
      <c r="D44" s="66"/>
      <c r="F44" s="66"/>
      <c r="G44" s="33"/>
    </row>
    <row r="45" spans="1:19" ht="13.2">
      <c r="A45" s="76"/>
      <c r="B45" s="90"/>
      <c r="C45" s="90"/>
      <c r="D45" s="90"/>
      <c r="F45" s="90"/>
      <c r="G45" s="33"/>
    </row>
    <row r="46" spans="1:19" ht="13.2">
      <c r="A46" s="76" t="s">
        <v>14</v>
      </c>
      <c r="B46" s="81">
        <f t="shared" ref="B46:D46" si="64">B43+B38+B32</f>
        <v>9</v>
      </c>
      <c r="C46" s="81">
        <f t="shared" si="64"/>
        <v>155</v>
      </c>
      <c r="D46" s="81">
        <f t="shared" si="64"/>
        <v>146</v>
      </c>
      <c r="F46" s="81">
        <f>F43+F38+F32</f>
        <v>7</v>
      </c>
      <c r="G46" s="33"/>
    </row>
    <row r="47" spans="1:19" ht="13.2">
      <c r="A47" s="159"/>
      <c r="B47" s="160"/>
      <c r="C47" s="160"/>
      <c r="D47" s="160"/>
      <c r="E47" s="160"/>
      <c r="F47" s="160"/>
      <c r="G47" s="161"/>
    </row>
    <row r="49" spans="1:24" ht="14.4">
      <c r="A49" s="292" t="s">
        <v>63</v>
      </c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6"/>
      <c r="W49" s="15" t="s">
        <v>2</v>
      </c>
      <c r="X49" s="120" t="s">
        <v>3</v>
      </c>
    </row>
    <row r="50" spans="1:24" ht="14.4">
      <c r="A50" s="32"/>
      <c r="B50" s="130"/>
      <c r="C50" s="277" t="str">
        <f>C4</f>
        <v>JULY</v>
      </c>
      <c r="D50" s="278"/>
      <c r="E50" s="278"/>
      <c r="F50" s="278"/>
      <c r="G50" s="277" t="str">
        <f>H4</f>
        <v>AUG</v>
      </c>
      <c r="H50" s="278"/>
      <c r="I50" s="278"/>
      <c r="J50" s="278"/>
      <c r="K50" s="277" t="str">
        <f>M4</f>
        <v>SEP</v>
      </c>
      <c r="L50" s="278"/>
      <c r="M50" s="278"/>
      <c r="N50" s="278"/>
      <c r="O50" s="128"/>
      <c r="P50" s="128"/>
      <c r="Q50" s="277" t="s">
        <v>14</v>
      </c>
      <c r="R50" s="278"/>
      <c r="S50" s="278"/>
      <c r="T50" s="279"/>
      <c r="X50" s="29"/>
    </row>
    <row r="51" spans="1:24" ht="57.6">
      <c r="A51" s="35"/>
      <c r="B51" s="130"/>
      <c r="C51" s="132" t="s">
        <v>65</v>
      </c>
      <c r="D51" s="132" t="s">
        <v>66</v>
      </c>
      <c r="E51" s="132" t="s">
        <v>28</v>
      </c>
      <c r="F51" s="132" t="s">
        <v>67</v>
      </c>
      <c r="G51" s="132" t="s">
        <v>65</v>
      </c>
      <c r="H51" s="132" t="s">
        <v>66</v>
      </c>
      <c r="I51" s="132" t="s">
        <v>28</v>
      </c>
      <c r="J51" s="132" t="s">
        <v>67</v>
      </c>
      <c r="K51" s="132" t="s">
        <v>65</v>
      </c>
      <c r="L51" s="132" t="s">
        <v>66</v>
      </c>
      <c r="M51" s="132" t="s">
        <v>28</v>
      </c>
      <c r="N51" s="132" t="s">
        <v>67</v>
      </c>
      <c r="O51" s="38"/>
      <c r="P51" s="132"/>
      <c r="Q51" s="132" t="s">
        <v>65</v>
      </c>
      <c r="R51" s="132" t="s">
        <v>66</v>
      </c>
      <c r="S51" s="132" t="s">
        <v>28</v>
      </c>
      <c r="T51" s="135" t="s">
        <v>67</v>
      </c>
      <c r="X51" s="29"/>
    </row>
    <row r="52" spans="1:24" ht="14.4">
      <c r="A52" s="32" t="s">
        <v>24</v>
      </c>
      <c r="B52" s="130"/>
      <c r="C52" s="39">
        <v>146</v>
      </c>
      <c r="D52" s="39">
        <v>0</v>
      </c>
      <c r="E52" s="56">
        <f>SUM(C52:D52)</f>
        <v>146</v>
      </c>
      <c r="F52" s="57">
        <v>127</v>
      </c>
      <c r="G52" s="124">
        <v>81</v>
      </c>
      <c r="H52" s="39">
        <v>0</v>
      </c>
      <c r="I52" s="56">
        <f>SUM(G52:H52)</f>
        <v>81</v>
      </c>
      <c r="J52" s="57">
        <v>81</v>
      </c>
      <c r="K52" s="124">
        <v>346</v>
      </c>
      <c r="L52" s="39">
        <v>0</v>
      </c>
      <c r="M52" s="56">
        <f>SUM(K52:L52)</f>
        <v>346</v>
      </c>
      <c r="N52" s="57">
        <v>315</v>
      </c>
      <c r="O52" s="66"/>
      <c r="P52" s="65">
        <f t="shared" ref="P52:P58" si="65">B52</f>
        <v>0</v>
      </c>
      <c r="Q52" s="66">
        <f t="shared" ref="Q52:R52" si="66">K52+G52+C52</f>
        <v>573</v>
      </c>
      <c r="R52" s="66">
        <f t="shared" si="66"/>
        <v>0</v>
      </c>
      <c r="S52" s="56">
        <f>SUM(P52:R52)</f>
        <v>573</v>
      </c>
      <c r="T52" s="68">
        <f>N52+J52+F52</f>
        <v>523</v>
      </c>
      <c r="W52" s="77">
        <v>45929</v>
      </c>
      <c r="X52" s="29" t="s">
        <v>43</v>
      </c>
    </row>
    <row r="53" spans="1:24" ht="14.4">
      <c r="A53" s="35" t="s">
        <v>44</v>
      </c>
      <c r="B53" s="130"/>
      <c r="C53" s="78">
        <f t="shared" ref="C53:N53" si="67">SUM(C52)</f>
        <v>146</v>
      </c>
      <c r="D53" s="78">
        <f t="shared" si="67"/>
        <v>0</v>
      </c>
      <c r="E53" s="78">
        <f t="shared" si="67"/>
        <v>146</v>
      </c>
      <c r="F53" s="78">
        <f t="shared" si="67"/>
        <v>127</v>
      </c>
      <c r="G53" s="78">
        <f t="shared" si="67"/>
        <v>81</v>
      </c>
      <c r="H53" s="78">
        <f t="shared" si="67"/>
        <v>0</v>
      </c>
      <c r="I53" s="78">
        <f t="shared" si="67"/>
        <v>81</v>
      </c>
      <c r="J53" s="78">
        <f t="shared" si="67"/>
        <v>81</v>
      </c>
      <c r="K53" s="78">
        <f t="shared" si="67"/>
        <v>346</v>
      </c>
      <c r="L53" s="78">
        <f t="shared" si="67"/>
        <v>0</v>
      </c>
      <c r="M53" s="78">
        <f t="shared" si="67"/>
        <v>346</v>
      </c>
      <c r="N53" s="78">
        <f t="shared" si="67"/>
        <v>315</v>
      </c>
      <c r="O53" s="66"/>
      <c r="P53" s="65">
        <f t="shared" si="65"/>
        <v>0</v>
      </c>
      <c r="Q53" s="78">
        <f t="shared" ref="Q53:T53" si="68">SUM(Q52)</f>
        <v>573</v>
      </c>
      <c r="R53" s="78">
        <f t="shared" si="68"/>
        <v>0</v>
      </c>
      <c r="S53" s="78">
        <f t="shared" si="68"/>
        <v>573</v>
      </c>
      <c r="T53" s="92">
        <f t="shared" si="68"/>
        <v>523</v>
      </c>
      <c r="X53" s="29"/>
    </row>
    <row r="54" spans="1:24" ht="14.4">
      <c r="A54" s="32" t="s">
        <v>51</v>
      </c>
      <c r="B54" s="130"/>
      <c r="C54" s="39">
        <v>27</v>
      </c>
      <c r="D54" s="66"/>
      <c r="E54" s="56">
        <f>SUM(C54:D54)</f>
        <v>27</v>
      </c>
      <c r="F54" s="57">
        <v>25</v>
      </c>
      <c r="G54" s="124">
        <v>31</v>
      </c>
      <c r="H54" s="66">
        <v>0</v>
      </c>
      <c r="I54" s="56">
        <f>SUM(G54:H54)</f>
        <v>31</v>
      </c>
      <c r="J54" s="57">
        <v>15</v>
      </c>
      <c r="K54" s="124">
        <v>45</v>
      </c>
      <c r="L54" s="66">
        <v>0</v>
      </c>
      <c r="M54" s="56">
        <f>SUM(K54:L54)</f>
        <v>45</v>
      </c>
      <c r="N54" s="57">
        <v>63</v>
      </c>
      <c r="O54" s="66"/>
      <c r="P54" s="65">
        <f t="shared" si="65"/>
        <v>0</v>
      </c>
      <c r="Q54" s="66">
        <f>K54+G54+O58+C54</f>
        <v>103</v>
      </c>
      <c r="R54" s="66">
        <f>L54+H54+D54</f>
        <v>0</v>
      </c>
      <c r="S54" s="56">
        <f>SUM(P54:R54)</f>
        <v>103</v>
      </c>
      <c r="T54" s="68">
        <f>N54+J54+F54</f>
        <v>103</v>
      </c>
      <c r="W54" s="121">
        <v>45922</v>
      </c>
      <c r="X54" s="29" t="s">
        <v>56</v>
      </c>
    </row>
    <row r="55" spans="1:24" ht="14.4">
      <c r="A55" s="35" t="s">
        <v>54</v>
      </c>
      <c r="B55" s="130"/>
      <c r="C55" s="78">
        <f t="shared" ref="C55:N55" si="69">SUM(C54)</f>
        <v>27</v>
      </c>
      <c r="D55" s="78">
        <f t="shared" si="69"/>
        <v>0</v>
      </c>
      <c r="E55" s="78">
        <f t="shared" si="69"/>
        <v>27</v>
      </c>
      <c r="F55" s="78">
        <f t="shared" si="69"/>
        <v>25</v>
      </c>
      <c r="G55" s="78">
        <f t="shared" si="69"/>
        <v>31</v>
      </c>
      <c r="H55" s="78">
        <f t="shared" si="69"/>
        <v>0</v>
      </c>
      <c r="I55" s="78">
        <f t="shared" si="69"/>
        <v>31</v>
      </c>
      <c r="J55" s="78">
        <f t="shared" si="69"/>
        <v>15</v>
      </c>
      <c r="K55" s="78">
        <f t="shared" si="69"/>
        <v>45</v>
      </c>
      <c r="L55" s="78">
        <f t="shared" si="69"/>
        <v>0</v>
      </c>
      <c r="M55" s="78">
        <f t="shared" si="69"/>
        <v>45</v>
      </c>
      <c r="N55" s="78">
        <f t="shared" si="69"/>
        <v>63</v>
      </c>
      <c r="O55" s="66"/>
      <c r="P55" s="65">
        <f t="shared" si="65"/>
        <v>0</v>
      </c>
      <c r="Q55" s="78">
        <f t="shared" ref="Q55:T55" si="70">SUM(Q54)</f>
        <v>103</v>
      </c>
      <c r="R55" s="78">
        <f t="shared" si="70"/>
        <v>0</v>
      </c>
      <c r="S55" s="78">
        <f t="shared" si="70"/>
        <v>103</v>
      </c>
      <c r="T55" s="92">
        <f t="shared" si="70"/>
        <v>103</v>
      </c>
      <c r="X55" s="29"/>
    </row>
    <row r="56" spans="1:24" ht="14.4">
      <c r="A56" s="32" t="s">
        <v>55</v>
      </c>
      <c r="B56" s="130"/>
      <c r="C56" s="39">
        <v>87</v>
      </c>
      <c r="D56" s="66">
        <v>0</v>
      </c>
      <c r="E56" s="56">
        <f>SUM(C56:D56)</f>
        <v>87</v>
      </c>
      <c r="F56" s="57">
        <v>39</v>
      </c>
      <c r="G56" s="124">
        <v>108</v>
      </c>
      <c r="H56" s="66">
        <v>0</v>
      </c>
      <c r="I56" s="56">
        <f>SUM(G56:H56)</f>
        <v>108</v>
      </c>
      <c r="J56" s="57">
        <v>19</v>
      </c>
      <c r="K56" s="124">
        <v>177</v>
      </c>
      <c r="L56" s="66">
        <v>0</v>
      </c>
      <c r="M56" s="56">
        <f>SUM(K56:L56)</f>
        <v>177</v>
      </c>
      <c r="N56" s="57">
        <v>71</v>
      </c>
      <c r="O56" s="66"/>
      <c r="P56" s="65">
        <f t="shared" si="65"/>
        <v>0</v>
      </c>
      <c r="Q56" s="66">
        <f t="shared" ref="Q56:R56" si="71">K56+G56+C56</f>
        <v>372</v>
      </c>
      <c r="R56" s="66">
        <f t="shared" si="71"/>
        <v>0</v>
      </c>
      <c r="S56" s="56">
        <f>SUM(P56:R56)</f>
        <v>372</v>
      </c>
      <c r="T56" s="68">
        <f>N56+J56+F56</f>
        <v>129</v>
      </c>
      <c r="W56" s="83">
        <v>45930</v>
      </c>
      <c r="X56" s="29" t="s">
        <v>80</v>
      </c>
    </row>
    <row r="57" spans="1:24" ht="14.4">
      <c r="A57" s="35"/>
      <c r="B57" s="130"/>
      <c r="C57" s="78">
        <f t="shared" ref="C57:N57" si="72">SUM(C56)</f>
        <v>87</v>
      </c>
      <c r="D57" s="78">
        <f t="shared" si="72"/>
        <v>0</v>
      </c>
      <c r="E57" s="78">
        <f t="shared" si="72"/>
        <v>87</v>
      </c>
      <c r="F57" s="78">
        <f t="shared" si="72"/>
        <v>39</v>
      </c>
      <c r="G57" s="78">
        <f t="shared" si="72"/>
        <v>108</v>
      </c>
      <c r="H57" s="78">
        <f t="shared" si="72"/>
        <v>0</v>
      </c>
      <c r="I57" s="78">
        <f t="shared" si="72"/>
        <v>108</v>
      </c>
      <c r="J57" s="78">
        <f t="shared" si="72"/>
        <v>19</v>
      </c>
      <c r="K57" s="78">
        <f t="shared" si="72"/>
        <v>177</v>
      </c>
      <c r="L57" s="78">
        <f t="shared" si="72"/>
        <v>0</v>
      </c>
      <c r="M57" s="78">
        <f t="shared" si="72"/>
        <v>177</v>
      </c>
      <c r="N57" s="78">
        <f t="shared" si="72"/>
        <v>71</v>
      </c>
      <c r="O57" s="66"/>
      <c r="P57" s="65">
        <f t="shared" si="65"/>
        <v>0</v>
      </c>
      <c r="Q57" s="78">
        <f t="shared" ref="Q57:T57" si="73">SUM(Q56)</f>
        <v>372</v>
      </c>
      <c r="R57" s="78">
        <f t="shared" si="73"/>
        <v>0</v>
      </c>
      <c r="S57" s="78">
        <f t="shared" si="73"/>
        <v>372</v>
      </c>
      <c r="T57" s="92">
        <f t="shared" si="73"/>
        <v>129</v>
      </c>
      <c r="X57" s="29"/>
    </row>
    <row r="58" spans="1:24" ht="14.4">
      <c r="A58" s="35"/>
      <c r="B58" s="130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5">
        <f t="shared" si="65"/>
        <v>0</v>
      </c>
      <c r="Q58" s="66"/>
      <c r="R58" s="66"/>
      <c r="S58" s="66"/>
      <c r="T58" s="104"/>
    </row>
    <row r="59" spans="1:24" ht="14.4">
      <c r="A59" s="32"/>
      <c r="B59" s="29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104"/>
    </row>
    <row r="60" spans="1:24" ht="14.4">
      <c r="A60" s="126" t="s">
        <v>14</v>
      </c>
      <c r="B60" s="162"/>
      <c r="C60" s="97">
        <f t="shared" ref="C60:N60" si="74">C57+C55+C53</f>
        <v>260</v>
      </c>
      <c r="D60" s="97">
        <f t="shared" si="74"/>
        <v>0</v>
      </c>
      <c r="E60" s="97">
        <f t="shared" si="74"/>
        <v>260</v>
      </c>
      <c r="F60" s="97">
        <f t="shared" si="74"/>
        <v>191</v>
      </c>
      <c r="G60" s="97">
        <f t="shared" si="74"/>
        <v>220</v>
      </c>
      <c r="H60" s="97">
        <f t="shared" si="74"/>
        <v>0</v>
      </c>
      <c r="I60" s="97">
        <f t="shared" si="74"/>
        <v>220</v>
      </c>
      <c r="J60" s="97">
        <f t="shared" si="74"/>
        <v>115</v>
      </c>
      <c r="K60" s="97">
        <f t="shared" si="74"/>
        <v>568</v>
      </c>
      <c r="L60" s="97">
        <f t="shared" si="74"/>
        <v>0</v>
      </c>
      <c r="M60" s="97">
        <f t="shared" si="74"/>
        <v>568</v>
      </c>
      <c r="N60" s="97">
        <f t="shared" si="74"/>
        <v>449</v>
      </c>
      <c r="O60" s="127"/>
      <c r="P60" s="127"/>
      <c r="Q60" s="97">
        <f t="shared" ref="Q60:T60" si="75">Q57+Q55+Q53</f>
        <v>1048</v>
      </c>
      <c r="R60" s="97">
        <f t="shared" si="75"/>
        <v>0</v>
      </c>
      <c r="S60" s="97">
        <f t="shared" si="75"/>
        <v>1048</v>
      </c>
      <c r="T60" s="99">
        <f t="shared" si="75"/>
        <v>755</v>
      </c>
    </row>
    <row r="62" spans="1:24" ht="14.4">
      <c r="A62" s="295" t="s">
        <v>71</v>
      </c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6"/>
      <c r="Q62" s="15" t="s">
        <v>2</v>
      </c>
      <c r="R62" s="120" t="s">
        <v>3</v>
      </c>
    </row>
    <row r="63" spans="1:24" ht="14.4">
      <c r="A63" s="19"/>
      <c r="B63" s="277" t="s">
        <v>101</v>
      </c>
      <c r="C63" s="278"/>
      <c r="D63" s="278"/>
      <c r="E63" s="128"/>
      <c r="F63" s="277" t="s">
        <v>102</v>
      </c>
      <c r="G63" s="278"/>
      <c r="H63" s="278"/>
      <c r="I63" s="277" t="s">
        <v>88</v>
      </c>
      <c r="J63" s="278"/>
      <c r="K63" s="278"/>
      <c r="L63" s="128"/>
      <c r="M63" s="128" t="s">
        <v>14</v>
      </c>
      <c r="N63" s="165"/>
      <c r="P63" s="29"/>
    </row>
    <row r="64" spans="1:24" ht="28.8">
      <c r="A64" s="36"/>
      <c r="B64" s="132" t="s">
        <v>13</v>
      </c>
      <c r="C64" s="132" t="s">
        <v>26</v>
      </c>
      <c r="D64" s="132" t="s">
        <v>29</v>
      </c>
      <c r="E64" s="132"/>
      <c r="F64" s="132" t="s">
        <v>26</v>
      </c>
      <c r="G64" s="132" t="s">
        <v>29</v>
      </c>
      <c r="H64" s="132"/>
      <c r="I64" s="132" t="s">
        <v>26</v>
      </c>
      <c r="J64" s="132" t="s">
        <v>29</v>
      </c>
      <c r="K64" s="132"/>
      <c r="L64" s="132" t="s">
        <v>13</v>
      </c>
      <c r="M64" s="132" t="s">
        <v>26</v>
      </c>
      <c r="N64" s="135" t="s">
        <v>29</v>
      </c>
      <c r="P64" s="29"/>
    </row>
    <row r="65" spans="1:16" ht="14.4">
      <c r="A65" s="51" t="s">
        <v>36</v>
      </c>
      <c r="B65" s="152"/>
      <c r="C65" s="39">
        <v>61</v>
      </c>
      <c r="D65" s="57">
        <v>49</v>
      </c>
      <c r="E65" s="61">
        <f t="shared" ref="E65:E78" si="76">C65/D65</f>
        <v>1.2448979591836735</v>
      </c>
      <c r="F65" s="39">
        <v>61</v>
      </c>
      <c r="G65" s="57">
        <v>48</v>
      </c>
      <c r="H65" s="61">
        <f t="shared" ref="H65:H78" si="77">F65/G65</f>
        <v>1.2708333333333333</v>
      </c>
      <c r="I65" s="39">
        <v>67</v>
      </c>
      <c r="J65" s="57">
        <v>48</v>
      </c>
      <c r="K65" s="61">
        <f t="shared" ref="K65:K78" si="78">I65/J65</f>
        <v>1.3958333333333333</v>
      </c>
      <c r="L65" s="65">
        <f t="shared" ref="L65:L68" si="79">B65</f>
        <v>0</v>
      </c>
      <c r="M65" s="66">
        <f t="shared" ref="M65:N65" si="80">I65+F65+C65</f>
        <v>189</v>
      </c>
      <c r="N65" s="68">
        <f t="shared" si="80"/>
        <v>145</v>
      </c>
      <c r="O65" s="77">
        <v>45929</v>
      </c>
      <c r="P65" s="29" t="s">
        <v>43</v>
      </c>
    </row>
    <row r="66" spans="1:16" ht="14.4">
      <c r="A66" s="51" t="s">
        <v>40</v>
      </c>
      <c r="B66" s="152"/>
      <c r="C66" s="39">
        <v>49</v>
      </c>
      <c r="D66" s="57">
        <v>47</v>
      </c>
      <c r="E66" s="61">
        <f t="shared" si="76"/>
        <v>1.0425531914893618</v>
      </c>
      <c r="F66" s="39">
        <v>57</v>
      </c>
      <c r="G66" s="57">
        <v>46</v>
      </c>
      <c r="H66" s="61">
        <f t="shared" si="77"/>
        <v>1.2391304347826086</v>
      </c>
      <c r="I66" s="39">
        <v>53</v>
      </c>
      <c r="J66" s="57">
        <v>46</v>
      </c>
      <c r="K66" s="61">
        <f t="shared" si="78"/>
        <v>1.1521739130434783</v>
      </c>
      <c r="L66" s="65">
        <f t="shared" si="79"/>
        <v>0</v>
      </c>
      <c r="M66" s="66">
        <f t="shared" ref="M66:N66" si="81">I66+F66+C66</f>
        <v>159</v>
      </c>
      <c r="N66" s="68">
        <f t="shared" si="81"/>
        <v>139</v>
      </c>
      <c r="O66" s="77">
        <v>45929</v>
      </c>
      <c r="P66" s="29" t="s">
        <v>43</v>
      </c>
    </row>
    <row r="67" spans="1:16" ht="14.4">
      <c r="A67" s="51" t="s">
        <v>41</v>
      </c>
      <c r="B67" s="152"/>
      <c r="C67" s="39">
        <v>44</v>
      </c>
      <c r="D67" s="57">
        <v>60</v>
      </c>
      <c r="E67" s="61">
        <f t="shared" si="76"/>
        <v>0.73333333333333328</v>
      </c>
      <c r="F67" s="39">
        <v>53</v>
      </c>
      <c r="G67" s="57">
        <v>58</v>
      </c>
      <c r="H67" s="61">
        <f t="shared" si="77"/>
        <v>0.91379310344827591</v>
      </c>
      <c r="I67" s="39">
        <v>39</v>
      </c>
      <c r="J67" s="57">
        <v>58</v>
      </c>
      <c r="K67" s="61">
        <f t="shared" si="78"/>
        <v>0.67241379310344829</v>
      </c>
      <c r="L67" s="65">
        <f t="shared" si="79"/>
        <v>0</v>
      </c>
      <c r="M67" s="66">
        <f t="shared" ref="M67:N67" si="82">I67+F67+C67</f>
        <v>136</v>
      </c>
      <c r="N67" s="68">
        <f t="shared" si="82"/>
        <v>176</v>
      </c>
      <c r="O67" s="77">
        <v>45929</v>
      </c>
      <c r="P67" s="29" t="s">
        <v>43</v>
      </c>
    </row>
    <row r="68" spans="1:16" ht="14.4">
      <c r="A68" s="51" t="s">
        <v>48</v>
      </c>
      <c r="B68" s="152"/>
      <c r="C68" s="70">
        <v>59</v>
      </c>
      <c r="D68" s="57">
        <v>62</v>
      </c>
      <c r="E68" s="61">
        <f t="shared" si="76"/>
        <v>0.95161290322580649</v>
      </c>
      <c r="F68" s="39">
        <v>64</v>
      </c>
      <c r="G68" s="57">
        <v>61</v>
      </c>
      <c r="H68" s="61">
        <f t="shared" si="77"/>
        <v>1.0491803278688525</v>
      </c>
      <c r="I68" s="39">
        <v>68</v>
      </c>
      <c r="J68" s="57">
        <v>61</v>
      </c>
      <c r="K68" s="61">
        <f t="shared" si="78"/>
        <v>1.1147540983606556</v>
      </c>
      <c r="L68" s="65">
        <f t="shared" si="79"/>
        <v>0</v>
      </c>
      <c r="M68" s="66">
        <f t="shared" ref="M68:N68" si="83">I68+F68+C68</f>
        <v>191</v>
      </c>
      <c r="N68" s="68">
        <f t="shared" si="83"/>
        <v>184</v>
      </c>
      <c r="O68" s="77">
        <v>45929</v>
      </c>
      <c r="P68" s="29" t="s">
        <v>43</v>
      </c>
    </row>
    <row r="69" spans="1:16" ht="13.2">
      <c r="A69" s="89" t="s">
        <v>44</v>
      </c>
      <c r="B69" s="78">
        <f t="shared" ref="B69:D69" si="84">SUM(B65:B68)</f>
        <v>0</v>
      </c>
      <c r="C69" s="78">
        <f t="shared" si="84"/>
        <v>213</v>
      </c>
      <c r="D69" s="78">
        <f t="shared" si="84"/>
        <v>218</v>
      </c>
      <c r="E69" s="61">
        <f t="shared" si="76"/>
        <v>0.97706422018348627</v>
      </c>
      <c r="F69" s="78">
        <f t="shared" ref="F69:G69" si="85">SUM(F65:F68)</f>
        <v>235</v>
      </c>
      <c r="G69" s="78">
        <f t="shared" si="85"/>
        <v>213</v>
      </c>
      <c r="H69" s="61">
        <f t="shared" si="77"/>
        <v>1.1032863849765258</v>
      </c>
      <c r="I69" s="78">
        <f t="shared" ref="I69:J69" si="86">SUM(I65:I68)</f>
        <v>227</v>
      </c>
      <c r="J69" s="78">
        <f t="shared" si="86"/>
        <v>213</v>
      </c>
      <c r="K69" s="61">
        <f t="shared" si="78"/>
        <v>1.0657276995305165</v>
      </c>
      <c r="L69" s="78">
        <f t="shared" ref="L69:N69" si="87">SUM(L65:L68)</f>
        <v>0</v>
      </c>
      <c r="M69" s="78">
        <f t="shared" si="87"/>
        <v>675</v>
      </c>
      <c r="N69" s="92">
        <f t="shared" si="87"/>
        <v>644</v>
      </c>
    </row>
    <row r="70" spans="1:16" ht="14.4">
      <c r="A70" s="51" t="s">
        <v>52</v>
      </c>
      <c r="B70" s="152"/>
      <c r="C70" s="66">
        <v>52</v>
      </c>
      <c r="D70" s="57">
        <v>45</v>
      </c>
      <c r="E70" s="61">
        <f t="shared" si="76"/>
        <v>1.1555555555555554</v>
      </c>
      <c r="F70" s="39">
        <v>52</v>
      </c>
      <c r="G70" s="57">
        <v>44</v>
      </c>
      <c r="H70" s="61">
        <f t="shared" si="77"/>
        <v>1.1818181818181819</v>
      </c>
      <c r="I70" s="39">
        <v>37</v>
      </c>
      <c r="J70" s="57">
        <v>44</v>
      </c>
      <c r="K70" s="61">
        <f t="shared" si="78"/>
        <v>0.84090909090909094</v>
      </c>
      <c r="L70" s="65">
        <f t="shared" ref="L70:L73" si="88">B70</f>
        <v>0</v>
      </c>
      <c r="M70" s="66">
        <f t="shared" ref="M70:N70" si="89">I70+F70+C70</f>
        <v>141</v>
      </c>
      <c r="N70" s="68">
        <f t="shared" si="89"/>
        <v>133</v>
      </c>
      <c r="O70" s="77">
        <v>45922</v>
      </c>
      <c r="P70" s="29" t="s">
        <v>56</v>
      </c>
    </row>
    <row r="71" spans="1:16" ht="14.4">
      <c r="A71" s="51" t="s">
        <v>51</v>
      </c>
      <c r="B71" s="152"/>
      <c r="C71" s="66">
        <v>62</v>
      </c>
      <c r="D71" s="57">
        <v>51</v>
      </c>
      <c r="E71" s="61">
        <f t="shared" si="76"/>
        <v>1.2156862745098038</v>
      </c>
      <c r="F71" s="39">
        <v>60</v>
      </c>
      <c r="G71" s="57">
        <v>50</v>
      </c>
      <c r="H71" s="61">
        <f t="shared" si="77"/>
        <v>1.2</v>
      </c>
      <c r="I71" s="39">
        <v>34</v>
      </c>
      <c r="J71" s="57">
        <v>50</v>
      </c>
      <c r="K71" s="61">
        <f t="shared" si="78"/>
        <v>0.68</v>
      </c>
      <c r="L71" s="65">
        <f t="shared" si="88"/>
        <v>0</v>
      </c>
      <c r="M71" s="66">
        <f t="shared" ref="M71:N71" si="90">I71+F71+C71</f>
        <v>156</v>
      </c>
      <c r="N71" s="68">
        <f t="shared" si="90"/>
        <v>151</v>
      </c>
      <c r="O71" s="77">
        <v>45922</v>
      </c>
      <c r="P71" s="29" t="s">
        <v>56</v>
      </c>
    </row>
    <row r="72" spans="1:16" ht="14.4">
      <c r="A72" s="51" t="s">
        <v>46</v>
      </c>
      <c r="B72" s="152"/>
      <c r="C72" s="66">
        <v>52</v>
      </c>
      <c r="D72" s="57">
        <v>42</v>
      </c>
      <c r="E72" s="61">
        <f t="shared" si="76"/>
        <v>1.2380952380952381</v>
      </c>
      <c r="F72" s="39">
        <v>44</v>
      </c>
      <c r="G72" s="57">
        <v>41</v>
      </c>
      <c r="H72" s="61">
        <f t="shared" si="77"/>
        <v>1.0731707317073171</v>
      </c>
      <c r="I72" s="39">
        <v>34</v>
      </c>
      <c r="J72" s="57">
        <v>41</v>
      </c>
      <c r="K72" s="61">
        <f t="shared" si="78"/>
        <v>0.82926829268292679</v>
      </c>
      <c r="L72" s="65">
        <f t="shared" si="88"/>
        <v>0</v>
      </c>
      <c r="M72" s="66">
        <f t="shared" ref="M72:N72" si="91">I72+F72+C72</f>
        <v>130</v>
      </c>
      <c r="N72" s="68">
        <f t="shared" si="91"/>
        <v>124</v>
      </c>
      <c r="O72" s="77">
        <v>45922</v>
      </c>
      <c r="P72" s="29" t="s">
        <v>56</v>
      </c>
    </row>
    <row r="73" spans="1:16" ht="14.4">
      <c r="A73" s="51" t="s">
        <v>53</v>
      </c>
      <c r="B73" s="152"/>
      <c r="C73" s="66">
        <v>86</v>
      </c>
      <c r="D73" s="57">
        <v>95</v>
      </c>
      <c r="E73" s="61">
        <f t="shared" si="76"/>
        <v>0.90526315789473688</v>
      </c>
      <c r="F73" s="39">
        <v>90</v>
      </c>
      <c r="G73" s="57">
        <v>93</v>
      </c>
      <c r="H73" s="61">
        <f t="shared" si="77"/>
        <v>0.967741935483871</v>
      </c>
      <c r="I73" s="39">
        <v>77</v>
      </c>
      <c r="J73" s="57">
        <v>93</v>
      </c>
      <c r="K73" s="61">
        <f t="shared" si="78"/>
        <v>0.82795698924731187</v>
      </c>
      <c r="L73" s="65">
        <f t="shared" si="88"/>
        <v>0</v>
      </c>
      <c r="M73" s="66">
        <f t="shared" ref="M73:N73" si="92">I73+F73+C73</f>
        <v>253</v>
      </c>
      <c r="N73" s="68">
        <f t="shared" si="92"/>
        <v>281</v>
      </c>
      <c r="O73" s="77">
        <v>45922</v>
      </c>
      <c r="P73" s="29" t="s">
        <v>56</v>
      </c>
    </row>
    <row r="74" spans="1:16" ht="14.4">
      <c r="A74" s="89" t="s">
        <v>54</v>
      </c>
      <c r="B74" s="78">
        <f t="shared" ref="B74:D74" si="93">SUM(B70:B73)</f>
        <v>0</v>
      </c>
      <c r="C74" s="78">
        <f t="shared" si="93"/>
        <v>252</v>
      </c>
      <c r="D74" s="78">
        <f t="shared" si="93"/>
        <v>233</v>
      </c>
      <c r="E74" s="61">
        <f t="shared" si="76"/>
        <v>1.0815450643776825</v>
      </c>
      <c r="F74" s="78">
        <f t="shared" ref="F74:G74" si="94">SUM(F70:F73)</f>
        <v>246</v>
      </c>
      <c r="G74" s="78">
        <f t="shared" si="94"/>
        <v>228</v>
      </c>
      <c r="H74" s="61">
        <f t="shared" si="77"/>
        <v>1.0789473684210527</v>
      </c>
      <c r="I74" s="78">
        <f t="shared" ref="I74:J74" si="95">SUM(I70:I73)</f>
        <v>182</v>
      </c>
      <c r="J74" s="78">
        <f t="shared" si="95"/>
        <v>228</v>
      </c>
      <c r="K74" s="61">
        <f t="shared" si="78"/>
        <v>0.79824561403508776</v>
      </c>
      <c r="L74" s="78">
        <f t="shared" ref="L74:N74" si="96">SUM(L70:L73)</f>
        <v>0</v>
      </c>
      <c r="M74" s="78">
        <f t="shared" si="96"/>
        <v>680</v>
      </c>
      <c r="N74" s="92">
        <f t="shared" si="96"/>
        <v>689</v>
      </c>
      <c r="P74" s="29"/>
    </row>
    <row r="75" spans="1:16" ht="14.4">
      <c r="A75" s="51" t="s">
        <v>55</v>
      </c>
      <c r="B75" s="152"/>
      <c r="C75" s="66">
        <v>47</v>
      </c>
      <c r="D75" s="57">
        <v>38</v>
      </c>
      <c r="E75" s="61">
        <f t="shared" si="76"/>
        <v>1.236842105263158</v>
      </c>
      <c r="F75" s="39">
        <v>28</v>
      </c>
      <c r="G75" s="57">
        <v>37</v>
      </c>
      <c r="H75" s="61">
        <f t="shared" si="77"/>
        <v>0.7567567567567568</v>
      </c>
      <c r="I75" s="39">
        <v>34</v>
      </c>
      <c r="J75" s="57">
        <v>37</v>
      </c>
      <c r="K75" s="61">
        <f t="shared" si="78"/>
        <v>0.91891891891891897</v>
      </c>
      <c r="L75" s="65">
        <f t="shared" ref="L75:L77" si="97">B75</f>
        <v>0</v>
      </c>
      <c r="M75" s="66">
        <f t="shared" ref="M75:N75" si="98">I75+F75+C75</f>
        <v>109</v>
      </c>
      <c r="N75" s="68">
        <f t="shared" si="98"/>
        <v>112</v>
      </c>
      <c r="O75" s="83">
        <v>45930</v>
      </c>
      <c r="P75" s="29" t="s">
        <v>80</v>
      </c>
    </row>
    <row r="76" spans="1:16" ht="14.4">
      <c r="A76" s="51" t="s">
        <v>57</v>
      </c>
      <c r="B76" s="152"/>
      <c r="C76" s="66">
        <v>50</v>
      </c>
      <c r="D76" s="57">
        <v>52</v>
      </c>
      <c r="E76" s="61">
        <f t="shared" si="76"/>
        <v>0.96153846153846156</v>
      </c>
      <c r="F76" s="39">
        <v>59</v>
      </c>
      <c r="G76" s="57">
        <v>50</v>
      </c>
      <c r="H76" s="61">
        <f t="shared" si="77"/>
        <v>1.18</v>
      </c>
      <c r="I76" s="39">
        <v>53</v>
      </c>
      <c r="J76" s="57">
        <v>50</v>
      </c>
      <c r="K76" s="61">
        <f t="shared" si="78"/>
        <v>1.06</v>
      </c>
      <c r="L76" s="65">
        <f t="shared" si="97"/>
        <v>0</v>
      </c>
      <c r="M76" s="66">
        <f t="shared" ref="M76:N76" si="99">I76+F76+C76</f>
        <v>162</v>
      </c>
      <c r="N76" s="68">
        <f t="shared" si="99"/>
        <v>152</v>
      </c>
      <c r="O76" s="83">
        <v>45930</v>
      </c>
      <c r="P76" s="29" t="s">
        <v>80</v>
      </c>
    </row>
    <row r="77" spans="1:16" ht="14.4">
      <c r="A77" s="51" t="s">
        <v>58</v>
      </c>
      <c r="B77" s="152"/>
      <c r="C77" s="66">
        <v>23</v>
      </c>
      <c r="D77" s="57">
        <v>23</v>
      </c>
      <c r="E77" s="61">
        <f t="shared" si="76"/>
        <v>1</v>
      </c>
      <c r="F77" s="39">
        <v>28</v>
      </c>
      <c r="G77" s="57">
        <v>22</v>
      </c>
      <c r="H77" s="61">
        <f t="shared" si="77"/>
        <v>1.2727272727272727</v>
      </c>
      <c r="I77" s="39">
        <v>21</v>
      </c>
      <c r="J77" s="57">
        <v>22</v>
      </c>
      <c r="K77" s="61">
        <f t="shared" si="78"/>
        <v>0.95454545454545459</v>
      </c>
      <c r="L77" s="65">
        <f t="shared" si="97"/>
        <v>0</v>
      </c>
      <c r="M77" s="66">
        <f t="shared" ref="M77:N77" si="100">I77+F77+C77</f>
        <v>72</v>
      </c>
      <c r="N77" s="68">
        <f t="shared" si="100"/>
        <v>67</v>
      </c>
      <c r="O77" s="83">
        <v>45930</v>
      </c>
      <c r="P77" s="29" t="s">
        <v>80</v>
      </c>
    </row>
    <row r="78" spans="1:16" ht="13.2">
      <c r="A78" s="89" t="s">
        <v>59</v>
      </c>
      <c r="B78" s="78">
        <f t="shared" ref="B78:D78" si="101">SUM(B75:B77)</f>
        <v>0</v>
      </c>
      <c r="C78" s="78">
        <f t="shared" si="101"/>
        <v>120</v>
      </c>
      <c r="D78" s="78">
        <f t="shared" si="101"/>
        <v>113</v>
      </c>
      <c r="E78" s="61">
        <f t="shared" si="76"/>
        <v>1.0619469026548674</v>
      </c>
      <c r="F78" s="78">
        <f t="shared" ref="F78:G78" si="102">SUM(F75:F77)</f>
        <v>115</v>
      </c>
      <c r="G78" s="78">
        <f t="shared" si="102"/>
        <v>109</v>
      </c>
      <c r="H78" s="61">
        <f t="shared" si="77"/>
        <v>1.0550458715596329</v>
      </c>
      <c r="I78" s="78">
        <f t="shared" ref="I78:J78" si="103">SUM(I75:I77)</f>
        <v>108</v>
      </c>
      <c r="J78" s="78">
        <f t="shared" si="103"/>
        <v>109</v>
      </c>
      <c r="K78" s="61">
        <f t="shared" si="78"/>
        <v>0.99082568807339455</v>
      </c>
      <c r="L78" s="78">
        <f t="shared" ref="L78:N78" si="104">SUM(L75:L77)</f>
        <v>0</v>
      </c>
      <c r="M78" s="78">
        <f t="shared" si="104"/>
        <v>343</v>
      </c>
      <c r="N78" s="92">
        <f t="shared" si="104"/>
        <v>331</v>
      </c>
    </row>
    <row r="79" spans="1:16" ht="13.2">
      <c r="A79" s="89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104"/>
    </row>
    <row r="80" spans="1:16" ht="13.2">
      <c r="A80" s="51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104"/>
    </row>
    <row r="81" spans="1:14" ht="13.2">
      <c r="A81" s="108" t="s">
        <v>14</v>
      </c>
      <c r="B81" s="110">
        <f t="shared" ref="B81:D81" si="105">B78+B74+B69</f>
        <v>0</v>
      </c>
      <c r="C81" s="110">
        <f t="shared" si="105"/>
        <v>585</v>
      </c>
      <c r="D81" s="110">
        <f t="shared" si="105"/>
        <v>564</v>
      </c>
      <c r="E81" s="112">
        <f>C81/D81</f>
        <v>1.0372340425531914</v>
      </c>
      <c r="F81" s="110">
        <f t="shared" ref="F81:G81" si="106">F78+F74+F69</f>
        <v>596</v>
      </c>
      <c r="G81" s="110">
        <f t="shared" si="106"/>
        <v>550</v>
      </c>
      <c r="H81" s="112">
        <f>F81/G81</f>
        <v>1.0836363636363637</v>
      </c>
      <c r="I81" s="110">
        <f t="shared" ref="I81:J81" si="107">I78+I74+I69</f>
        <v>517</v>
      </c>
      <c r="J81" s="110">
        <f t="shared" si="107"/>
        <v>550</v>
      </c>
      <c r="K81" s="112">
        <f>I81/J81</f>
        <v>0.94</v>
      </c>
      <c r="L81" s="110">
        <f t="shared" ref="L81:N81" si="108">L78+L74+L69</f>
        <v>0</v>
      </c>
      <c r="M81" s="110">
        <f t="shared" si="108"/>
        <v>1698</v>
      </c>
      <c r="N81" s="115">
        <f t="shared" si="108"/>
        <v>1664</v>
      </c>
    </row>
  </sheetData>
  <mergeCells count="15">
    <mergeCell ref="B63:D63"/>
    <mergeCell ref="F63:H63"/>
    <mergeCell ref="I63:K63"/>
    <mergeCell ref="A3:X3"/>
    <mergeCell ref="C4:F4"/>
    <mergeCell ref="H4:K4"/>
    <mergeCell ref="M4:R4"/>
    <mergeCell ref="U4:X4"/>
    <mergeCell ref="A25:G25"/>
    <mergeCell ref="A49:T49"/>
    <mergeCell ref="C50:F50"/>
    <mergeCell ref="G50:J50"/>
    <mergeCell ref="K50:N50"/>
    <mergeCell ref="Q50:T50"/>
    <mergeCell ref="A62:P62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X88"/>
  <sheetViews>
    <sheetView workbookViewId="0"/>
  </sheetViews>
  <sheetFormatPr defaultColWidth="12.6640625" defaultRowHeight="15.75" customHeight="1"/>
  <cols>
    <col min="2" max="2" width="7.109375" customWidth="1"/>
    <col min="3" max="3" width="9" customWidth="1"/>
    <col min="4" max="4" width="8.88671875" customWidth="1"/>
    <col min="5" max="5" width="7.109375" customWidth="1"/>
    <col min="6" max="8" width="8.109375" customWidth="1"/>
    <col min="9" max="9" width="10.33203125" customWidth="1"/>
    <col min="10" max="12" width="8.44140625" customWidth="1"/>
    <col min="13" max="13" width="9.33203125" customWidth="1"/>
    <col min="14" max="14" width="9.77734375" customWidth="1"/>
    <col min="15" max="15" width="9.21875" customWidth="1"/>
    <col min="16" max="16" width="9.88671875" customWidth="1"/>
    <col min="17" max="17" width="9.33203125" customWidth="1"/>
    <col min="18" max="18" width="7.109375" customWidth="1"/>
    <col min="19" max="19" width="10.109375" customWidth="1"/>
    <col min="20" max="20" width="9" customWidth="1"/>
    <col min="21" max="21" width="11.33203125" customWidth="1"/>
    <col min="22" max="22" width="5.88671875" customWidth="1"/>
    <col min="23" max="23" width="7.109375" customWidth="1"/>
    <col min="24" max="24" width="9.88671875" customWidth="1"/>
    <col min="25" max="25" width="7.77734375" customWidth="1"/>
    <col min="30" max="32" width="8.77734375" customWidth="1"/>
    <col min="33" max="33" width="10.44140625" customWidth="1"/>
    <col min="34" max="48" width="8.77734375" customWidth="1"/>
  </cols>
  <sheetData>
    <row r="1" spans="1:50">
      <c r="A1" s="31" t="s">
        <v>0</v>
      </c>
      <c r="AA1" s="3"/>
    </row>
    <row r="3" spans="1:50" ht="15.75" customHeight="1">
      <c r="A3" s="291" t="s">
        <v>1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8"/>
      <c r="W3" s="7"/>
      <c r="X3" s="8"/>
      <c r="Y3" s="11"/>
      <c r="Z3" s="166"/>
      <c r="AA3" s="15" t="s">
        <v>2</v>
      </c>
      <c r="AB3" s="120" t="s">
        <v>3</v>
      </c>
    </row>
    <row r="4" spans="1:50" ht="15.75" customHeight="1">
      <c r="A4" s="19"/>
      <c r="B4" s="130"/>
      <c r="C4" s="277" t="s">
        <v>64</v>
      </c>
      <c r="D4" s="278"/>
      <c r="E4" s="278"/>
      <c r="F4" s="278"/>
      <c r="G4" s="128"/>
      <c r="H4" s="277" t="s">
        <v>10</v>
      </c>
      <c r="I4" s="278"/>
      <c r="J4" s="278"/>
      <c r="K4" s="278"/>
      <c r="L4" s="128"/>
      <c r="M4" s="277" t="s">
        <v>17</v>
      </c>
      <c r="N4" s="278"/>
      <c r="O4" s="278"/>
      <c r="P4" s="278"/>
      <c r="Q4" s="29"/>
      <c r="R4" s="130"/>
      <c r="S4" s="277" t="s">
        <v>14</v>
      </c>
      <c r="T4" s="278"/>
      <c r="U4" s="278"/>
      <c r="V4" s="279"/>
      <c r="W4" s="25"/>
      <c r="X4" s="25"/>
      <c r="Z4" s="167"/>
      <c r="AB4" s="29"/>
    </row>
    <row r="5" spans="1:50" ht="15.75" customHeight="1">
      <c r="A5" s="36"/>
      <c r="B5" s="132" t="s">
        <v>13</v>
      </c>
      <c r="C5" s="132" t="s">
        <v>26</v>
      </c>
      <c r="D5" s="132" t="s">
        <v>27</v>
      </c>
      <c r="E5" s="132" t="s">
        <v>28</v>
      </c>
      <c r="F5" s="132" t="s">
        <v>29</v>
      </c>
      <c r="G5" s="132"/>
      <c r="H5" s="132" t="s">
        <v>26</v>
      </c>
      <c r="I5" s="132" t="s">
        <v>27</v>
      </c>
      <c r="J5" s="132" t="s">
        <v>28</v>
      </c>
      <c r="K5" s="132" t="s">
        <v>29</v>
      </c>
      <c r="L5" s="132"/>
      <c r="M5" s="132" t="s">
        <v>26</v>
      </c>
      <c r="N5" s="132" t="s">
        <v>27</v>
      </c>
      <c r="O5" s="132" t="s">
        <v>28</v>
      </c>
      <c r="P5" s="132" t="s">
        <v>29</v>
      </c>
      <c r="Q5" s="132"/>
      <c r="R5" s="132" t="s">
        <v>13</v>
      </c>
      <c r="S5" s="132" t="s">
        <v>26</v>
      </c>
      <c r="T5" s="132" t="s">
        <v>27</v>
      </c>
      <c r="U5" s="132" t="s">
        <v>28</v>
      </c>
      <c r="V5" s="135" t="s">
        <v>29</v>
      </c>
      <c r="W5" s="136" t="s">
        <v>32</v>
      </c>
      <c r="X5" s="48" t="s">
        <v>34</v>
      </c>
      <c r="Y5" s="24" t="s">
        <v>15</v>
      </c>
      <c r="Z5" s="168" t="s">
        <v>35</v>
      </c>
      <c r="AB5" s="29"/>
    </row>
    <row r="6" spans="1:50" ht="15.75" customHeight="1">
      <c r="A6" s="51" t="s">
        <v>24</v>
      </c>
      <c r="B6" s="169">
        <f>'2025 - Q1'!U6-'2025 - Q1'!V6</f>
        <v>101</v>
      </c>
      <c r="C6" s="39">
        <v>39</v>
      </c>
      <c r="D6" s="39">
        <v>1</v>
      </c>
      <c r="E6" s="56">
        <f t="shared" ref="E6:E9" si="0">SUM(C6:D6)</f>
        <v>40</v>
      </c>
      <c r="F6" s="57">
        <v>35</v>
      </c>
      <c r="G6" s="61">
        <f t="shared" ref="G6:G19" si="1">E6/F6</f>
        <v>1.1428571428571428</v>
      </c>
      <c r="H6" s="39">
        <v>46</v>
      </c>
      <c r="I6" s="39">
        <v>2</v>
      </c>
      <c r="J6" s="56">
        <f t="shared" ref="J6:J9" si="2">SUM(H6:I6)</f>
        <v>48</v>
      </c>
      <c r="K6" s="57">
        <v>44</v>
      </c>
      <c r="L6" s="61">
        <f t="shared" ref="L6:L19" si="3">J6/K6</f>
        <v>1.0909090909090908</v>
      </c>
      <c r="M6" s="39">
        <v>33</v>
      </c>
      <c r="N6" s="39">
        <v>2</v>
      </c>
      <c r="O6" s="56">
        <f t="shared" ref="O6:O9" si="4">SUM(M6:N6)</f>
        <v>35</v>
      </c>
      <c r="P6" s="57">
        <v>51</v>
      </c>
      <c r="Q6" s="61">
        <f t="shared" ref="Q6:Q19" si="5">O6/P6</f>
        <v>0.68627450980392157</v>
      </c>
      <c r="R6" s="170">
        <f t="shared" ref="R6:R9" si="6">B6</f>
        <v>101</v>
      </c>
      <c r="S6" s="66">
        <f t="shared" ref="S6:T6" si="7">M6+H6+C6</f>
        <v>118</v>
      </c>
      <c r="T6" s="66">
        <f t="shared" si="7"/>
        <v>5</v>
      </c>
      <c r="U6" s="171">
        <f t="shared" ref="U6:U9" si="8">SUM(R6:T6)</f>
        <v>224</v>
      </c>
      <c r="V6" s="68">
        <f t="shared" ref="V6:V9" si="9">P6+K6+F6</f>
        <v>130</v>
      </c>
      <c r="W6" s="172">
        <f t="shared" ref="W6:W9" si="10">V6-U6</f>
        <v>-94</v>
      </c>
      <c r="X6" s="37">
        <f t="shared" ref="X6:X9" si="11">T6+S6</f>
        <v>123</v>
      </c>
      <c r="Y6" s="66">
        <f t="shared" ref="Y6:Y9" si="12">V6</f>
        <v>130</v>
      </c>
      <c r="Z6" s="173">
        <f t="shared" ref="Z6:Z9" si="13">(S6+T6)/V6</f>
        <v>0.94615384615384612</v>
      </c>
      <c r="AA6" s="77">
        <v>45838</v>
      </c>
      <c r="AB6" s="29" t="s">
        <v>49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</row>
    <row r="7" spans="1:50" ht="15.75" customHeight="1">
      <c r="A7" s="51" t="s">
        <v>36</v>
      </c>
      <c r="B7" s="169">
        <f>'2025 - Q1'!U7-'2025 - Q1'!V7</f>
        <v>-147</v>
      </c>
      <c r="C7" s="39">
        <v>18</v>
      </c>
      <c r="D7" s="39"/>
      <c r="E7" s="56">
        <f t="shared" si="0"/>
        <v>18</v>
      </c>
      <c r="F7" s="57">
        <v>28</v>
      </c>
      <c r="G7" s="61">
        <f t="shared" si="1"/>
        <v>0.6428571428571429</v>
      </c>
      <c r="H7" s="39">
        <v>28</v>
      </c>
      <c r="I7" s="39"/>
      <c r="J7" s="56">
        <f t="shared" si="2"/>
        <v>28</v>
      </c>
      <c r="K7" s="57">
        <v>34</v>
      </c>
      <c r="L7" s="61">
        <f t="shared" si="3"/>
        <v>0.82352941176470584</v>
      </c>
      <c r="M7" s="39">
        <v>39</v>
      </c>
      <c r="N7" s="39"/>
      <c r="O7" s="56">
        <f t="shared" si="4"/>
        <v>39</v>
      </c>
      <c r="P7" s="57">
        <v>42</v>
      </c>
      <c r="Q7" s="61">
        <f t="shared" si="5"/>
        <v>0.9285714285714286</v>
      </c>
      <c r="R7" s="170">
        <f t="shared" si="6"/>
        <v>-147</v>
      </c>
      <c r="S7" s="66">
        <f t="shared" ref="S7:T7" si="14">M7+H7+C7</f>
        <v>85</v>
      </c>
      <c r="T7" s="66">
        <f t="shared" si="14"/>
        <v>0</v>
      </c>
      <c r="U7" s="171">
        <f t="shared" si="8"/>
        <v>-62</v>
      </c>
      <c r="V7" s="68">
        <f t="shared" si="9"/>
        <v>104</v>
      </c>
      <c r="W7" s="172">
        <f t="shared" si="10"/>
        <v>166</v>
      </c>
      <c r="X7" s="37">
        <f t="shared" si="11"/>
        <v>85</v>
      </c>
      <c r="Y7" s="66">
        <f t="shared" si="12"/>
        <v>104</v>
      </c>
      <c r="Z7" s="173">
        <f t="shared" si="13"/>
        <v>0.81730769230769229</v>
      </c>
      <c r="AA7" s="77">
        <v>45838</v>
      </c>
      <c r="AB7" s="29" t="s">
        <v>49</v>
      </c>
      <c r="AO7" s="29"/>
      <c r="AP7" s="29"/>
      <c r="AQ7" s="29"/>
      <c r="AR7" s="29"/>
      <c r="AS7" s="29"/>
      <c r="AT7" s="29"/>
      <c r="AU7" s="29"/>
      <c r="AV7" s="29"/>
      <c r="AW7" s="29"/>
      <c r="AX7" s="29"/>
    </row>
    <row r="8" spans="1:50" ht="15.75" customHeight="1">
      <c r="A8" s="51" t="s">
        <v>40</v>
      </c>
      <c r="B8" s="169">
        <f>'2025 - Q1'!U8-'2025 - Q1'!V8</f>
        <v>2</v>
      </c>
      <c r="C8" s="39">
        <v>14</v>
      </c>
      <c r="D8" s="66"/>
      <c r="E8" s="56">
        <f t="shared" si="0"/>
        <v>14</v>
      </c>
      <c r="F8" s="57">
        <v>25</v>
      </c>
      <c r="G8" s="61">
        <f t="shared" si="1"/>
        <v>0.56000000000000005</v>
      </c>
      <c r="H8" s="39">
        <v>20</v>
      </c>
      <c r="I8" s="39"/>
      <c r="J8" s="56">
        <f t="shared" si="2"/>
        <v>20</v>
      </c>
      <c r="K8" s="57">
        <v>26</v>
      </c>
      <c r="L8" s="61">
        <f t="shared" si="3"/>
        <v>0.76923076923076927</v>
      </c>
      <c r="M8" s="39">
        <v>25</v>
      </c>
      <c r="N8" s="39"/>
      <c r="O8" s="56">
        <f t="shared" si="4"/>
        <v>25</v>
      </c>
      <c r="P8" s="57">
        <v>34</v>
      </c>
      <c r="Q8" s="61">
        <f t="shared" si="5"/>
        <v>0.73529411764705888</v>
      </c>
      <c r="R8" s="170">
        <f t="shared" si="6"/>
        <v>2</v>
      </c>
      <c r="S8" s="66">
        <f t="shared" ref="S8:T8" si="15">M8+H8+C8</f>
        <v>59</v>
      </c>
      <c r="T8" s="66">
        <f t="shared" si="15"/>
        <v>0</v>
      </c>
      <c r="U8" s="171">
        <f t="shared" si="8"/>
        <v>61</v>
      </c>
      <c r="V8" s="68">
        <f t="shared" si="9"/>
        <v>85</v>
      </c>
      <c r="W8" s="172">
        <f t="shared" si="10"/>
        <v>24</v>
      </c>
      <c r="X8" s="37">
        <f t="shared" si="11"/>
        <v>59</v>
      </c>
      <c r="Y8" s="66">
        <f t="shared" si="12"/>
        <v>85</v>
      </c>
      <c r="Z8" s="173">
        <f t="shared" si="13"/>
        <v>0.69411764705882351</v>
      </c>
      <c r="AA8" s="77">
        <v>45838</v>
      </c>
      <c r="AB8" s="29" t="s">
        <v>49</v>
      </c>
      <c r="AO8" s="29"/>
      <c r="AP8" s="29"/>
      <c r="AQ8" s="29"/>
      <c r="AR8" s="29"/>
      <c r="AS8" s="29"/>
      <c r="AT8" s="29"/>
      <c r="AU8" s="29"/>
      <c r="AV8" s="29"/>
      <c r="AW8" s="29"/>
      <c r="AX8" s="29"/>
    </row>
    <row r="9" spans="1:50" ht="15.75" customHeight="1">
      <c r="A9" s="51" t="s">
        <v>41</v>
      </c>
      <c r="B9" s="169">
        <f>'2025 - Q1'!U9-'2025 - Q1'!V9</f>
        <v>-6</v>
      </c>
      <c r="C9" s="70">
        <v>19</v>
      </c>
      <c r="D9" s="86"/>
      <c r="E9" s="56">
        <f t="shared" si="0"/>
        <v>19</v>
      </c>
      <c r="F9" s="57">
        <v>32</v>
      </c>
      <c r="G9" s="61">
        <f t="shared" si="1"/>
        <v>0.59375</v>
      </c>
      <c r="H9" s="39">
        <v>29</v>
      </c>
      <c r="I9" s="39"/>
      <c r="J9" s="56">
        <f t="shared" si="2"/>
        <v>29</v>
      </c>
      <c r="K9" s="57">
        <v>35</v>
      </c>
      <c r="L9" s="61">
        <f t="shared" si="3"/>
        <v>0.82857142857142863</v>
      </c>
      <c r="M9" s="39">
        <v>31</v>
      </c>
      <c r="N9" s="39"/>
      <c r="O9" s="56">
        <f t="shared" si="4"/>
        <v>31</v>
      </c>
      <c r="P9" s="57">
        <v>42</v>
      </c>
      <c r="Q9" s="61">
        <f t="shared" si="5"/>
        <v>0.73809523809523814</v>
      </c>
      <c r="R9" s="170">
        <f t="shared" si="6"/>
        <v>-6</v>
      </c>
      <c r="S9" s="66">
        <f t="shared" ref="S9:T9" si="16">M9+H9+C9</f>
        <v>79</v>
      </c>
      <c r="T9" s="66">
        <f t="shared" si="16"/>
        <v>0</v>
      </c>
      <c r="U9" s="171">
        <f t="shared" si="8"/>
        <v>73</v>
      </c>
      <c r="V9" s="68">
        <f t="shared" si="9"/>
        <v>109</v>
      </c>
      <c r="W9" s="172">
        <f t="shared" si="10"/>
        <v>36</v>
      </c>
      <c r="X9" s="37">
        <f t="shared" si="11"/>
        <v>79</v>
      </c>
      <c r="Y9" s="66">
        <f t="shared" si="12"/>
        <v>109</v>
      </c>
      <c r="Z9" s="173">
        <f t="shared" si="13"/>
        <v>0.72477064220183485</v>
      </c>
      <c r="AA9" s="77">
        <v>45838</v>
      </c>
      <c r="AB9" s="29" t="s">
        <v>49</v>
      </c>
      <c r="AO9" s="29"/>
      <c r="AP9" s="29"/>
      <c r="AQ9" s="29"/>
      <c r="AR9" s="29"/>
      <c r="AS9" s="29"/>
      <c r="AT9" s="29"/>
      <c r="AU9" s="29"/>
      <c r="AV9" s="29"/>
      <c r="AW9" s="29"/>
      <c r="AX9" s="29"/>
    </row>
    <row r="10" spans="1:50" ht="15.75" customHeight="1">
      <c r="A10" s="89" t="s">
        <v>44</v>
      </c>
      <c r="B10" s="81">
        <f t="shared" ref="B10:F10" si="17">SUM(B6:B9)</f>
        <v>-50</v>
      </c>
      <c r="C10" s="78">
        <f t="shared" si="17"/>
        <v>90</v>
      </c>
      <c r="D10" s="78">
        <f t="shared" si="17"/>
        <v>1</v>
      </c>
      <c r="E10" s="78">
        <f t="shared" si="17"/>
        <v>91</v>
      </c>
      <c r="F10" s="78">
        <f t="shared" si="17"/>
        <v>120</v>
      </c>
      <c r="G10" s="90">
        <f t="shared" si="1"/>
        <v>0.7583333333333333</v>
      </c>
      <c r="H10" s="78">
        <f t="shared" ref="H10:K10" si="18">SUM(H6:H9)</f>
        <v>123</v>
      </c>
      <c r="I10" s="78">
        <f t="shared" si="18"/>
        <v>2</v>
      </c>
      <c r="J10" s="78">
        <f t="shared" si="18"/>
        <v>125</v>
      </c>
      <c r="K10" s="78">
        <f t="shared" si="18"/>
        <v>139</v>
      </c>
      <c r="L10" s="90">
        <f t="shared" si="3"/>
        <v>0.89928057553956831</v>
      </c>
      <c r="M10" s="78">
        <f t="shared" ref="M10:P10" si="19">SUM(M6:M9)</f>
        <v>128</v>
      </c>
      <c r="N10" s="78">
        <f t="shared" si="19"/>
        <v>2</v>
      </c>
      <c r="O10" s="78">
        <f t="shared" si="19"/>
        <v>130</v>
      </c>
      <c r="P10" s="78">
        <f t="shared" si="19"/>
        <v>169</v>
      </c>
      <c r="Q10" s="90">
        <f t="shared" si="5"/>
        <v>0.76923076923076927</v>
      </c>
      <c r="R10" s="81">
        <f t="shared" ref="R10:Y10" si="20">SUM(R6:R9)</f>
        <v>-50</v>
      </c>
      <c r="S10" s="78">
        <f t="shared" si="20"/>
        <v>341</v>
      </c>
      <c r="T10" s="78">
        <f t="shared" si="20"/>
        <v>5</v>
      </c>
      <c r="U10" s="81">
        <f t="shared" si="20"/>
        <v>296</v>
      </c>
      <c r="V10" s="92">
        <f t="shared" si="20"/>
        <v>428</v>
      </c>
      <c r="W10" s="174">
        <f t="shared" si="20"/>
        <v>132</v>
      </c>
      <c r="X10" s="93">
        <f t="shared" si="20"/>
        <v>346</v>
      </c>
      <c r="Y10" s="78">
        <f t="shared" si="20"/>
        <v>428</v>
      </c>
      <c r="Z10" s="175">
        <f>X10/Y10</f>
        <v>0.80841121495327106</v>
      </c>
      <c r="AB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</row>
    <row r="11" spans="1:50" ht="15.75" customHeight="1">
      <c r="A11" s="51" t="s">
        <v>46</v>
      </c>
      <c r="B11" s="169">
        <f>'2025 - Q1'!U11-'2025 - Q1'!V11</f>
        <v>6</v>
      </c>
      <c r="C11" s="66">
        <v>11</v>
      </c>
      <c r="D11" s="66"/>
      <c r="E11" s="56">
        <f t="shared" ref="E11:E14" si="21">SUM(C11:D11)</f>
        <v>11</v>
      </c>
      <c r="F11" s="57">
        <v>33</v>
      </c>
      <c r="G11" s="61">
        <f t="shared" si="1"/>
        <v>0.33333333333333331</v>
      </c>
      <c r="H11" s="39">
        <v>28</v>
      </c>
      <c r="I11" s="39"/>
      <c r="J11" s="56">
        <f t="shared" ref="J11:J14" si="22">SUM(H11:I11)</f>
        <v>28</v>
      </c>
      <c r="K11" s="57">
        <v>33</v>
      </c>
      <c r="L11" s="61">
        <f t="shared" si="3"/>
        <v>0.84848484848484851</v>
      </c>
      <c r="M11" s="39">
        <v>41</v>
      </c>
      <c r="N11" s="39"/>
      <c r="O11" s="56">
        <f t="shared" ref="O11:O14" si="23">SUM(M11:N11)</f>
        <v>41</v>
      </c>
      <c r="P11" s="57">
        <v>42</v>
      </c>
      <c r="Q11" s="61">
        <f t="shared" si="5"/>
        <v>0.97619047619047616</v>
      </c>
      <c r="R11" s="170">
        <f t="shared" ref="R11:R14" si="24">B11</f>
        <v>6</v>
      </c>
      <c r="S11" s="66">
        <f t="shared" ref="S11:T11" si="25">M11+H11+C11</f>
        <v>80</v>
      </c>
      <c r="T11" s="66">
        <f t="shared" si="25"/>
        <v>0</v>
      </c>
      <c r="U11" s="171">
        <f t="shared" ref="U11:U14" si="26">SUM(R11:T11)</f>
        <v>86</v>
      </c>
      <c r="V11" s="68">
        <f t="shared" ref="V11:V14" si="27">P11+K11+F11</f>
        <v>108</v>
      </c>
      <c r="W11" s="172">
        <f t="shared" ref="W11:W14" si="28">V11-U11</f>
        <v>22</v>
      </c>
      <c r="X11" s="37">
        <f t="shared" ref="X11:X14" si="29">T11+S11</f>
        <v>80</v>
      </c>
      <c r="Y11" s="66">
        <f t="shared" ref="Y11:Y14" si="30">V11</f>
        <v>108</v>
      </c>
      <c r="Z11" s="173">
        <f t="shared" ref="Z11:Z14" si="31">(S11+T11)/V11</f>
        <v>0.7407407407407407</v>
      </c>
      <c r="AA11" s="83">
        <v>45838</v>
      </c>
      <c r="AB11" s="29" t="s">
        <v>103</v>
      </c>
      <c r="AO11" s="29"/>
      <c r="AP11" s="29"/>
      <c r="AQ11" s="29"/>
      <c r="AR11" s="29"/>
      <c r="AS11" s="29"/>
      <c r="AT11" s="29"/>
      <c r="AU11" s="29"/>
      <c r="AV11" s="29"/>
      <c r="AW11" s="29"/>
      <c r="AX11" s="29"/>
    </row>
    <row r="12" spans="1:50" ht="15.75" customHeight="1">
      <c r="A12" s="51" t="s">
        <v>51</v>
      </c>
      <c r="B12" s="169">
        <f>'2025 - Q1'!U12-'2025 - Q1'!V12</f>
        <v>15</v>
      </c>
      <c r="C12" s="66">
        <v>19</v>
      </c>
      <c r="D12" s="66">
        <v>1</v>
      </c>
      <c r="E12" s="56">
        <f t="shared" si="21"/>
        <v>20</v>
      </c>
      <c r="F12" s="57">
        <v>28</v>
      </c>
      <c r="G12" s="61">
        <f t="shared" si="1"/>
        <v>0.7142857142857143</v>
      </c>
      <c r="H12" s="39">
        <v>26</v>
      </c>
      <c r="I12" s="39">
        <v>2</v>
      </c>
      <c r="J12" s="56">
        <f t="shared" si="22"/>
        <v>28</v>
      </c>
      <c r="K12" s="57">
        <v>35</v>
      </c>
      <c r="L12" s="61">
        <f t="shared" si="3"/>
        <v>0.8</v>
      </c>
      <c r="M12" s="39">
        <v>43</v>
      </c>
      <c r="N12" s="39"/>
      <c r="O12" s="56">
        <f t="shared" si="23"/>
        <v>43</v>
      </c>
      <c r="P12" s="57">
        <v>44</v>
      </c>
      <c r="Q12" s="61">
        <f t="shared" si="5"/>
        <v>0.97727272727272729</v>
      </c>
      <c r="R12" s="170">
        <f t="shared" si="24"/>
        <v>15</v>
      </c>
      <c r="S12" s="66">
        <f t="shared" ref="S12:T12" si="32">M12+H12+C12</f>
        <v>88</v>
      </c>
      <c r="T12" s="66">
        <f t="shared" si="32"/>
        <v>3</v>
      </c>
      <c r="U12" s="171">
        <f t="shared" si="26"/>
        <v>106</v>
      </c>
      <c r="V12" s="68">
        <f t="shared" si="27"/>
        <v>107</v>
      </c>
      <c r="W12" s="172">
        <f t="shared" si="28"/>
        <v>1</v>
      </c>
      <c r="X12" s="37">
        <f t="shared" si="29"/>
        <v>91</v>
      </c>
      <c r="Y12" s="66">
        <f t="shared" si="30"/>
        <v>107</v>
      </c>
      <c r="Z12" s="173">
        <f t="shared" si="31"/>
        <v>0.85046728971962615</v>
      </c>
      <c r="AA12" s="83">
        <v>45838</v>
      </c>
      <c r="AB12" s="29" t="s">
        <v>103</v>
      </c>
      <c r="AO12" s="29"/>
      <c r="AP12" s="29"/>
      <c r="AQ12" s="29"/>
      <c r="AR12" s="29"/>
      <c r="AS12" s="29"/>
      <c r="AT12" s="29"/>
      <c r="AU12" s="29"/>
      <c r="AV12" s="29"/>
      <c r="AW12" s="29"/>
      <c r="AX12" s="29"/>
    </row>
    <row r="13" spans="1:50" ht="15.75" customHeight="1">
      <c r="A13" s="51" t="s">
        <v>52</v>
      </c>
      <c r="B13" s="169">
        <f>'2025 - Q1'!U13-'2025 - Q1'!V13</f>
        <v>26</v>
      </c>
      <c r="C13" s="66">
        <v>29</v>
      </c>
      <c r="D13" s="66"/>
      <c r="E13" s="56">
        <f t="shared" si="21"/>
        <v>29</v>
      </c>
      <c r="F13" s="57">
        <v>25</v>
      </c>
      <c r="G13" s="61">
        <f t="shared" si="1"/>
        <v>1.1599999999999999</v>
      </c>
      <c r="H13" s="39">
        <v>21</v>
      </c>
      <c r="I13" s="39"/>
      <c r="J13" s="56">
        <f t="shared" si="22"/>
        <v>21</v>
      </c>
      <c r="K13" s="57">
        <v>30</v>
      </c>
      <c r="L13" s="61">
        <f t="shared" si="3"/>
        <v>0.7</v>
      </c>
      <c r="M13" s="39">
        <v>41</v>
      </c>
      <c r="N13" s="39"/>
      <c r="O13" s="56">
        <f t="shared" si="23"/>
        <v>41</v>
      </c>
      <c r="P13" s="57">
        <v>36</v>
      </c>
      <c r="Q13" s="61">
        <f t="shared" si="5"/>
        <v>1.1388888888888888</v>
      </c>
      <c r="R13" s="170">
        <f t="shared" si="24"/>
        <v>26</v>
      </c>
      <c r="S13" s="66">
        <f t="shared" ref="S13:T13" si="33">M13+H13+C13</f>
        <v>91</v>
      </c>
      <c r="T13" s="66">
        <f t="shared" si="33"/>
        <v>0</v>
      </c>
      <c r="U13" s="171">
        <f t="shared" si="26"/>
        <v>117</v>
      </c>
      <c r="V13" s="68">
        <f t="shared" si="27"/>
        <v>91</v>
      </c>
      <c r="W13" s="172">
        <f t="shared" si="28"/>
        <v>-26</v>
      </c>
      <c r="X13" s="37">
        <f t="shared" si="29"/>
        <v>91</v>
      </c>
      <c r="Y13" s="66">
        <f t="shared" si="30"/>
        <v>91</v>
      </c>
      <c r="Z13" s="173">
        <f t="shared" si="31"/>
        <v>1</v>
      </c>
      <c r="AA13" s="83">
        <v>45838</v>
      </c>
      <c r="AB13" s="29" t="s">
        <v>103</v>
      </c>
      <c r="AO13" s="29"/>
      <c r="AP13" s="29"/>
      <c r="AQ13" s="29"/>
      <c r="AR13" s="29"/>
      <c r="AS13" s="29"/>
      <c r="AT13" s="29"/>
      <c r="AU13" s="29"/>
      <c r="AV13" s="29"/>
      <c r="AW13" s="29"/>
      <c r="AX13" s="29"/>
    </row>
    <row r="14" spans="1:50" ht="15.75" customHeight="1">
      <c r="A14" s="51" t="s">
        <v>53</v>
      </c>
      <c r="B14" s="169">
        <f>'2025 - Q1'!U14-'2025 - Q1'!V14</f>
        <v>13</v>
      </c>
      <c r="C14" s="66">
        <v>28</v>
      </c>
      <c r="D14" s="66"/>
      <c r="E14" s="56">
        <f t="shared" si="21"/>
        <v>28</v>
      </c>
      <c r="F14" s="57">
        <v>41</v>
      </c>
      <c r="G14" s="61">
        <f t="shared" si="1"/>
        <v>0.68292682926829273</v>
      </c>
      <c r="H14" s="39">
        <v>37</v>
      </c>
      <c r="I14" s="39"/>
      <c r="J14" s="56">
        <f t="shared" si="22"/>
        <v>37</v>
      </c>
      <c r="K14" s="57">
        <v>47</v>
      </c>
      <c r="L14" s="61">
        <f t="shared" si="3"/>
        <v>0.78723404255319152</v>
      </c>
      <c r="M14" s="39">
        <v>59</v>
      </c>
      <c r="N14" s="39"/>
      <c r="O14" s="56">
        <f t="shared" si="23"/>
        <v>59</v>
      </c>
      <c r="P14" s="57">
        <v>60</v>
      </c>
      <c r="Q14" s="61">
        <f t="shared" si="5"/>
        <v>0.98333333333333328</v>
      </c>
      <c r="R14" s="170">
        <f t="shared" si="24"/>
        <v>13</v>
      </c>
      <c r="S14" s="66">
        <f t="shared" ref="S14:T14" si="34">M14+H14+C14</f>
        <v>124</v>
      </c>
      <c r="T14" s="66">
        <f t="shared" si="34"/>
        <v>0</v>
      </c>
      <c r="U14" s="171">
        <f t="shared" si="26"/>
        <v>137</v>
      </c>
      <c r="V14" s="68">
        <f t="shared" si="27"/>
        <v>148</v>
      </c>
      <c r="W14" s="172">
        <f t="shared" si="28"/>
        <v>11</v>
      </c>
      <c r="X14" s="37">
        <f t="shared" si="29"/>
        <v>124</v>
      </c>
      <c r="Y14" s="66">
        <f t="shared" si="30"/>
        <v>148</v>
      </c>
      <c r="Z14" s="173">
        <f t="shared" si="31"/>
        <v>0.83783783783783783</v>
      </c>
      <c r="AA14" s="83">
        <v>45838</v>
      </c>
      <c r="AB14" s="29" t="s">
        <v>103</v>
      </c>
      <c r="AO14" s="29"/>
      <c r="AP14" s="29"/>
      <c r="AQ14" s="29"/>
      <c r="AR14" s="29"/>
      <c r="AS14" s="29"/>
      <c r="AT14" s="29"/>
      <c r="AU14" s="29"/>
      <c r="AV14" s="29"/>
      <c r="AW14" s="29"/>
      <c r="AX14" s="29"/>
    </row>
    <row r="15" spans="1:50" ht="15.75" customHeight="1">
      <c r="A15" s="89" t="s">
        <v>54</v>
      </c>
      <c r="B15" s="81">
        <f t="shared" ref="B15:F15" si="35">SUM(B11:B14)</f>
        <v>60</v>
      </c>
      <c r="C15" s="78">
        <f t="shared" si="35"/>
        <v>87</v>
      </c>
      <c r="D15" s="78">
        <f t="shared" si="35"/>
        <v>1</v>
      </c>
      <c r="E15" s="78">
        <f t="shared" si="35"/>
        <v>88</v>
      </c>
      <c r="F15" s="78">
        <f t="shared" si="35"/>
        <v>127</v>
      </c>
      <c r="G15" s="90">
        <f t="shared" si="1"/>
        <v>0.69291338582677164</v>
      </c>
      <c r="H15" s="78">
        <f t="shared" ref="H15:K15" si="36">SUM(H11:H14)</f>
        <v>112</v>
      </c>
      <c r="I15" s="78">
        <f t="shared" si="36"/>
        <v>2</v>
      </c>
      <c r="J15" s="78">
        <f t="shared" si="36"/>
        <v>114</v>
      </c>
      <c r="K15" s="78">
        <f t="shared" si="36"/>
        <v>145</v>
      </c>
      <c r="L15" s="90">
        <f t="shared" si="3"/>
        <v>0.78620689655172415</v>
      </c>
      <c r="M15" s="78">
        <f t="shared" ref="M15:P15" si="37">SUM(M11:M14)</f>
        <v>184</v>
      </c>
      <c r="N15" s="78">
        <f t="shared" si="37"/>
        <v>0</v>
      </c>
      <c r="O15" s="78">
        <f t="shared" si="37"/>
        <v>184</v>
      </c>
      <c r="P15" s="78">
        <f t="shared" si="37"/>
        <v>182</v>
      </c>
      <c r="Q15" s="90">
        <f t="shared" si="5"/>
        <v>1.0109890109890109</v>
      </c>
      <c r="R15" s="81">
        <f t="shared" ref="R15:Y15" si="38">SUM(R11:R14)</f>
        <v>60</v>
      </c>
      <c r="S15" s="78">
        <f t="shared" si="38"/>
        <v>383</v>
      </c>
      <c r="T15" s="78">
        <f t="shared" si="38"/>
        <v>3</v>
      </c>
      <c r="U15" s="81">
        <f t="shared" si="38"/>
        <v>446</v>
      </c>
      <c r="V15" s="92">
        <f t="shared" si="38"/>
        <v>454</v>
      </c>
      <c r="W15" s="174">
        <f t="shared" si="38"/>
        <v>8</v>
      </c>
      <c r="X15" s="93">
        <f t="shared" si="38"/>
        <v>386</v>
      </c>
      <c r="Y15" s="78">
        <f t="shared" si="38"/>
        <v>454</v>
      </c>
      <c r="Z15" s="175">
        <f>X15/Y15</f>
        <v>0.85022026431718056</v>
      </c>
      <c r="AB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</row>
    <row r="16" spans="1:50" ht="15.75" customHeight="1">
      <c r="A16" s="51" t="s">
        <v>55</v>
      </c>
      <c r="B16" s="169">
        <f>'2025 - Q1'!U16-'2025 - Q1'!V16</f>
        <v>16</v>
      </c>
      <c r="C16" s="66">
        <v>23</v>
      </c>
      <c r="D16" s="66">
        <v>13</v>
      </c>
      <c r="E16" s="56">
        <f t="shared" ref="E16:E18" si="39">SUM(C16:D16)</f>
        <v>36</v>
      </c>
      <c r="F16" s="57">
        <v>28</v>
      </c>
      <c r="G16" s="61">
        <f t="shared" si="1"/>
        <v>1.2857142857142858</v>
      </c>
      <c r="H16" s="39">
        <v>14</v>
      </c>
      <c r="I16" s="39">
        <v>16</v>
      </c>
      <c r="J16" s="56">
        <f t="shared" ref="J16:J18" si="40">SUM(H16:I16)</f>
        <v>30</v>
      </c>
      <c r="K16" s="57">
        <v>34</v>
      </c>
      <c r="L16" s="61">
        <f t="shared" si="3"/>
        <v>0.88235294117647056</v>
      </c>
      <c r="M16" s="39">
        <v>22</v>
      </c>
      <c r="N16" s="39">
        <v>15</v>
      </c>
      <c r="O16" s="56">
        <f t="shared" ref="O16:O18" si="41">SUM(M16:N16)</f>
        <v>37</v>
      </c>
      <c r="P16" s="57">
        <v>42</v>
      </c>
      <c r="Q16" s="61">
        <f t="shared" si="5"/>
        <v>0.88095238095238093</v>
      </c>
      <c r="R16" s="170">
        <f t="shared" ref="R16:R18" si="42">B16</f>
        <v>16</v>
      </c>
      <c r="S16" s="66">
        <f t="shared" ref="S16:T16" si="43">M16+H16+C16</f>
        <v>59</v>
      </c>
      <c r="T16" s="66">
        <f t="shared" si="43"/>
        <v>44</v>
      </c>
      <c r="U16" s="171">
        <f t="shared" ref="U16:U18" si="44">SUM(R16:T16)</f>
        <v>119</v>
      </c>
      <c r="V16" s="68">
        <f t="shared" ref="V16:V18" si="45">P16+K16+F16</f>
        <v>104</v>
      </c>
      <c r="W16" s="172">
        <f t="shared" ref="W16:W18" si="46">V16-U16</f>
        <v>-15</v>
      </c>
      <c r="X16" s="37">
        <f t="shared" ref="X16:X18" si="47">T16+S16</f>
        <v>103</v>
      </c>
      <c r="Y16" s="66">
        <f t="shared" ref="Y16:Y18" si="48">V16</f>
        <v>104</v>
      </c>
      <c r="Z16" s="173">
        <f t="shared" ref="Z16:Z18" si="49">(S16+T16)/V16</f>
        <v>0.99038461538461542</v>
      </c>
      <c r="AA16" s="83">
        <v>45838</v>
      </c>
      <c r="AB16" s="29" t="s">
        <v>80</v>
      </c>
      <c r="AO16" s="29"/>
      <c r="AP16" s="29"/>
      <c r="AQ16" s="29"/>
      <c r="AR16" s="29"/>
      <c r="AS16" s="29"/>
      <c r="AT16" s="29"/>
      <c r="AU16" s="29"/>
      <c r="AV16" s="29"/>
      <c r="AW16" s="29"/>
      <c r="AX16" s="29"/>
    </row>
    <row r="17" spans="1:50" ht="15.75" customHeight="1">
      <c r="A17" s="51" t="s">
        <v>57</v>
      </c>
      <c r="B17" s="169">
        <f>'2025 - Q1'!U17-'2025 - Q1'!V17</f>
        <v>-2</v>
      </c>
      <c r="C17" s="66">
        <v>25</v>
      </c>
      <c r="D17" s="66">
        <v>5</v>
      </c>
      <c r="E17" s="56">
        <f t="shared" si="39"/>
        <v>30</v>
      </c>
      <c r="F17" s="57">
        <v>27</v>
      </c>
      <c r="G17" s="61">
        <f t="shared" si="1"/>
        <v>1.1111111111111112</v>
      </c>
      <c r="H17" s="39">
        <v>27</v>
      </c>
      <c r="I17" s="39">
        <v>4</v>
      </c>
      <c r="J17" s="56">
        <f t="shared" si="40"/>
        <v>31</v>
      </c>
      <c r="K17" s="57">
        <v>29</v>
      </c>
      <c r="L17" s="61">
        <f t="shared" si="3"/>
        <v>1.0689655172413792</v>
      </c>
      <c r="M17" s="39">
        <v>44</v>
      </c>
      <c r="N17" s="39"/>
      <c r="O17" s="56">
        <f t="shared" si="41"/>
        <v>44</v>
      </c>
      <c r="P17" s="57">
        <v>36</v>
      </c>
      <c r="Q17" s="61">
        <f t="shared" si="5"/>
        <v>1.2222222222222223</v>
      </c>
      <c r="R17" s="170">
        <f t="shared" si="42"/>
        <v>-2</v>
      </c>
      <c r="S17" s="66">
        <f t="shared" ref="S17:T17" si="50">M17+H17+C17</f>
        <v>96</v>
      </c>
      <c r="T17" s="66">
        <f t="shared" si="50"/>
        <v>9</v>
      </c>
      <c r="U17" s="171">
        <f t="shared" si="44"/>
        <v>103</v>
      </c>
      <c r="V17" s="68">
        <f t="shared" si="45"/>
        <v>92</v>
      </c>
      <c r="W17" s="172">
        <f t="shared" si="46"/>
        <v>-11</v>
      </c>
      <c r="X17" s="37">
        <f t="shared" si="47"/>
        <v>105</v>
      </c>
      <c r="Y17" s="66">
        <f t="shared" si="48"/>
        <v>92</v>
      </c>
      <c r="Z17" s="173">
        <f t="shared" si="49"/>
        <v>1.1413043478260869</v>
      </c>
      <c r="AA17" s="83">
        <v>45838</v>
      </c>
      <c r="AB17" s="29" t="s">
        <v>80</v>
      </c>
      <c r="AO17" s="29"/>
      <c r="AP17" s="29"/>
      <c r="AQ17" s="29"/>
      <c r="AR17" s="29"/>
      <c r="AS17" s="29"/>
      <c r="AT17" s="29"/>
      <c r="AU17" s="29"/>
      <c r="AV17" s="29"/>
      <c r="AW17" s="29"/>
      <c r="AX17" s="29"/>
    </row>
    <row r="18" spans="1:50" ht="15.75" customHeight="1">
      <c r="A18" s="51" t="s">
        <v>58</v>
      </c>
      <c r="B18" s="169">
        <f>'2025 - Q1'!U18-'2025 - Q1'!V18</f>
        <v>15</v>
      </c>
      <c r="C18" s="66">
        <v>9</v>
      </c>
      <c r="D18" s="66"/>
      <c r="E18" s="56">
        <f t="shared" si="39"/>
        <v>9</v>
      </c>
      <c r="F18" s="57">
        <v>12</v>
      </c>
      <c r="G18" s="61">
        <f t="shared" si="1"/>
        <v>0.75</v>
      </c>
      <c r="H18" s="39">
        <v>9</v>
      </c>
      <c r="I18" s="39">
        <v>0</v>
      </c>
      <c r="J18" s="56">
        <f t="shared" si="40"/>
        <v>9</v>
      </c>
      <c r="K18" s="57">
        <v>11</v>
      </c>
      <c r="L18" s="61">
        <f t="shared" si="3"/>
        <v>0.81818181818181823</v>
      </c>
      <c r="M18" s="39">
        <v>17</v>
      </c>
      <c r="N18" s="39"/>
      <c r="O18" s="56">
        <f t="shared" si="41"/>
        <v>17</v>
      </c>
      <c r="P18" s="57">
        <v>13</v>
      </c>
      <c r="Q18" s="61">
        <f t="shared" si="5"/>
        <v>1.3076923076923077</v>
      </c>
      <c r="R18" s="170">
        <f t="shared" si="42"/>
        <v>15</v>
      </c>
      <c r="S18" s="66">
        <f t="shared" ref="S18:T18" si="51">M18+H18+C18</f>
        <v>35</v>
      </c>
      <c r="T18" s="66">
        <f t="shared" si="51"/>
        <v>0</v>
      </c>
      <c r="U18" s="171">
        <f t="shared" si="44"/>
        <v>50</v>
      </c>
      <c r="V18" s="68">
        <f t="shared" si="45"/>
        <v>36</v>
      </c>
      <c r="W18" s="172">
        <f t="shared" si="46"/>
        <v>-14</v>
      </c>
      <c r="X18" s="37">
        <f t="shared" si="47"/>
        <v>35</v>
      </c>
      <c r="Y18" s="66">
        <f t="shared" si="48"/>
        <v>36</v>
      </c>
      <c r="Z18" s="173">
        <f t="shared" si="49"/>
        <v>0.97222222222222221</v>
      </c>
      <c r="AA18" s="83">
        <v>45838</v>
      </c>
      <c r="AB18" s="29" t="s">
        <v>80</v>
      </c>
      <c r="AO18" s="29"/>
      <c r="AP18" s="29"/>
      <c r="AQ18" s="29"/>
      <c r="AR18" s="29"/>
      <c r="AS18" s="29"/>
      <c r="AT18" s="29"/>
      <c r="AU18" s="29"/>
      <c r="AV18" s="29"/>
      <c r="AW18" s="29"/>
      <c r="AX18" s="29"/>
    </row>
    <row r="19" spans="1:50" ht="15.75" customHeight="1">
      <c r="A19" s="89" t="s">
        <v>59</v>
      </c>
      <c r="B19" s="81">
        <f t="shared" ref="B19:F19" si="52">SUM(B16:B18)</f>
        <v>29</v>
      </c>
      <c r="C19" s="78">
        <f t="shared" si="52"/>
        <v>57</v>
      </c>
      <c r="D19" s="78">
        <f t="shared" si="52"/>
        <v>18</v>
      </c>
      <c r="E19" s="78">
        <f t="shared" si="52"/>
        <v>75</v>
      </c>
      <c r="F19" s="78">
        <f t="shared" si="52"/>
        <v>67</v>
      </c>
      <c r="G19" s="90">
        <f t="shared" si="1"/>
        <v>1.1194029850746268</v>
      </c>
      <c r="H19" s="78">
        <f t="shared" ref="H19:K19" si="53">SUM(H16:H18)</f>
        <v>50</v>
      </c>
      <c r="I19" s="78">
        <f t="shared" si="53"/>
        <v>20</v>
      </c>
      <c r="J19" s="78">
        <f t="shared" si="53"/>
        <v>70</v>
      </c>
      <c r="K19" s="78">
        <f t="shared" si="53"/>
        <v>74</v>
      </c>
      <c r="L19" s="90">
        <f t="shared" si="3"/>
        <v>0.94594594594594594</v>
      </c>
      <c r="M19" s="78">
        <f t="shared" ref="M19:P19" si="54">SUM(M16:M18)</f>
        <v>83</v>
      </c>
      <c r="N19" s="78">
        <f t="shared" si="54"/>
        <v>15</v>
      </c>
      <c r="O19" s="78">
        <f t="shared" si="54"/>
        <v>98</v>
      </c>
      <c r="P19" s="78">
        <f t="shared" si="54"/>
        <v>91</v>
      </c>
      <c r="Q19" s="90">
        <f t="shared" si="5"/>
        <v>1.0769230769230769</v>
      </c>
      <c r="R19" s="81">
        <f t="shared" ref="R19:Y19" si="55">SUM(R16:R18)</f>
        <v>29</v>
      </c>
      <c r="S19" s="78">
        <f t="shared" si="55"/>
        <v>190</v>
      </c>
      <c r="T19" s="78">
        <f t="shared" si="55"/>
        <v>53</v>
      </c>
      <c r="U19" s="81">
        <f t="shared" si="55"/>
        <v>272</v>
      </c>
      <c r="V19" s="92">
        <f t="shared" si="55"/>
        <v>232</v>
      </c>
      <c r="W19" s="174">
        <f t="shared" si="55"/>
        <v>-40</v>
      </c>
      <c r="X19" s="93">
        <f t="shared" si="55"/>
        <v>243</v>
      </c>
      <c r="Y19" s="78">
        <f t="shared" si="55"/>
        <v>232</v>
      </c>
      <c r="Z19" s="175">
        <f>X19/Y19</f>
        <v>1.0474137931034482</v>
      </c>
      <c r="AB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</row>
    <row r="20" spans="1:50" ht="15.75" customHeight="1">
      <c r="A20" s="89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104"/>
      <c r="W20" s="37"/>
      <c r="X20" s="105"/>
      <c r="Y20" s="106"/>
      <c r="Z20" s="176"/>
      <c r="AB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</row>
    <row r="21" spans="1:50" ht="15.75" customHeight="1">
      <c r="A21" s="51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104"/>
      <c r="W21" s="37"/>
      <c r="X21" s="105"/>
      <c r="Y21" s="106"/>
      <c r="Z21" s="176"/>
      <c r="AB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</row>
    <row r="22" spans="1:50" ht="15.75" customHeight="1">
      <c r="A22" s="108" t="s">
        <v>14</v>
      </c>
      <c r="B22" s="110">
        <f t="shared" ref="B22:F22" si="56">B19+B15+B10</f>
        <v>39</v>
      </c>
      <c r="C22" s="110">
        <f t="shared" si="56"/>
        <v>234</v>
      </c>
      <c r="D22" s="110">
        <f t="shared" si="56"/>
        <v>20</v>
      </c>
      <c r="E22" s="110">
        <f t="shared" si="56"/>
        <v>254</v>
      </c>
      <c r="F22" s="110">
        <f t="shared" si="56"/>
        <v>314</v>
      </c>
      <c r="G22" s="112">
        <f>E22/F22</f>
        <v>0.80891719745222934</v>
      </c>
      <c r="H22" s="110">
        <f t="shared" ref="H22:K22" si="57">H19+H15+H10</f>
        <v>285</v>
      </c>
      <c r="I22" s="110">
        <f t="shared" si="57"/>
        <v>24</v>
      </c>
      <c r="J22" s="110">
        <f t="shared" si="57"/>
        <v>309</v>
      </c>
      <c r="K22" s="110">
        <f t="shared" si="57"/>
        <v>358</v>
      </c>
      <c r="L22" s="112">
        <f>J22/K22</f>
        <v>0.86312849162011174</v>
      </c>
      <c r="M22" s="110">
        <f t="shared" ref="M22:P22" si="58">M19+M15+M10</f>
        <v>395</v>
      </c>
      <c r="N22" s="110">
        <f t="shared" si="58"/>
        <v>17</v>
      </c>
      <c r="O22" s="110">
        <f t="shared" si="58"/>
        <v>412</v>
      </c>
      <c r="P22" s="110">
        <f t="shared" si="58"/>
        <v>442</v>
      </c>
      <c r="Q22" s="112">
        <f>O22/P22</f>
        <v>0.9321266968325792</v>
      </c>
      <c r="R22" s="110">
        <f t="shared" ref="R22:Y22" si="59">R19+R15+R10</f>
        <v>39</v>
      </c>
      <c r="S22" s="110">
        <f t="shared" si="59"/>
        <v>914</v>
      </c>
      <c r="T22" s="110">
        <f t="shared" si="59"/>
        <v>61</v>
      </c>
      <c r="U22" s="110">
        <f t="shared" si="59"/>
        <v>1014</v>
      </c>
      <c r="V22" s="115">
        <f t="shared" si="59"/>
        <v>1114</v>
      </c>
      <c r="W22" s="116">
        <f t="shared" si="59"/>
        <v>100</v>
      </c>
      <c r="X22" s="116">
        <f t="shared" si="59"/>
        <v>975</v>
      </c>
      <c r="Y22" s="110">
        <f t="shared" si="59"/>
        <v>1114</v>
      </c>
      <c r="Z22" s="178">
        <f>(S22+T22)/V22</f>
        <v>0.87522441651705563</v>
      </c>
      <c r="AB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</row>
    <row r="23" spans="1:50" ht="15.75" customHeight="1">
      <c r="AO23" s="29"/>
      <c r="AP23" s="29"/>
      <c r="AQ23" s="29"/>
      <c r="AR23" s="29"/>
      <c r="AS23" s="29"/>
      <c r="AT23" s="29"/>
      <c r="AU23" s="29"/>
      <c r="AV23" s="29"/>
      <c r="AW23" s="29"/>
      <c r="AX23" s="29"/>
    </row>
    <row r="24" spans="1:50" ht="15.75" customHeight="1">
      <c r="U24" s="180">
        <f>U22/V22</f>
        <v>0.91023339317773788</v>
      </c>
      <c r="X24" s="24">
        <f>1114-200+111</f>
        <v>1025</v>
      </c>
      <c r="Y24" s="58">
        <f>Y22-X22</f>
        <v>139</v>
      </c>
      <c r="AO24" s="29"/>
      <c r="AP24" s="29"/>
      <c r="AQ24" s="29"/>
      <c r="AR24" s="29"/>
      <c r="AS24" s="29"/>
      <c r="AT24" s="29"/>
      <c r="AU24" s="29"/>
      <c r="AV24" s="29"/>
      <c r="AW24" s="29"/>
      <c r="AX24" s="29"/>
    </row>
    <row r="25" spans="1:50" ht="15.75" customHeight="1">
      <c r="A25" s="293" t="s">
        <v>105</v>
      </c>
      <c r="B25" s="271"/>
      <c r="C25" s="271"/>
      <c r="D25" s="271"/>
      <c r="E25" s="271"/>
      <c r="F25" s="271"/>
      <c r="G25" s="272"/>
      <c r="AO25" s="29"/>
      <c r="AP25" s="29"/>
      <c r="AQ25" s="29"/>
      <c r="AR25" s="29"/>
      <c r="AS25" s="29"/>
      <c r="AT25" s="29"/>
      <c r="AU25" s="29"/>
      <c r="AV25" s="29"/>
      <c r="AW25" s="29"/>
      <c r="AX25" s="29"/>
    </row>
    <row r="26" spans="1:50" ht="15.75" customHeight="1">
      <c r="A26" s="25"/>
      <c r="G26" s="33"/>
      <c r="AO26" s="29"/>
      <c r="AP26" s="29"/>
      <c r="AQ26" s="29"/>
      <c r="AR26" s="29"/>
      <c r="AS26" s="29"/>
      <c r="AT26" s="29"/>
      <c r="AU26" s="29"/>
      <c r="AV26" s="29"/>
      <c r="AW26" s="29"/>
      <c r="AX26" s="29"/>
    </row>
    <row r="27" spans="1:50" ht="28.8">
      <c r="A27" s="35"/>
      <c r="B27" s="132" t="s">
        <v>28</v>
      </c>
      <c r="C27" s="132" t="s">
        <v>29</v>
      </c>
      <c r="D27" s="132" t="s">
        <v>86</v>
      </c>
      <c r="F27" s="132" t="s">
        <v>87</v>
      </c>
      <c r="G27" s="33"/>
      <c r="AO27" s="29"/>
      <c r="AP27" s="29"/>
      <c r="AQ27" s="29"/>
      <c r="AR27" s="29"/>
      <c r="AS27" s="29"/>
      <c r="AT27" s="29"/>
      <c r="AU27" s="29"/>
      <c r="AV27" s="29"/>
      <c r="AW27" s="29"/>
      <c r="AX27" s="29"/>
    </row>
    <row r="28" spans="1:50" ht="14.4">
      <c r="A28" s="37" t="s">
        <v>24</v>
      </c>
      <c r="B28" s="56"/>
      <c r="C28" s="57">
        <v>2</v>
      </c>
      <c r="D28" s="156">
        <f t="shared" ref="D28:D31" si="60">C28-B28</f>
        <v>2</v>
      </c>
      <c r="F28" s="156">
        <v>0</v>
      </c>
      <c r="G28" s="33"/>
      <c r="AO28" s="29"/>
      <c r="AP28" s="29"/>
      <c r="AQ28" s="29"/>
      <c r="AR28" s="29"/>
      <c r="AS28" s="29"/>
      <c r="AT28" s="29"/>
      <c r="AU28" s="29"/>
      <c r="AV28" s="29"/>
      <c r="AW28" s="29"/>
      <c r="AX28" s="29"/>
    </row>
    <row r="29" spans="1:50" ht="14.4">
      <c r="A29" s="37" t="s">
        <v>36</v>
      </c>
      <c r="B29" s="56"/>
      <c r="C29" s="57">
        <v>2</v>
      </c>
      <c r="D29" s="156">
        <f t="shared" si="60"/>
        <v>2</v>
      </c>
      <c r="F29" s="156">
        <v>0</v>
      </c>
      <c r="G29" s="33"/>
      <c r="AO29" s="29"/>
      <c r="AP29" s="29"/>
      <c r="AQ29" s="29"/>
      <c r="AR29" s="29"/>
      <c r="AS29" s="29"/>
      <c r="AT29" s="29"/>
      <c r="AU29" s="29"/>
      <c r="AV29" s="29"/>
      <c r="AW29" s="29"/>
      <c r="AX29" s="29"/>
    </row>
    <row r="30" spans="1:50" ht="13.2">
      <c r="A30" s="37" t="s">
        <v>40</v>
      </c>
      <c r="B30" s="56"/>
      <c r="C30" s="57">
        <v>2</v>
      </c>
      <c r="D30" s="156">
        <f t="shared" si="60"/>
        <v>2</v>
      </c>
      <c r="F30" s="156">
        <v>0</v>
      </c>
      <c r="G30" s="33"/>
    </row>
    <row r="31" spans="1:50" ht="13.2">
      <c r="A31" s="37" t="s">
        <v>41</v>
      </c>
      <c r="B31" s="56">
        <v>4</v>
      </c>
      <c r="C31" s="57">
        <v>2</v>
      </c>
      <c r="D31" s="156">
        <f t="shared" si="60"/>
        <v>-2</v>
      </c>
      <c r="F31" s="156">
        <v>0</v>
      </c>
      <c r="G31" s="33"/>
    </row>
    <row r="32" spans="1:50" ht="13.2">
      <c r="A32" s="76" t="s">
        <v>44</v>
      </c>
      <c r="B32" s="81">
        <f t="shared" ref="B32:D32" si="61">SUM(B28:B31)</f>
        <v>4</v>
      </c>
      <c r="C32" s="81">
        <f t="shared" si="61"/>
        <v>8</v>
      </c>
      <c r="D32" s="81">
        <f t="shared" si="61"/>
        <v>4</v>
      </c>
      <c r="F32" s="81">
        <f>SUM(F28:F31)</f>
        <v>0</v>
      </c>
      <c r="G32" s="33"/>
    </row>
    <row r="33" spans="1:7" ht="13.2">
      <c r="A33" s="37"/>
      <c r="B33" s="61"/>
      <c r="C33" s="61"/>
      <c r="D33" s="61"/>
      <c r="F33" s="61"/>
      <c r="G33" s="33"/>
    </row>
    <row r="34" spans="1:7" ht="13.2">
      <c r="A34" s="37" t="s">
        <v>46</v>
      </c>
      <c r="B34" s="56">
        <v>3</v>
      </c>
      <c r="C34" s="57">
        <v>2</v>
      </c>
      <c r="D34" s="156">
        <f t="shared" ref="D34:D37" si="62">C34-B34</f>
        <v>-1</v>
      </c>
      <c r="F34" s="156">
        <v>0</v>
      </c>
      <c r="G34" s="33"/>
    </row>
    <row r="35" spans="1:7" ht="13.2">
      <c r="A35" s="37" t="s">
        <v>51</v>
      </c>
      <c r="B35" s="56">
        <v>1</v>
      </c>
      <c r="C35" s="57">
        <v>2</v>
      </c>
      <c r="D35" s="156">
        <f t="shared" si="62"/>
        <v>1</v>
      </c>
      <c r="F35" s="156">
        <v>0</v>
      </c>
      <c r="G35" s="33"/>
    </row>
    <row r="36" spans="1:7" ht="13.2">
      <c r="A36" s="37" t="s">
        <v>52</v>
      </c>
      <c r="B36" s="56"/>
      <c r="C36" s="57">
        <v>2</v>
      </c>
      <c r="D36" s="156">
        <f t="shared" si="62"/>
        <v>2</v>
      </c>
      <c r="F36" s="156">
        <v>0</v>
      </c>
      <c r="G36" s="33"/>
    </row>
    <row r="37" spans="1:7" ht="13.2">
      <c r="A37" s="37" t="s">
        <v>53</v>
      </c>
      <c r="B37" s="56">
        <v>1</v>
      </c>
      <c r="C37" s="57">
        <v>2</v>
      </c>
      <c r="D37" s="156">
        <f t="shared" si="62"/>
        <v>1</v>
      </c>
      <c r="F37" s="156">
        <v>0</v>
      </c>
      <c r="G37" s="33"/>
    </row>
    <row r="38" spans="1:7" ht="13.2">
      <c r="A38" s="76" t="s">
        <v>54</v>
      </c>
      <c r="B38" s="81">
        <f t="shared" ref="B38:D38" si="63">SUM(B34:B37)</f>
        <v>5</v>
      </c>
      <c r="C38" s="81">
        <f t="shared" si="63"/>
        <v>8</v>
      </c>
      <c r="D38" s="81">
        <f t="shared" si="63"/>
        <v>3</v>
      </c>
      <c r="F38" s="81">
        <f>SUM(F34:F37)</f>
        <v>0</v>
      </c>
      <c r="G38" s="33"/>
    </row>
    <row r="39" spans="1:7" ht="13.2">
      <c r="A39" s="37"/>
      <c r="B39" s="61"/>
      <c r="C39" s="61"/>
      <c r="D39" s="61"/>
      <c r="F39" s="61"/>
      <c r="G39" s="33"/>
    </row>
    <row r="40" spans="1:7" ht="13.2">
      <c r="A40" s="37" t="s">
        <v>55</v>
      </c>
      <c r="B40" s="56"/>
      <c r="C40" s="57">
        <v>3</v>
      </c>
      <c r="D40" s="156">
        <f t="shared" ref="D40:D42" si="64">C40-B40</f>
        <v>3</v>
      </c>
      <c r="F40" s="156">
        <v>0</v>
      </c>
      <c r="G40" s="33"/>
    </row>
    <row r="41" spans="1:7" ht="13.2">
      <c r="A41" s="37" t="s">
        <v>57</v>
      </c>
      <c r="B41" s="56">
        <v>3</v>
      </c>
      <c r="C41" s="57">
        <v>2</v>
      </c>
      <c r="D41" s="156">
        <f t="shared" si="64"/>
        <v>-1</v>
      </c>
      <c r="F41" s="156">
        <v>0</v>
      </c>
      <c r="G41" s="33"/>
    </row>
    <row r="42" spans="1:7" ht="13.2">
      <c r="A42" s="37" t="s">
        <v>58</v>
      </c>
      <c r="B42" s="56"/>
      <c r="C42" s="57">
        <v>1</v>
      </c>
      <c r="D42" s="156">
        <f t="shared" si="64"/>
        <v>1</v>
      </c>
      <c r="F42" s="156">
        <v>0</v>
      </c>
      <c r="G42" s="33"/>
    </row>
    <row r="43" spans="1:7" ht="13.2">
      <c r="A43" s="76" t="s">
        <v>59</v>
      </c>
      <c r="B43" s="81">
        <f t="shared" ref="B43:D43" si="65">SUM(B40:B42)</f>
        <v>3</v>
      </c>
      <c r="C43" s="81">
        <f t="shared" si="65"/>
        <v>6</v>
      </c>
      <c r="D43" s="81">
        <f t="shared" si="65"/>
        <v>3</v>
      </c>
      <c r="F43" s="81">
        <f>SUM(F40:F42)</f>
        <v>0</v>
      </c>
      <c r="G43" s="33"/>
    </row>
    <row r="44" spans="1:7" ht="13.2">
      <c r="A44" s="76"/>
      <c r="B44" s="66"/>
      <c r="C44" s="66"/>
      <c r="D44" s="66"/>
      <c r="F44" s="66"/>
      <c r="G44" s="33"/>
    </row>
    <row r="45" spans="1:7" ht="13.2">
      <c r="A45" s="76"/>
      <c r="B45" s="90"/>
      <c r="C45" s="90"/>
      <c r="D45" s="90"/>
      <c r="F45" s="90"/>
      <c r="G45" s="33"/>
    </row>
    <row r="46" spans="1:7" ht="13.2">
      <c r="A46" s="76" t="s">
        <v>14</v>
      </c>
      <c r="B46" s="81">
        <f t="shared" ref="B46:D46" si="66">B43+B38+B32</f>
        <v>12</v>
      </c>
      <c r="C46" s="81">
        <f t="shared" si="66"/>
        <v>22</v>
      </c>
      <c r="D46" s="81">
        <f t="shared" si="66"/>
        <v>10</v>
      </c>
      <c r="F46" s="81">
        <f>F43+F38+F32</f>
        <v>0</v>
      </c>
      <c r="G46" s="33"/>
    </row>
    <row r="47" spans="1:7" ht="13.2">
      <c r="A47" s="159"/>
      <c r="B47" s="160"/>
      <c r="C47" s="160"/>
      <c r="D47" s="160"/>
      <c r="E47" s="160"/>
      <c r="F47" s="160"/>
      <c r="G47" s="161"/>
    </row>
    <row r="49" spans="1:22" ht="14.4">
      <c r="A49" s="292" t="s">
        <v>63</v>
      </c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6"/>
      <c r="U49" s="15" t="s">
        <v>2</v>
      </c>
      <c r="V49" s="120" t="s">
        <v>3</v>
      </c>
    </row>
    <row r="50" spans="1:22" ht="14.4">
      <c r="A50" s="32"/>
      <c r="B50" s="130"/>
      <c r="C50" s="277" t="str">
        <f>C4</f>
        <v>APRIL</v>
      </c>
      <c r="D50" s="278"/>
      <c r="E50" s="278"/>
      <c r="F50" s="278"/>
      <c r="G50" s="277" t="str">
        <f>H4</f>
        <v>MAY</v>
      </c>
      <c r="H50" s="278"/>
      <c r="I50" s="278"/>
      <c r="J50" s="278"/>
      <c r="K50" s="277" t="str">
        <f>M4</f>
        <v>JUNE</v>
      </c>
      <c r="L50" s="278"/>
      <c r="M50" s="278"/>
      <c r="N50" s="278"/>
      <c r="O50" s="29"/>
      <c r="P50" s="130"/>
      <c r="Q50" s="277" t="s">
        <v>14</v>
      </c>
      <c r="R50" s="278"/>
      <c r="S50" s="278"/>
      <c r="T50" s="279"/>
      <c r="V50" s="29"/>
    </row>
    <row r="51" spans="1:22" ht="86.4">
      <c r="A51" s="35"/>
      <c r="B51" s="130"/>
      <c r="C51" s="132" t="s">
        <v>65</v>
      </c>
      <c r="D51" s="132" t="s">
        <v>66</v>
      </c>
      <c r="E51" s="132" t="s">
        <v>28</v>
      </c>
      <c r="F51" s="132" t="s">
        <v>67</v>
      </c>
      <c r="G51" s="132" t="s">
        <v>65</v>
      </c>
      <c r="H51" s="132" t="s">
        <v>66</v>
      </c>
      <c r="I51" s="132" t="s">
        <v>28</v>
      </c>
      <c r="J51" s="132" t="s">
        <v>67</v>
      </c>
      <c r="K51" s="132" t="s">
        <v>65</v>
      </c>
      <c r="L51" s="132" t="s">
        <v>66</v>
      </c>
      <c r="M51" s="132" t="s">
        <v>28</v>
      </c>
      <c r="N51" s="132" t="s">
        <v>67</v>
      </c>
      <c r="O51" s="38"/>
      <c r="P51" s="132"/>
      <c r="Q51" s="132" t="s">
        <v>65</v>
      </c>
      <c r="R51" s="132" t="s">
        <v>66</v>
      </c>
      <c r="S51" s="132" t="s">
        <v>28</v>
      </c>
      <c r="T51" s="135" t="s">
        <v>67</v>
      </c>
      <c r="V51" s="29"/>
    </row>
    <row r="52" spans="1:22" ht="14.4">
      <c r="A52" s="32" t="s">
        <v>24</v>
      </c>
      <c r="B52" s="130"/>
      <c r="C52" s="39">
        <v>53</v>
      </c>
      <c r="D52" s="39">
        <v>0</v>
      </c>
      <c r="E52" s="56">
        <f>SUM(C52:D52)</f>
        <v>53</v>
      </c>
      <c r="F52" s="57">
        <v>114</v>
      </c>
      <c r="G52" s="124">
        <v>99</v>
      </c>
      <c r="H52" s="39"/>
      <c r="I52" s="56">
        <f>SUM(G52:H52)</f>
        <v>99</v>
      </c>
      <c r="J52" s="57">
        <v>129</v>
      </c>
      <c r="K52" s="124">
        <v>103</v>
      </c>
      <c r="L52" s="39">
        <v>57</v>
      </c>
      <c r="M52" s="56">
        <f>SUM(K52:L52)</f>
        <v>160</v>
      </c>
      <c r="N52" s="57">
        <v>155</v>
      </c>
      <c r="O52" s="66"/>
      <c r="P52" s="65">
        <f t="shared" ref="P52:P58" si="67">B52</f>
        <v>0</v>
      </c>
      <c r="Q52" s="66">
        <f t="shared" ref="Q52:R52" si="68">K52+G52+C52</f>
        <v>255</v>
      </c>
      <c r="R52" s="66">
        <f t="shared" si="68"/>
        <v>57</v>
      </c>
      <c r="S52" s="56">
        <f>SUM(P52:R52)</f>
        <v>312</v>
      </c>
      <c r="T52" s="68">
        <f>N52+J52+F52</f>
        <v>398</v>
      </c>
      <c r="U52" s="77">
        <v>45831</v>
      </c>
      <c r="V52" s="29" t="s">
        <v>49</v>
      </c>
    </row>
    <row r="53" spans="1:22" ht="14.4">
      <c r="A53" s="35" t="s">
        <v>44</v>
      </c>
      <c r="B53" s="130"/>
      <c r="C53" s="78">
        <f t="shared" ref="C53:N53" si="69">SUM(C52)</f>
        <v>53</v>
      </c>
      <c r="D53" s="78">
        <f t="shared" si="69"/>
        <v>0</v>
      </c>
      <c r="E53" s="78">
        <f t="shared" si="69"/>
        <v>53</v>
      </c>
      <c r="F53" s="78">
        <f t="shared" si="69"/>
        <v>114</v>
      </c>
      <c r="G53" s="78">
        <f t="shared" si="69"/>
        <v>99</v>
      </c>
      <c r="H53" s="78">
        <f t="shared" si="69"/>
        <v>0</v>
      </c>
      <c r="I53" s="78">
        <f t="shared" si="69"/>
        <v>99</v>
      </c>
      <c r="J53" s="78">
        <f t="shared" si="69"/>
        <v>129</v>
      </c>
      <c r="K53" s="78">
        <f t="shared" si="69"/>
        <v>103</v>
      </c>
      <c r="L53" s="78">
        <f t="shared" si="69"/>
        <v>57</v>
      </c>
      <c r="M53" s="78">
        <f t="shared" si="69"/>
        <v>160</v>
      </c>
      <c r="N53" s="78">
        <f t="shared" si="69"/>
        <v>155</v>
      </c>
      <c r="O53" s="66"/>
      <c r="P53" s="65">
        <f t="shared" si="67"/>
        <v>0</v>
      </c>
      <c r="Q53" s="78">
        <f t="shared" ref="Q53:T53" si="70">SUM(Q52)</f>
        <v>255</v>
      </c>
      <c r="R53" s="78">
        <f t="shared" si="70"/>
        <v>57</v>
      </c>
      <c r="S53" s="78">
        <f t="shared" si="70"/>
        <v>312</v>
      </c>
      <c r="T53" s="92">
        <f t="shared" si="70"/>
        <v>398</v>
      </c>
      <c r="V53" s="29"/>
    </row>
    <row r="54" spans="1:22" ht="14.4">
      <c r="A54" s="32" t="s">
        <v>51</v>
      </c>
      <c r="B54" s="130"/>
      <c r="C54" s="39">
        <v>60</v>
      </c>
      <c r="D54" s="66"/>
      <c r="E54" s="56">
        <f>SUM(C54:D54)</f>
        <v>60</v>
      </c>
      <c r="F54" s="57">
        <v>20</v>
      </c>
      <c r="G54" s="124">
        <v>50</v>
      </c>
      <c r="H54" s="66">
        <v>0</v>
      </c>
      <c r="I54" s="56">
        <f>SUM(G54:H54)</f>
        <v>50</v>
      </c>
      <c r="J54" s="57">
        <v>30</v>
      </c>
      <c r="K54" s="124">
        <v>6</v>
      </c>
      <c r="L54" s="66">
        <v>46</v>
      </c>
      <c r="M54" s="56">
        <f>SUM(K54:L54)</f>
        <v>52</v>
      </c>
      <c r="N54" s="57">
        <v>37</v>
      </c>
      <c r="O54" s="66"/>
      <c r="P54" s="65">
        <f t="shared" si="67"/>
        <v>0</v>
      </c>
      <c r="Q54" s="66">
        <f>K54+G54+O58+C54</f>
        <v>116</v>
      </c>
      <c r="R54" s="66">
        <f>L54+H54+D54</f>
        <v>46</v>
      </c>
      <c r="S54" s="56">
        <f>SUM(P54:R54)</f>
        <v>162</v>
      </c>
      <c r="T54" s="68">
        <f>N54+J54+F54</f>
        <v>87</v>
      </c>
      <c r="U54" s="121">
        <v>45824</v>
      </c>
      <c r="V54" s="29" t="s">
        <v>56</v>
      </c>
    </row>
    <row r="55" spans="1:22" ht="14.4">
      <c r="A55" s="35" t="s">
        <v>54</v>
      </c>
      <c r="B55" s="130"/>
      <c r="C55" s="78">
        <f t="shared" ref="C55:N55" si="71">SUM(C54)</f>
        <v>60</v>
      </c>
      <c r="D55" s="78">
        <f t="shared" si="71"/>
        <v>0</v>
      </c>
      <c r="E55" s="78">
        <f t="shared" si="71"/>
        <v>60</v>
      </c>
      <c r="F55" s="78">
        <f t="shared" si="71"/>
        <v>20</v>
      </c>
      <c r="G55" s="78">
        <f t="shared" si="71"/>
        <v>50</v>
      </c>
      <c r="H55" s="78">
        <f t="shared" si="71"/>
        <v>0</v>
      </c>
      <c r="I55" s="78">
        <f t="shared" si="71"/>
        <v>50</v>
      </c>
      <c r="J55" s="78">
        <f t="shared" si="71"/>
        <v>30</v>
      </c>
      <c r="K55" s="78">
        <f t="shared" si="71"/>
        <v>6</v>
      </c>
      <c r="L55" s="78">
        <f t="shared" si="71"/>
        <v>46</v>
      </c>
      <c r="M55" s="78">
        <f t="shared" si="71"/>
        <v>52</v>
      </c>
      <c r="N55" s="78">
        <f t="shared" si="71"/>
        <v>37</v>
      </c>
      <c r="O55" s="66"/>
      <c r="P55" s="65">
        <f t="shared" si="67"/>
        <v>0</v>
      </c>
      <c r="Q55" s="78">
        <f t="shared" ref="Q55:T55" si="72">SUM(Q54)</f>
        <v>116</v>
      </c>
      <c r="R55" s="78">
        <f t="shared" si="72"/>
        <v>46</v>
      </c>
      <c r="S55" s="78">
        <f t="shared" si="72"/>
        <v>162</v>
      </c>
      <c r="T55" s="92">
        <f t="shared" si="72"/>
        <v>87</v>
      </c>
      <c r="V55" s="29"/>
    </row>
    <row r="56" spans="1:22" ht="14.4">
      <c r="A56" s="32" t="s">
        <v>55</v>
      </c>
      <c r="B56" s="130"/>
      <c r="C56" s="39">
        <v>53</v>
      </c>
      <c r="D56" s="66">
        <v>0</v>
      </c>
      <c r="E56" s="56">
        <f>SUM(C56:D56)</f>
        <v>53</v>
      </c>
      <c r="F56" s="57">
        <v>25</v>
      </c>
      <c r="G56" s="124">
        <v>45</v>
      </c>
      <c r="H56" s="66">
        <v>0</v>
      </c>
      <c r="I56" s="56">
        <f>SUM(G56:H56)</f>
        <v>45</v>
      </c>
      <c r="J56" s="57">
        <v>38</v>
      </c>
      <c r="K56" s="124">
        <v>46</v>
      </c>
      <c r="L56" s="66">
        <v>0</v>
      </c>
      <c r="M56" s="56">
        <f>SUM(K56:L56)</f>
        <v>46</v>
      </c>
      <c r="N56" s="57">
        <v>61</v>
      </c>
      <c r="O56" s="66"/>
      <c r="P56" s="65">
        <f t="shared" si="67"/>
        <v>0</v>
      </c>
      <c r="Q56" s="66">
        <f t="shared" ref="Q56:R56" si="73">K56+G56+C56</f>
        <v>144</v>
      </c>
      <c r="R56" s="66">
        <f t="shared" si="73"/>
        <v>0</v>
      </c>
      <c r="S56" s="56">
        <f>SUM(P56:R56)</f>
        <v>144</v>
      </c>
      <c r="T56" s="68">
        <f>N56+J56+F56</f>
        <v>124</v>
      </c>
      <c r="U56" s="83">
        <v>45838</v>
      </c>
      <c r="V56" s="29" t="s">
        <v>80</v>
      </c>
    </row>
    <row r="57" spans="1:22" ht="14.4">
      <c r="A57" s="35"/>
      <c r="B57" s="130"/>
      <c r="C57" s="78">
        <f t="shared" ref="C57:N57" si="74">SUM(C56)</f>
        <v>53</v>
      </c>
      <c r="D57" s="78">
        <f t="shared" si="74"/>
        <v>0</v>
      </c>
      <c r="E57" s="78">
        <f t="shared" si="74"/>
        <v>53</v>
      </c>
      <c r="F57" s="78">
        <f t="shared" si="74"/>
        <v>25</v>
      </c>
      <c r="G57" s="78">
        <f t="shared" si="74"/>
        <v>45</v>
      </c>
      <c r="H57" s="78">
        <f t="shared" si="74"/>
        <v>0</v>
      </c>
      <c r="I57" s="78">
        <f t="shared" si="74"/>
        <v>45</v>
      </c>
      <c r="J57" s="78">
        <f t="shared" si="74"/>
        <v>38</v>
      </c>
      <c r="K57" s="78">
        <f t="shared" si="74"/>
        <v>46</v>
      </c>
      <c r="L57" s="78">
        <f t="shared" si="74"/>
        <v>0</v>
      </c>
      <c r="M57" s="78">
        <f t="shared" si="74"/>
        <v>46</v>
      </c>
      <c r="N57" s="78">
        <f t="shared" si="74"/>
        <v>61</v>
      </c>
      <c r="O57" s="66"/>
      <c r="P57" s="65">
        <f t="shared" si="67"/>
        <v>0</v>
      </c>
      <c r="Q57" s="78">
        <f t="shared" ref="Q57:T57" si="75">SUM(Q56)</f>
        <v>144</v>
      </c>
      <c r="R57" s="78">
        <f t="shared" si="75"/>
        <v>0</v>
      </c>
      <c r="S57" s="78">
        <f t="shared" si="75"/>
        <v>144</v>
      </c>
      <c r="T57" s="92">
        <f t="shared" si="75"/>
        <v>124</v>
      </c>
      <c r="V57" s="29"/>
    </row>
    <row r="58" spans="1:22" ht="14.4">
      <c r="A58" s="35"/>
      <c r="B58" s="130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5">
        <f t="shared" si="67"/>
        <v>0</v>
      </c>
      <c r="Q58" s="66"/>
      <c r="R58" s="66"/>
      <c r="S58" s="66"/>
      <c r="T58" s="104"/>
    </row>
    <row r="59" spans="1:22" ht="14.4">
      <c r="A59" s="32"/>
      <c r="B59" s="29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104"/>
    </row>
    <row r="60" spans="1:22" ht="14.4">
      <c r="A60" s="126" t="s">
        <v>14</v>
      </c>
      <c r="B60" s="162"/>
      <c r="C60" s="97">
        <f t="shared" ref="C60:N60" si="76">C57+C55+C53</f>
        <v>166</v>
      </c>
      <c r="D60" s="97">
        <f t="shared" si="76"/>
        <v>0</v>
      </c>
      <c r="E60" s="97">
        <f t="shared" si="76"/>
        <v>166</v>
      </c>
      <c r="F60" s="97">
        <f t="shared" si="76"/>
        <v>159</v>
      </c>
      <c r="G60" s="97">
        <f t="shared" si="76"/>
        <v>194</v>
      </c>
      <c r="H60" s="97">
        <f t="shared" si="76"/>
        <v>0</v>
      </c>
      <c r="I60" s="97">
        <f t="shared" si="76"/>
        <v>194</v>
      </c>
      <c r="J60" s="97">
        <f t="shared" si="76"/>
        <v>197</v>
      </c>
      <c r="K60" s="97">
        <f t="shared" si="76"/>
        <v>155</v>
      </c>
      <c r="L60" s="97">
        <f t="shared" si="76"/>
        <v>103</v>
      </c>
      <c r="M60" s="97">
        <f t="shared" si="76"/>
        <v>258</v>
      </c>
      <c r="N60" s="97">
        <f t="shared" si="76"/>
        <v>253</v>
      </c>
      <c r="O60" s="127"/>
      <c r="P60" s="127"/>
      <c r="Q60" s="97">
        <f t="shared" ref="Q60:T60" si="77">Q57+Q55+Q53</f>
        <v>515</v>
      </c>
      <c r="R60" s="97">
        <f t="shared" si="77"/>
        <v>103</v>
      </c>
      <c r="S60" s="97">
        <f t="shared" si="77"/>
        <v>618</v>
      </c>
      <c r="T60" s="99">
        <f t="shared" si="77"/>
        <v>609</v>
      </c>
    </row>
    <row r="62" spans="1:22" ht="14.4">
      <c r="A62" s="295" t="s">
        <v>71</v>
      </c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6"/>
      <c r="P62" s="4"/>
      <c r="Q62" s="6"/>
      <c r="R62" s="21"/>
      <c r="S62" s="182"/>
    </row>
    <row r="63" spans="1:22" ht="14.4">
      <c r="A63" s="19"/>
      <c r="B63" s="277" t="s">
        <v>64</v>
      </c>
      <c r="C63" s="278"/>
      <c r="D63" s="278"/>
      <c r="E63" s="128"/>
      <c r="F63" s="277" t="s">
        <v>10</v>
      </c>
      <c r="G63" s="278"/>
      <c r="H63" s="278"/>
      <c r="I63" s="277" t="s">
        <v>17</v>
      </c>
      <c r="J63" s="278"/>
      <c r="K63" s="278"/>
      <c r="L63" s="128"/>
      <c r="M63" s="128" t="s">
        <v>14</v>
      </c>
      <c r="N63" s="165"/>
      <c r="P63" s="296" t="s">
        <v>109</v>
      </c>
      <c r="Q63" s="278"/>
      <c r="R63" s="279"/>
      <c r="S63" s="50" t="s">
        <v>110</v>
      </c>
    </row>
    <row r="64" spans="1:22" ht="28.8">
      <c r="A64" s="36"/>
      <c r="B64" s="132" t="s">
        <v>13</v>
      </c>
      <c r="C64" s="132" t="s">
        <v>26</v>
      </c>
      <c r="D64" s="132" t="s">
        <v>29</v>
      </c>
      <c r="E64" s="132"/>
      <c r="F64" s="132" t="s">
        <v>26</v>
      </c>
      <c r="G64" s="132" t="s">
        <v>29</v>
      </c>
      <c r="H64" s="132"/>
      <c r="I64" s="132" t="s">
        <v>26</v>
      </c>
      <c r="J64" s="132" t="s">
        <v>29</v>
      </c>
      <c r="K64" s="132"/>
      <c r="L64" s="132" t="s">
        <v>13</v>
      </c>
      <c r="M64" s="132" t="s">
        <v>26</v>
      </c>
      <c r="N64" s="135" t="s">
        <v>29</v>
      </c>
      <c r="P64" s="136" t="s">
        <v>26</v>
      </c>
      <c r="Q64" s="132" t="s">
        <v>29</v>
      </c>
      <c r="R64" s="135"/>
      <c r="S64" s="183" t="s">
        <v>29</v>
      </c>
    </row>
    <row r="65" spans="1:23" ht="13.2">
      <c r="A65" s="51" t="s">
        <v>24</v>
      </c>
      <c r="B65" s="152">
        <v>-13</v>
      </c>
      <c r="C65" s="39">
        <v>42</v>
      </c>
      <c r="D65" s="57">
        <v>61</v>
      </c>
      <c r="E65" s="61">
        <f t="shared" ref="E65:E78" si="78">C65/D65</f>
        <v>0.68852459016393441</v>
      </c>
      <c r="F65" s="39">
        <v>55</v>
      </c>
      <c r="G65" s="57">
        <v>61</v>
      </c>
      <c r="H65" s="61">
        <f t="shared" ref="H65:H78" si="79">F65/G65</f>
        <v>0.90163934426229508</v>
      </c>
      <c r="I65" s="39">
        <v>41</v>
      </c>
      <c r="J65" s="57">
        <v>63</v>
      </c>
      <c r="K65" s="61">
        <f t="shared" ref="K65:K78" si="80">I65/J65</f>
        <v>0.65079365079365081</v>
      </c>
      <c r="L65" s="65">
        <f t="shared" ref="L65:L68" si="81">B65</f>
        <v>-13</v>
      </c>
      <c r="M65" s="66">
        <f t="shared" ref="M65:N65" si="82">I65+F65+C65</f>
        <v>138</v>
      </c>
      <c r="N65" s="68">
        <f t="shared" si="82"/>
        <v>185</v>
      </c>
      <c r="O65" s="31">
        <v>743</v>
      </c>
      <c r="P65" s="184">
        <v>185</v>
      </c>
      <c r="Q65" s="57">
        <v>198</v>
      </c>
      <c r="R65" s="185">
        <f t="shared" ref="R65:R78" si="83">P65/Q65</f>
        <v>0.93434343434343436</v>
      </c>
      <c r="S65" s="186">
        <f t="shared" ref="S65:S68" si="84">N65+Q65-P65</f>
        <v>198</v>
      </c>
      <c r="T65" s="31">
        <v>62</v>
      </c>
      <c r="U65" s="83">
        <v>45838</v>
      </c>
      <c r="V65" s="31" t="s">
        <v>43</v>
      </c>
    </row>
    <row r="66" spans="1:23" ht="13.2">
      <c r="A66" s="51" t="s">
        <v>36</v>
      </c>
      <c r="B66" s="152">
        <v>1</v>
      </c>
      <c r="C66" s="39">
        <v>60</v>
      </c>
      <c r="D66" s="57">
        <v>48</v>
      </c>
      <c r="E66" s="61">
        <f t="shared" si="78"/>
        <v>1.25</v>
      </c>
      <c r="F66" s="39">
        <v>52</v>
      </c>
      <c r="G66" s="57">
        <v>48</v>
      </c>
      <c r="H66" s="61">
        <f t="shared" si="79"/>
        <v>1.0833333333333333</v>
      </c>
      <c r="I66" s="39">
        <v>54</v>
      </c>
      <c r="J66" s="57">
        <v>50</v>
      </c>
      <c r="K66" s="61">
        <f t="shared" si="80"/>
        <v>1.08</v>
      </c>
      <c r="L66" s="65">
        <f t="shared" si="81"/>
        <v>1</v>
      </c>
      <c r="M66" s="66">
        <f t="shared" ref="M66:N66" si="85">I66+F66+C66</f>
        <v>166</v>
      </c>
      <c r="N66" s="68">
        <f t="shared" si="85"/>
        <v>146</v>
      </c>
      <c r="O66" s="31">
        <v>584</v>
      </c>
      <c r="P66" s="184">
        <v>157</v>
      </c>
      <c r="Q66" s="57">
        <v>156</v>
      </c>
      <c r="R66" s="185">
        <f t="shared" si="83"/>
        <v>1.0064102564102564</v>
      </c>
      <c r="S66" s="186">
        <f t="shared" si="84"/>
        <v>145</v>
      </c>
      <c r="T66" s="31">
        <v>52</v>
      </c>
      <c r="U66" s="83">
        <v>45838</v>
      </c>
      <c r="V66" s="31" t="s">
        <v>43</v>
      </c>
    </row>
    <row r="67" spans="1:23" ht="13.2">
      <c r="A67" s="51" t="s">
        <v>40</v>
      </c>
      <c r="B67" s="152">
        <v>27</v>
      </c>
      <c r="C67" s="39">
        <v>47</v>
      </c>
      <c r="D67" s="57">
        <v>46</v>
      </c>
      <c r="E67" s="61">
        <f t="shared" si="78"/>
        <v>1.0217391304347827</v>
      </c>
      <c r="F67" s="39">
        <v>52</v>
      </c>
      <c r="G67" s="57">
        <v>46</v>
      </c>
      <c r="H67" s="61">
        <f t="shared" si="79"/>
        <v>1.1304347826086956</v>
      </c>
      <c r="I67" s="39">
        <v>39</v>
      </c>
      <c r="J67" s="57">
        <v>48</v>
      </c>
      <c r="K67" s="61">
        <f t="shared" si="80"/>
        <v>0.8125</v>
      </c>
      <c r="L67" s="65">
        <f t="shared" si="81"/>
        <v>27</v>
      </c>
      <c r="M67" s="66">
        <f t="shared" ref="M67:N67" si="86">I67+F67+C67</f>
        <v>138</v>
      </c>
      <c r="N67" s="68">
        <f t="shared" si="86"/>
        <v>140</v>
      </c>
      <c r="O67" s="31">
        <v>562</v>
      </c>
      <c r="P67" s="184">
        <v>177</v>
      </c>
      <c r="Q67" s="57">
        <v>150</v>
      </c>
      <c r="R67" s="185">
        <f t="shared" si="83"/>
        <v>1.18</v>
      </c>
      <c r="S67" s="186">
        <f t="shared" si="84"/>
        <v>113</v>
      </c>
      <c r="T67" s="31">
        <v>59</v>
      </c>
      <c r="U67" s="83">
        <v>45838</v>
      </c>
      <c r="V67" s="31" t="s">
        <v>43</v>
      </c>
    </row>
    <row r="68" spans="1:23" ht="13.2">
      <c r="A68" s="51" t="s">
        <v>41</v>
      </c>
      <c r="B68" s="152">
        <v>-45</v>
      </c>
      <c r="C68" s="70">
        <v>48</v>
      </c>
      <c r="D68" s="57">
        <v>58</v>
      </c>
      <c r="E68" s="61">
        <f t="shared" si="78"/>
        <v>0.82758620689655171</v>
      </c>
      <c r="F68" s="39">
        <v>37</v>
      </c>
      <c r="G68" s="57">
        <v>58</v>
      </c>
      <c r="H68" s="61">
        <f t="shared" si="79"/>
        <v>0.63793103448275867</v>
      </c>
      <c r="I68" s="39">
        <v>41</v>
      </c>
      <c r="J68" s="57">
        <v>60</v>
      </c>
      <c r="K68" s="61">
        <f t="shared" si="80"/>
        <v>0.68333333333333335</v>
      </c>
      <c r="L68" s="65">
        <f t="shared" si="81"/>
        <v>-45</v>
      </c>
      <c r="M68" s="66">
        <f t="shared" ref="M68:N68" si="87">I68+F68+C68</f>
        <v>126</v>
      </c>
      <c r="N68" s="68">
        <f t="shared" si="87"/>
        <v>176</v>
      </c>
      <c r="O68" s="31">
        <v>711</v>
      </c>
      <c r="P68" s="184">
        <v>144</v>
      </c>
      <c r="Q68" s="57">
        <v>189</v>
      </c>
      <c r="R68" s="185">
        <f t="shared" si="83"/>
        <v>0.76190476190476186</v>
      </c>
      <c r="S68" s="186">
        <f t="shared" si="84"/>
        <v>221</v>
      </c>
      <c r="T68" s="31">
        <v>48</v>
      </c>
      <c r="U68" s="83">
        <v>45838</v>
      </c>
      <c r="V68" s="31" t="s">
        <v>43</v>
      </c>
    </row>
    <row r="69" spans="1:23" ht="13.2">
      <c r="A69" s="89" t="s">
        <v>44</v>
      </c>
      <c r="B69" s="78">
        <f t="shared" ref="B69:D69" si="88">SUM(B65:B68)</f>
        <v>-30</v>
      </c>
      <c r="C69" s="78">
        <f t="shared" si="88"/>
        <v>197</v>
      </c>
      <c r="D69" s="78">
        <f t="shared" si="88"/>
        <v>213</v>
      </c>
      <c r="E69" s="61">
        <f t="shared" si="78"/>
        <v>0.92488262910798125</v>
      </c>
      <c r="F69" s="78">
        <f t="shared" ref="F69:G69" si="89">SUM(F65:F68)</f>
        <v>196</v>
      </c>
      <c r="G69" s="78">
        <f t="shared" si="89"/>
        <v>213</v>
      </c>
      <c r="H69" s="61">
        <f t="shared" si="79"/>
        <v>0.92018779342723001</v>
      </c>
      <c r="I69" s="78">
        <f t="shared" ref="I69:J69" si="90">SUM(I65:I68)</f>
        <v>175</v>
      </c>
      <c r="J69" s="78">
        <f t="shared" si="90"/>
        <v>221</v>
      </c>
      <c r="K69" s="61">
        <f t="shared" si="80"/>
        <v>0.79185520361990946</v>
      </c>
      <c r="L69" s="78">
        <f t="shared" ref="L69:N69" si="91">SUM(L65:L68)</f>
        <v>-30</v>
      </c>
      <c r="M69" s="78">
        <f t="shared" si="91"/>
        <v>568</v>
      </c>
      <c r="N69" s="92">
        <f t="shared" si="91"/>
        <v>647</v>
      </c>
      <c r="P69" s="93">
        <f t="shared" ref="P69:Q69" si="92">SUM(P65:P68)</f>
        <v>663</v>
      </c>
      <c r="Q69" s="78">
        <f t="shared" si="92"/>
        <v>693</v>
      </c>
      <c r="R69" s="185">
        <f t="shared" si="83"/>
        <v>0.95670995670995673</v>
      </c>
      <c r="S69" s="187">
        <f>SUM(S65:S68)</f>
        <v>677</v>
      </c>
      <c r="U69" s="77"/>
      <c r="V69" s="79"/>
      <c r="W69" s="79"/>
    </row>
    <row r="70" spans="1:23" ht="13.2">
      <c r="A70" s="51" t="s">
        <v>46</v>
      </c>
      <c r="B70" s="152">
        <v>16</v>
      </c>
      <c r="C70" s="66">
        <v>43</v>
      </c>
      <c r="D70" s="57">
        <v>39</v>
      </c>
      <c r="E70" s="61">
        <f t="shared" si="78"/>
        <v>1.1025641025641026</v>
      </c>
      <c r="F70" s="39">
        <v>35</v>
      </c>
      <c r="G70" s="57">
        <v>39</v>
      </c>
      <c r="H70" s="61">
        <f t="shared" si="79"/>
        <v>0.89743589743589747</v>
      </c>
      <c r="I70" s="39">
        <v>44</v>
      </c>
      <c r="J70" s="57">
        <v>40</v>
      </c>
      <c r="K70" s="61">
        <f t="shared" si="80"/>
        <v>1.1000000000000001</v>
      </c>
      <c r="L70" s="65">
        <f t="shared" ref="L70:L73" si="93">B70</f>
        <v>16</v>
      </c>
      <c r="M70" s="66">
        <f t="shared" ref="M70:N70" si="94">I70+F70+C70</f>
        <v>122</v>
      </c>
      <c r="N70" s="68">
        <f t="shared" si="94"/>
        <v>118</v>
      </c>
      <c r="O70" s="31">
        <v>473</v>
      </c>
      <c r="P70" s="184">
        <v>143</v>
      </c>
      <c r="Q70" s="57">
        <v>127</v>
      </c>
      <c r="R70" s="185">
        <f t="shared" si="83"/>
        <v>1.1259842519685039</v>
      </c>
      <c r="S70" s="186">
        <f t="shared" ref="S70:S73" si="95">N70+Q70-P70</f>
        <v>102</v>
      </c>
      <c r="T70" s="31">
        <v>48</v>
      </c>
      <c r="U70" s="121">
        <v>45831</v>
      </c>
      <c r="V70" s="31" t="s">
        <v>56</v>
      </c>
    </row>
    <row r="71" spans="1:23" ht="13.2">
      <c r="A71" s="51" t="s">
        <v>51</v>
      </c>
      <c r="B71" s="152">
        <v>-24</v>
      </c>
      <c r="C71" s="66">
        <v>34</v>
      </c>
      <c r="D71" s="57">
        <v>48</v>
      </c>
      <c r="E71" s="61">
        <f t="shared" si="78"/>
        <v>0.70833333333333337</v>
      </c>
      <c r="F71" s="39">
        <v>25</v>
      </c>
      <c r="G71" s="57">
        <v>48</v>
      </c>
      <c r="H71" s="61">
        <f t="shared" si="79"/>
        <v>0.52083333333333337</v>
      </c>
      <c r="I71" s="39">
        <v>44</v>
      </c>
      <c r="J71" s="57">
        <v>50</v>
      </c>
      <c r="K71" s="61">
        <f t="shared" si="80"/>
        <v>0.88</v>
      </c>
      <c r="L71" s="65">
        <f t="shared" si="93"/>
        <v>-24</v>
      </c>
      <c r="M71" s="66">
        <f t="shared" ref="M71:N71" si="96">I71+F71+C71</f>
        <v>103</v>
      </c>
      <c r="N71" s="68">
        <f t="shared" si="96"/>
        <v>146</v>
      </c>
      <c r="O71" s="31">
        <v>584</v>
      </c>
      <c r="P71" s="184">
        <v>132</v>
      </c>
      <c r="Q71" s="57">
        <v>156</v>
      </c>
      <c r="R71" s="185">
        <f t="shared" si="83"/>
        <v>0.84615384615384615</v>
      </c>
      <c r="S71" s="186">
        <f t="shared" si="95"/>
        <v>170</v>
      </c>
      <c r="T71" s="31">
        <v>44</v>
      </c>
      <c r="U71" s="121">
        <v>45831</v>
      </c>
      <c r="V71" s="31" t="s">
        <v>56</v>
      </c>
    </row>
    <row r="72" spans="1:23" ht="13.2">
      <c r="A72" s="51" t="s">
        <v>52</v>
      </c>
      <c r="B72" s="152">
        <v>5</v>
      </c>
      <c r="C72" s="66">
        <v>42</v>
      </c>
      <c r="D72" s="57">
        <v>42</v>
      </c>
      <c r="E72" s="61">
        <f t="shared" si="78"/>
        <v>1</v>
      </c>
      <c r="F72" s="39">
        <v>41</v>
      </c>
      <c r="G72" s="57">
        <v>42</v>
      </c>
      <c r="H72" s="61">
        <f t="shared" si="79"/>
        <v>0.97619047619047616</v>
      </c>
      <c r="I72" s="39">
        <v>48</v>
      </c>
      <c r="J72" s="57">
        <v>43</v>
      </c>
      <c r="K72" s="61">
        <f t="shared" si="80"/>
        <v>1.1162790697674418</v>
      </c>
      <c r="L72" s="65">
        <f t="shared" si="93"/>
        <v>5</v>
      </c>
      <c r="M72" s="66">
        <f t="shared" ref="M72:N72" si="97">I72+F72+C72</f>
        <v>131</v>
      </c>
      <c r="N72" s="68">
        <f t="shared" si="97"/>
        <v>127</v>
      </c>
      <c r="O72" s="31">
        <v>509</v>
      </c>
      <c r="P72" s="184">
        <v>141</v>
      </c>
      <c r="Q72" s="57">
        <v>136</v>
      </c>
      <c r="R72" s="185">
        <f t="shared" si="83"/>
        <v>1.036764705882353</v>
      </c>
      <c r="S72" s="186">
        <f t="shared" si="95"/>
        <v>122</v>
      </c>
      <c r="T72" s="31">
        <v>47</v>
      </c>
      <c r="U72" s="121">
        <v>45831</v>
      </c>
      <c r="V72" s="31" t="s">
        <v>56</v>
      </c>
    </row>
    <row r="73" spans="1:23" ht="13.2">
      <c r="A73" s="51" t="s">
        <v>53</v>
      </c>
      <c r="B73" s="152">
        <v>-32</v>
      </c>
      <c r="C73" s="66">
        <v>77</v>
      </c>
      <c r="D73" s="57">
        <v>88</v>
      </c>
      <c r="E73" s="61">
        <f t="shared" si="78"/>
        <v>0.875</v>
      </c>
      <c r="F73" s="39">
        <v>82</v>
      </c>
      <c r="G73" s="57">
        <v>88</v>
      </c>
      <c r="H73" s="61">
        <f t="shared" si="79"/>
        <v>0.93181818181818177</v>
      </c>
      <c r="I73" s="39">
        <v>74</v>
      </c>
      <c r="J73" s="57">
        <v>92</v>
      </c>
      <c r="K73" s="61">
        <f t="shared" si="80"/>
        <v>0.80434782608695654</v>
      </c>
      <c r="L73" s="65">
        <f t="shared" si="93"/>
        <v>-32</v>
      </c>
      <c r="M73" s="66">
        <f t="shared" ref="M73:N73" si="98">I73+F73+C73</f>
        <v>233</v>
      </c>
      <c r="N73" s="68">
        <f t="shared" si="98"/>
        <v>268</v>
      </c>
      <c r="O73" s="31">
        <v>1077</v>
      </c>
      <c r="P73" s="184">
        <v>256</v>
      </c>
      <c r="Q73" s="57">
        <v>288</v>
      </c>
      <c r="R73" s="185">
        <f t="shared" si="83"/>
        <v>0.88888888888888884</v>
      </c>
      <c r="S73" s="186">
        <f t="shared" si="95"/>
        <v>300</v>
      </c>
      <c r="T73" s="31">
        <v>85</v>
      </c>
      <c r="U73" s="83">
        <v>45831</v>
      </c>
      <c r="V73" s="31" t="s">
        <v>56</v>
      </c>
    </row>
    <row r="74" spans="1:23" ht="13.2">
      <c r="A74" s="89" t="s">
        <v>54</v>
      </c>
      <c r="B74" s="78">
        <f t="shared" ref="B74:D74" si="99">SUM(B70:B73)</f>
        <v>-35</v>
      </c>
      <c r="C74" s="78">
        <f t="shared" si="99"/>
        <v>196</v>
      </c>
      <c r="D74" s="78">
        <f t="shared" si="99"/>
        <v>217</v>
      </c>
      <c r="E74" s="61">
        <f t="shared" si="78"/>
        <v>0.90322580645161288</v>
      </c>
      <c r="F74" s="78">
        <f t="shared" ref="F74:G74" si="100">SUM(F70:F73)</f>
        <v>183</v>
      </c>
      <c r="G74" s="78">
        <f t="shared" si="100"/>
        <v>217</v>
      </c>
      <c r="H74" s="61">
        <f t="shared" si="79"/>
        <v>0.84331797235023043</v>
      </c>
      <c r="I74" s="78">
        <f t="shared" ref="I74:J74" si="101">SUM(I70:I73)</f>
        <v>210</v>
      </c>
      <c r="J74" s="78">
        <f t="shared" si="101"/>
        <v>225</v>
      </c>
      <c r="K74" s="61">
        <f t="shared" si="80"/>
        <v>0.93333333333333335</v>
      </c>
      <c r="L74" s="78">
        <f t="shared" ref="L74:N74" si="102">SUM(L70:L73)</f>
        <v>-35</v>
      </c>
      <c r="M74" s="78">
        <f t="shared" si="102"/>
        <v>589</v>
      </c>
      <c r="N74" s="92">
        <f t="shared" si="102"/>
        <v>659</v>
      </c>
      <c r="P74" s="93">
        <f t="shared" ref="P74:Q74" si="103">SUM(P70:P73)</f>
        <v>672</v>
      </c>
      <c r="Q74" s="78">
        <f t="shared" si="103"/>
        <v>707</v>
      </c>
      <c r="R74" s="185">
        <f t="shared" si="83"/>
        <v>0.95049504950495045</v>
      </c>
      <c r="S74" s="187">
        <f>SUM(S70:S73)</f>
        <v>694</v>
      </c>
    </row>
    <row r="75" spans="1:23" ht="13.2">
      <c r="A75" s="51" t="s">
        <v>55</v>
      </c>
      <c r="B75" s="152">
        <v>-28</v>
      </c>
      <c r="C75" s="66">
        <v>26</v>
      </c>
      <c r="D75" s="57">
        <v>38</v>
      </c>
      <c r="E75" s="61">
        <f t="shared" si="78"/>
        <v>0.68421052631578949</v>
      </c>
      <c r="F75" s="39">
        <v>43</v>
      </c>
      <c r="G75" s="57">
        <v>38</v>
      </c>
      <c r="H75" s="61">
        <f t="shared" si="79"/>
        <v>1.131578947368421</v>
      </c>
      <c r="I75" s="39">
        <v>22</v>
      </c>
      <c r="J75" s="57">
        <v>39</v>
      </c>
      <c r="K75" s="61">
        <f t="shared" si="80"/>
        <v>0.5641025641025641</v>
      </c>
      <c r="L75" s="65">
        <f t="shared" ref="L75:L77" si="104">B75</f>
        <v>-28</v>
      </c>
      <c r="M75" s="66">
        <f t="shared" ref="M75:N75" si="105">I75+F75+C75</f>
        <v>91</v>
      </c>
      <c r="N75" s="68">
        <f t="shared" si="105"/>
        <v>115</v>
      </c>
      <c r="O75" s="31">
        <v>462</v>
      </c>
      <c r="P75" s="184">
        <v>96</v>
      </c>
      <c r="Q75" s="57">
        <v>124</v>
      </c>
      <c r="R75" s="185">
        <f t="shared" si="83"/>
        <v>0.77419354838709675</v>
      </c>
      <c r="S75" s="186">
        <f t="shared" ref="S75:S77" si="106">N75+Q75-P75</f>
        <v>143</v>
      </c>
      <c r="T75" s="31">
        <v>30</v>
      </c>
      <c r="U75" s="83">
        <v>45838</v>
      </c>
      <c r="V75" s="31" t="s">
        <v>80</v>
      </c>
    </row>
    <row r="76" spans="1:23" ht="13.2">
      <c r="A76" s="51" t="s">
        <v>57</v>
      </c>
      <c r="B76" s="152">
        <v>-40</v>
      </c>
      <c r="C76" s="66">
        <v>40</v>
      </c>
      <c r="D76" s="57">
        <v>51</v>
      </c>
      <c r="E76" s="61">
        <f t="shared" si="78"/>
        <v>0.78431372549019607</v>
      </c>
      <c r="F76" s="39">
        <v>40</v>
      </c>
      <c r="G76" s="57">
        <v>51</v>
      </c>
      <c r="H76" s="61">
        <f t="shared" si="79"/>
        <v>0.78431372549019607</v>
      </c>
      <c r="I76" s="39">
        <v>37</v>
      </c>
      <c r="J76" s="57">
        <v>53</v>
      </c>
      <c r="K76" s="61">
        <f t="shared" si="80"/>
        <v>0.69811320754716977</v>
      </c>
      <c r="L76" s="65">
        <f t="shared" si="104"/>
        <v>-40</v>
      </c>
      <c r="M76" s="66">
        <f t="shared" ref="M76:N76" si="107">I76+F76+C76</f>
        <v>117</v>
      </c>
      <c r="N76" s="68">
        <f t="shared" si="107"/>
        <v>155</v>
      </c>
      <c r="O76" s="31">
        <v>623</v>
      </c>
      <c r="P76" s="184">
        <v>126</v>
      </c>
      <c r="Q76" s="57">
        <v>166</v>
      </c>
      <c r="R76" s="185">
        <f t="shared" si="83"/>
        <v>0.75903614457831325</v>
      </c>
      <c r="S76" s="186">
        <f t="shared" si="106"/>
        <v>195</v>
      </c>
      <c r="T76" s="31">
        <v>40</v>
      </c>
      <c r="U76" s="83">
        <v>45838</v>
      </c>
      <c r="V76" s="31" t="s">
        <v>80</v>
      </c>
    </row>
    <row r="77" spans="1:23" ht="13.2">
      <c r="A77" s="51" t="s">
        <v>58</v>
      </c>
      <c r="B77" s="152">
        <v>-4</v>
      </c>
      <c r="C77" s="66">
        <v>21</v>
      </c>
      <c r="D77" s="57">
        <v>23</v>
      </c>
      <c r="E77" s="61">
        <f t="shared" si="78"/>
        <v>0.91304347826086951</v>
      </c>
      <c r="F77" s="39">
        <v>16</v>
      </c>
      <c r="G77" s="57">
        <v>23</v>
      </c>
      <c r="H77" s="61">
        <f t="shared" si="79"/>
        <v>0.69565217391304346</v>
      </c>
      <c r="I77" s="39">
        <v>14</v>
      </c>
      <c r="J77" s="57">
        <v>23</v>
      </c>
      <c r="K77" s="61">
        <f t="shared" si="80"/>
        <v>0.60869565217391308</v>
      </c>
      <c r="L77" s="65">
        <f t="shared" si="104"/>
        <v>-4</v>
      </c>
      <c r="M77" s="66">
        <f t="shared" ref="M77:N77" si="108">I77+F77+C77</f>
        <v>51</v>
      </c>
      <c r="N77" s="68">
        <f t="shared" si="108"/>
        <v>69</v>
      </c>
      <c r="O77" s="31">
        <v>275</v>
      </c>
      <c r="P77" s="184">
        <v>69</v>
      </c>
      <c r="Q77" s="57">
        <v>73</v>
      </c>
      <c r="R77" s="185">
        <f t="shared" si="83"/>
        <v>0.9452054794520548</v>
      </c>
      <c r="S77" s="186">
        <f t="shared" si="106"/>
        <v>73</v>
      </c>
      <c r="T77" s="31">
        <v>25</v>
      </c>
      <c r="U77" s="83">
        <v>45838</v>
      </c>
      <c r="V77" s="31" t="s">
        <v>80</v>
      </c>
    </row>
    <row r="78" spans="1:23" ht="13.2">
      <c r="A78" s="89" t="s">
        <v>59</v>
      </c>
      <c r="B78" s="78">
        <f t="shared" ref="B78:D78" si="109">SUM(B75:B77)</f>
        <v>-72</v>
      </c>
      <c r="C78" s="78">
        <f t="shared" si="109"/>
        <v>87</v>
      </c>
      <c r="D78" s="78">
        <f t="shared" si="109"/>
        <v>112</v>
      </c>
      <c r="E78" s="61">
        <f t="shared" si="78"/>
        <v>0.7767857142857143</v>
      </c>
      <c r="F78" s="78">
        <f t="shared" ref="F78:G78" si="110">SUM(F75:F77)</f>
        <v>99</v>
      </c>
      <c r="G78" s="78">
        <f t="shared" si="110"/>
        <v>112</v>
      </c>
      <c r="H78" s="61">
        <f t="shared" si="79"/>
        <v>0.8839285714285714</v>
      </c>
      <c r="I78" s="78">
        <f t="shared" ref="I78:J78" si="111">SUM(I75:I77)</f>
        <v>73</v>
      </c>
      <c r="J78" s="78">
        <f t="shared" si="111"/>
        <v>115</v>
      </c>
      <c r="K78" s="61">
        <f t="shared" si="80"/>
        <v>0.63478260869565217</v>
      </c>
      <c r="L78" s="78">
        <f t="shared" ref="L78:N78" si="112">SUM(L75:L77)</f>
        <v>-72</v>
      </c>
      <c r="M78" s="78">
        <f t="shared" si="112"/>
        <v>259</v>
      </c>
      <c r="N78" s="92">
        <f t="shared" si="112"/>
        <v>339</v>
      </c>
      <c r="P78" s="93">
        <f t="shared" ref="P78:Q78" si="113">SUM(P75:P77)</f>
        <v>291</v>
      </c>
      <c r="Q78" s="78">
        <f t="shared" si="113"/>
        <v>363</v>
      </c>
      <c r="R78" s="185">
        <f t="shared" si="83"/>
        <v>0.80165289256198347</v>
      </c>
      <c r="S78" s="187">
        <f>SUM(S75:S77)</f>
        <v>411</v>
      </c>
      <c r="U78" s="83"/>
    </row>
    <row r="79" spans="1:23" ht="13.2">
      <c r="A79" s="89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104"/>
      <c r="P79" s="37"/>
      <c r="Q79" s="66"/>
      <c r="R79" s="104"/>
      <c r="S79" s="191"/>
    </row>
    <row r="80" spans="1:23" ht="13.2">
      <c r="A80" s="51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104"/>
      <c r="P80" s="37"/>
      <c r="Q80" s="66"/>
      <c r="R80" s="104"/>
      <c r="S80" s="191"/>
    </row>
    <row r="81" spans="1:20" ht="13.2">
      <c r="A81" s="108" t="s">
        <v>14</v>
      </c>
      <c r="B81" s="110">
        <f t="shared" ref="B81:D81" si="114">B78+B74+B69</f>
        <v>-137</v>
      </c>
      <c r="C81" s="110">
        <f t="shared" si="114"/>
        <v>480</v>
      </c>
      <c r="D81" s="110">
        <f t="shared" si="114"/>
        <v>542</v>
      </c>
      <c r="E81" s="112">
        <f>C81/D81</f>
        <v>0.88560885608856088</v>
      </c>
      <c r="F81" s="110">
        <f t="shared" ref="F81:G81" si="115">F78+F74+F69</f>
        <v>478</v>
      </c>
      <c r="G81" s="110">
        <f t="shared" si="115"/>
        <v>542</v>
      </c>
      <c r="H81" s="112">
        <f>F81/G81</f>
        <v>0.88191881918819193</v>
      </c>
      <c r="I81" s="110">
        <f t="shared" ref="I81:J81" si="116">I78+I74+I69</f>
        <v>458</v>
      </c>
      <c r="J81" s="110">
        <f t="shared" si="116"/>
        <v>561</v>
      </c>
      <c r="K81" s="112">
        <f>I81/J81</f>
        <v>0.81639928698752229</v>
      </c>
      <c r="L81" s="110">
        <f t="shared" ref="L81:N81" si="117">L78+L74+L69</f>
        <v>-137</v>
      </c>
      <c r="M81" s="110">
        <f t="shared" si="117"/>
        <v>1416</v>
      </c>
      <c r="N81" s="115">
        <f t="shared" si="117"/>
        <v>1645</v>
      </c>
      <c r="P81" s="194">
        <f t="shared" ref="P81:Q81" si="118">P78+P74+P69</f>
        <v>1626</v>
      </c>
      <c r="Q81" s="97">
        <f t="shared" si="118"/>
        <v>1763</v>
      </c>
      <c r="R81" s="195">
        <f>P81/Q81</f>
        <v>0.92229154849688033</v>
      </c>
      <c r="S81" s="196">
        <f>S78+S74+S69</f>
        <v>1782</v>
      </c>
    </row>
    <row r="84" spans="1:20" ht="13.2">
      <c r="R84" s="197">
        <v>0.95</v>
      </c>
      <c r="S84" s="24" t="s">
        <v>121</v>
      </c>
      <c r="T84" s="24" t="s">
        <v>122</v>
      </c>
    </row>
    <row r="85" spans="1:20" ht="13.2">
      <c r="L85" s="83"/>
      <c r="R85" s="58">
        <f t="shared" ref="R85:R87" si="119">S85*0.95</f>
        <v>2470</v>
      </c>
      <c r="S85" s="58">
        <v>2600</v>
      </c>
      <c r="T85" s="58">
        <v>220</v>
      </c>
    </row>
    <row r="86" spans="1:20" ht="13.2">
      <c r="R86" s="58">
        <f t="shared" si="119"/>
        <v>2510.85</v>
      </c>
      <c r="S86" s="58">
        <v>2643</v>
      </c>
      <c r="T86" s="58">
        <v>220</v>
      </c>
    </row>
    <row r="87" spans="1:20" ht="13.2">
      <c r="R87" s="58">
        <f t="shared" si="119"/>
        <v>1292</v>
      </c>
      <c r="S87" s="58">
        <v>1360</v>
      </c>
      <c r="T87" s="58">
        <v>100</v>
      </c>
    </row>
    <row r="88" spans="1:20" ht="13.2">
      <c r="R88" s="199">
        <f t="shared" ref="R88:T88" si="120">SUM(R85:R87)</f>
        <v>6272.85</v>
      </c>
      <c r="S88" s="199">
        <f t="shared" si="120"/>
        <v>6603</v>
      </c>
      <c r="T88" s="199">
        <f t="shared" si="120"/>
        <v>540</v>
      </c>
    </row>
  </sheetData>
  <mergeCells count="16">
    <mergeCell ref="A25:G25"/>
    <mergeCell ref="A49:T49"/>
    <mergeCell ref="I63:K63"/>
    <mergeCell ref="P63:R63"/>
    <mergeCell ref="C50:F50"/>
    <mergeCell ref="G50:J50"/>
    <mergeCell ref="K50:N50"/>
    <mergeCell ref="Q50:T50"/>
    <mergeCell ref="A62:N62"/>
    <mergeCell ref="B63:D63"/>
    <mergeCell ref="F63:H63"/>
    <mergeCell ref="A3:V3"/>
    <mergeCell ref="C4:F4"/>
    <mergeCell ref="H4:K4"/>
    <mergeCell ref="M4:P4"/>
    <mergeCell ref="S4:V4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3:O5"/>
  <sheetViews>
    <sheetView workbookViewId="0"/>
  </sheetViews>
  <sheetFormatPr defaultColWidth="12.6640625" defaultRowHeight="15.75" customHeight="1"/>
  <sheetData>
    <row r="3" spans="1:15" ht="15.75" customHeight="1">
      <c r="A3" s="31" t="s">
        <v>24</v>
      </c>
      <c r="B3" s="177" t="s">
        <v>104</v>
      </c>
      <c r="C3" s="158">
        <v>114</v>
      </c>
      <c r="D3" s="158">
        <v>129</v>
      </c>
      <c r="E3" s="158">
        <v>155</v>
      </c>
      <c r="F3" s="158">
        <v>127</v>
      </c>
      <c r="G3" s="158">
        <v>81</v>
      </c>
      <c r="H3" s="158">
        <v>315</v>
      </c>
      <c r="I3" s="158">
        <v>170</v>
      </c>
      <c r="J3" s="158">
        <v>159</v>
      </c>
      <c r="K3" s="158">
        <v>128</v>
      </c>
      <c r="L3" s="158">
        <v>134</v>
      </c>
      <c r="M3" s="158">
        <v>78</v>
      </c>
      <c r="N3" s="158">
        <v>315</v>
      </c>
      <c r="O3" s="179">
        <v>1905</v>
      </c>
    </row>
    <row r="4" spans="1:15" ht="15.75" customHeight="1">
      <c r="A4" s="31" t="s">
        <v>51</v>
      </c>
      <c r="B4" s="177" t="s">
        <v>104</v>
      </c>
      <c r="C4" s="158">
        <v>20</v>
      </c>
      <c r="D4" s="158">
        <v>30</v>
      </c>
      <c r="E4" s="158">
        <v>37</v>
      </c>
      <c r="F4" s="158">
        <v>25</v>
      </c>
      <c r="G4" s="158">
        <v>15</v>
      </c>
      <c r="H4" s="158">
        <v>63</v>
      </c>
      <c r="I4" s="158">
        <v>32</v>
      </c>
      <c r="J4" s="158">
        <v>25</v>
      </c>
      <c r="K4" s="158">
        <v>40</v>
      </c>
      <c r="L4" s="158">
        <v>26</v>
      </c>
      <c r="M4" s="158">
        <v>15</v>
      </c>
      <c r="N4" s="158">
        <v>72</v>
      </c>
      <c r="O4" s="181">
        <v>400</v>
      </c>
    </row>
    <row r="5" spans="1:15" ht="15.75" customHeight="1">
      <c r="A5" s="31" t="s">
        <v>55</v>
      </c>
      <c r="B5" s="177" t="s">
        <v>104</v>
      </c>
      <c r="C5" s="158">
        <v>25</v>
      </c>
      <c r="D5" s="158">
        <v>38</v>
      </c>
      <c r="E5" s="158">
        <v>61</v>
      </c>
      <c r="F5" s="158">
        <v>39</v>
      </c>
      <c r="G5" s="158">
        <v>19</v>
      </c>
      <c r="H5" s="158">
        <v>71</v>
      </c>
      <c r="I5" s="158">
        <v>49</v>
      </c>
      <c r="J5" s="158">
        <v>40</v>
      </c>
      <c r="K5" s="158">
        <v>32</v>
      </c>
      <c r="L5" s="158">
        <v>20</v>
      </c>
      <c r="M5" s="158">
        <v>12</v>
      </c>
      <c r="N5" s="158">
        <v>79</v>
      </c>
      <c r="O5" s="181">
        <v>485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AX94"/>
  <sheetViews>
    <sheetView workbookViewId="0"/>
  </sheetViews>
  <sheetFormatPr defaultColWidth="12.6640625" defaultRowHeight="15.75" customHeight="1"/>
  <cols>
    <col min="2" max="2" width="7.109375" customWidth="1"/>
    <col min="3" max="3" width="9" customWidth="1"/>
    <col min="4" max="4" width="8.88671875" customWidth="1"/>
    <col min="5" max="5" width="7.109375" customWidth="1"/>
    <col min="6" max="8" width="8.109375" customWidth="1"/>
    <col min="9" max="9" width="10.33203125" customWidth="1"/>
    <col min="10" max="12" width="8.44140625" customWidth="1"/>
    <col min="13" max="13" width="9.33203125" customWidth="1"/>
    <col min="14" max="14" width="9.77734375" customWidth="1"/>
    <col min="15" max="15" width="9.21875" customWidth="1"/>
    <col min="16" max="16" width="7.109375" customWidth="1"/>
    <col min="17" max="17" width="6.44140625" customWidth="1"/>
    <col min="18" max="18" width="7.109375" customWidth="1"/>
    <col min="19" max="19" width="10.109375" customWidth="1"/>
    <col min="20" max="20" width="9" customWidth="1"/>
    <col min="21" max="21" width="11.33203125" customWidth="1"/>
    <col min="22" max="22" width="5.88671875" customWidth="1"/>
    <col min="23" max="23" width="7.109375" customWidth="1"/>
    <col min="30" max="32" width="8.77734375" customWidth="1"/>
    <col min="33" max="33" width="10.44140625" customWidth="1"/>
    <col min="34" max="48" width="8.77734375" customWidth="1"/>
  </cols>
  <sheetData>
    <row r="1" spans="1:50" ht="13.2">
      <c r="A1" s="31" t="s">
        <v>0</v>
      </c>
      <c r="AA1" s="3"/>
    </row>
    <row r="3" spans="1:50" ht="14.4">
      <c r="A3" s="291" t="s">
        <v>1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8"/>
      <c r="W3" s="7"/>
      <c r="X3" s="8"/>
      <c r="Y3" s="11"/>
      <c r="Z3" s="166"/>
      <c r="AA3" s="15" t="s">
        <v>2</v>
      </c>
      <c r="AB3" s="120" t="s">
        <v>3</v>
      </c>
    </row>
    <row r="4" spans="1:50" ht="14.4">
      <c r="A4" s="19"/>
      <c r="B4" s="130"/>
      <c r="C4" s="277" t="s">
        <v>106</v>
      </c>
      <c r="D4" s="278"/>
      <c r="E4" s="278"/>
      <c r="F4" s="278"/>
      <c r="G4" s="128"/>
      <c r="H4" s="277" t="s">
        <v>107</v>
      </c>
      <c r="I4" s="278"/>
      <c r="J4" s="278"/>
      <c r="K4" s="278"/>
      <c r="L4" s="128"/>
      <c r="M4" s="277" t="s">
        <v>108</v>
      </c>
      <c r="N4" s="278"/>
      <c r="O4" s="278"/>
      <c r="P4" s="278"/>
      <c r="Q4" s="29"/>
      <c r="R4" s="130"/>
      <c r="S4" s="277" t="s">
        <v>14</v>
      </c>
      <c r="T4" s="278"/>
      <c r="U4" s="278"/>
      <c r="V4" s="279"/>
      <c r="W4" s="25"/>
      <c r="X4" s="25"/>
      <c r="Z4" s="167"/>
      <c r="AB4" s="29"/>
    </row>
    <row r="5" spans="1:50" ht="28.8">
      <c r="A5" s="36"/>
      <c r="B5" s="132" t="s">
        <v>13</v>
      </c>
      <c r="C5" s="132" t="s">
        <v>26</v>
      </c>
      <c r="D5" s="132" t="s">
        <v>27</v>
      </c>
      <c r="E5" s="132" t="s">
        <v>28</v>
      </c>
      <c r="F5" s="132" t="s">
        <v>29</v>
      </c>
      <c r="G5" s="132"/>
      <c r="H5" s="132" t="s">
        <v>26</v>
      </c>
      <c r="I5" s="132" t="s">
        <v>27</v>
      </c>
      <c r="J5" s="132" t="s">
        <v>28</v>
      </c>
      <c r="K5" s="132" t="s">
        <v>29</v>
      </c>
      <c r="L5" s="132"/>
      <c r="M5" s="132" t="s">
        <v>26</v>
      </c>
      <c r="N5" s="132" t="s">
        <v>27</v>
      </c>
      <c r="O5" s="132" t="s">
        <v>28</v>
      </c>
      <c r="P5" s="132" t="s">
        <v>29</v>
      </c>
      <c r="Q5" s="132"/>
      <c r="R5" s="132" t="s">
        <v>13</v>
      </c>
      <c r="S5" s="132" t="s">
        <v>26</v>
      </c>
      <c r="T5" s="132" t="s">
        <v>27</v>
      </c>
      <c r="U5" s="132" t="s">
        <v>28</v>
      </c>
      <c r="V5" s="135" t="s">
        <v>29</v>
      </c>
      <c r="W5" s="136" t="s">
        <v>32</v>
      </c>
      <c r="X5" s="48" t="s">
        <v>34</v>
      </c>
      <c r="Y5" s="24" t="s">
        <v>15</v>
      </c>
      <c r="Z5" s="168" t="s">
        <v>35</v>
      </c>
      <c r="AB5" s="29"/>
    </row>
    <row r="6" spans="1:50" ht="14.4">
      <c r="A6" s="51" t="s">
        <v>24</v>
      </c>
      <c r="B6" s="169">
        <f>-'2024 - Q4'!U6</f>
        <v>106</v>
      </c>
      <c r="C6" s="39">
        <v>32</v>
      </c>
      <c r="D6" s="39">
        <v>1</v>
      </c>
      <c r="E6" s="56">
        <f t="shared" ref="E6:E9" si="0">SUM(C6:D6)</f>
        <v>33</v>
      </c>
      <c r="F6" s="57">
        <v>37</v>
      </c>
      <c r="G6" s="61">
        <f t="shared" ref="G6:G19" si="1">E6/F6</f>
        <v>0.89189189189189189</v>
      </c>
      <c r="H6" s="39">
        <v>12</v>
      </c>
      <c r="I6" s="39">
        <v>2</v>
      </c>
      <c r="J6" s="56">
        <f t="shared" ref="J6:J9" si="2">SUM(H6:I6)</f>
        <v>14</v>
      </c>
      <c r="K6" s="57">
        <v>20</v>
      </c>
      <c r="L6" s="61">
        <f t="shared" ref="L6:L19" si="3">J6/K6</f>
        <v>0.7</v>
      </c>
      <c r="M6" s="39">
        <v>102</v>
      </c>
      <c r="N6" s="39">
        <v>7</v>
      </c>
      <c r="O6" s="56">
        <f t="shared" ref="O6:O9" si="4">SUM(M6:N6)</f>
        <v>109</v>
      </c>
      <c r="P6" s="57">
        <v>104</v>
      </c>
      <c r="Q6" s="61">
        <f t="shared" ref="Q6:Q19" si="5">O6/P6</f>
        <v>1.0480769230769231</v>
      </c>
      <c r="R6" s="170">
        <f t="shared" ref="R6:R9" si="6">B6</f>
        <v>106</v>
      </c>
      <c r="S6" s="66">
        <f t="shared" ref="S6:T6" si="7">M6+H6+C6</f>
        <v>146</v>
      </c>
      <c r="T6" s="66">
        <f t="shared" si="7"/>
        <v>10</v>
      </c>
      <c r="U6" s="171">
        <f t="shared" ref="U6:U9" si="8">SUM(R6:T6)</f>
        <v>262</v>
      </c>
      <c r="V6" s="68">
        <f t="shared" ref="V6:V9" si="9">P6+K6+F6</f>
        <v>161</v>
      </c>
      <c r="W6" s="172">
        <f t="shared" ref="W6:W9" si="10">V6-U6</f>
        <v>-101</v>
      </c>
      <c r="X6" s="37">
        <f t="shared" ref="X6:X9" si="11">T6+S6</f>
        <v>156</v>
      </c>
      <c r="Y6" s="66">
        <f t="shared" ref="Y6:Y9" si="12">V6</f>
        <v>161</v>
      </c>
      <c r="Z6" s="173">
        <f t="shared" ref="Z6:Z9" si="13">(S6+T6)/V6</f>
        <v>0.96894409937888204</v>
      </c>
      <c r="AA6" s="83">
        <v>45747</v>
      </c>
      <c r="AB6" s="29" t="s">
        <v>49</v>
      </c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</row>
    <row r="7" spans="1:50" ht="14.4">
      <c r="A7" s="51" t="s">
        <v>36</v>
      </c>
      <c r="B7" s="169">
        <f>-'2024 - Q4'!U7</f>
        <v>-113</v>
      </c>
      <c r="C7" s="39">
        <v>13</v>
      </c>
      <c r="D7" s="39"/>
      <c r="E7" s="56">
        <f t="shared" si="0"/>
        <v>13</v>
      </c>
      <c r="F7" s="57">
        <v>27</v>
      </c>
      <c r="G7" s="61">
        <f t="shared" si="1"/>
        <v>0.48148148148148145</v>
      </c>
      <c r="H7" s="39">
        <v>5</v>
      </c>
      <c r="I7" s="39"/>
      <c r="J7" s="56">
        <f t="shared" si="2"/>
        <v>5</v>
      </c>
      <c r="K7" s="57">
        <v>16</v>
      </c>
      <c r="L7" s="61">
        <f t="shared" si="3"/>
        <v>0.3125</v>
      </c>
      <c r="M7" s="39">
        <v>72</v>
      </c>
      <c r="N7" s="39">
        <v>2</v>
      </c>
      <c r="O7" s="56">
        <f t="shared" si="4"/>
        <v>74</v>
      </c>
      <c r="P7" s="57">
        <v>83</v>
      </c>
      <c r="Q7" s="61">
        <f t="shared" si="5"/>
        <v>0.89156626506024095</v>
      </c>
      <c r="R7" s="170">
        <f t="shared" si="6"/>
        <v>-113</v>
      </c>
      <c r="S7" s="66">
        <f t="shared" ref="S7:T7" si="14">M7+H7+C7</f>
        <v>90</v>
      </c>
      <c r="T7" s="66">
        <f t="shared" si="14"/>
        <v>2</v>
      </c>
      <c r="U7" s="171">
        <f t="shared" si="8"/>
        <v>-21</v>
      </c>
      <c r="V7" s="68">
        <f t="shared" si="9"/>
        <v>126</v>
      </c>
      <c r="W7" s="172">
        <f t="shared" si="10"/>
        <v>147</v>
      </c>
      <c r="X7" s="37">
        <f t="shared" si="11"/>
        <v>92</v>
      </c>
      <c r="Y7" s="66">
        <f t="shared" si="12"/>
        <v>126</v>
      </c>
      <c r="Z7" s="173">
        <f t="shared" si="13"/>
        <v>0.73015873015873012</v>
      </c>
      <c r="AA7" s="83">
        <v>45747</v>
      </c>
      <c r="AB7" s="29" t="s">
        <v>49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</row>
    <row r="8" spans="1:50" ht="14.4">
      <c r="A8" s="51" t="s">
        <v>40</v>
      </c>
      <c r="B8" s="169">
        <f>-'2024 - Q4'!U8</f>
        <v>15</v>
      </c>
      <c r="C8" s="39">
        <v>21</v>
      </c>
      <c r="D8" s="66"/>
      <c r="E8" s="56">
        <f t="shared" si="0"/>
        <v>21</v>
      </c>
      <c r="F8" s="57">
        <v>24</v>
      </c>
      <c r="G8" s="61">
        <f t="shared" si="1"/>
        <v>0.875</v>
      </c>
      <c r="H8" s="39">
        <v>5</v>
      </c>
      <c r="I8" s="39"/>
      <c r="J8" s="56">
        <f t="shared" si="2"/>
        <v>5</v>
      </c>
      <c r="K8" s="57">
        <v>14</v>
      </c>
      <c r="L8" s="61">
        <f t="shared" si="3"/>
        <v>0.35714285714285715</v>
      </c>
      <c r="M8" s="39">
        <v>70</v>
      </c>
      <c r="N8" s="39"/>
      <c r="O8" s="56">
        <f t="shared" si="4"/>
        <v>70</v>
      </c>
      <c r="P8" s="57">
        <v>71</v>
      </c>
      <c r="Q8" s="61">
        <f t="shared" si="5"/>
        <v>0.9859154929577465</v>
      </c>
      <c r="R8" s="170">
        <f t="shared" si="6"/>
        <v>15</v>
      </c>
      <c r="S8" s="66">
        <f t="shared" ref="S8:T8" si="15">M8+H8+C8</f>
        <v>96</v>
      </c>
      <c r="T8" s="66">
        <f t="shared" si="15"/>
        <v>0</v>
      </c>
      <c r="U8" s="171">
        <f t="shared" si="8"/>
        <v>111</v>
      </c>
      <c r="V8" s="68">
        <f t="shared" si="9"/>
        <v>109</v>
      </c>
      <c r="W8" s="172">
        <f t="shared" si="10"/>
        <v>-2</v>
      </c>
      <c r="X8" s="37">
        <f t="shared" si="11"/>
        <v>96</v>
      </c>
      <c r="Y8" s="66">
        <f t="shared" si="12"/>
        <v>109</v>
      </c>
      <c r="Z8" s="173">
        <f t="shared" si="13"/>
        <v>0.88073394495412849</v>
      </c>
      <c r="AA8" s="83">
        <v>45747</v>
      </c>
      <c r="AB8" s="29" t="s">
        <v>49</v>
      </c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</row>
    <row r="9" spans="1:50" ht="14.4">
      <c r="A9" s="51" t="s">
        <v>41</v>
      </c>
      <c r="B9" s="169">
        <f>-'2024 - Q4'!U9</f>
        <v>34</v>
      </c>
      <c r="C9" s="70">
        <v>14</v>
      </c>
      <c r="D9" s="86">
        <v>2</v>
      </c>
      <c r="E9" s="56">
        <f t="shared" si="0"/>
        <v>16</v>
      </c>
      <c r="F9" s="57">
        <v>31</v>
      </c>
      <c r="G9" s="61">
        <f t="shared" si="1"/>
        <v>0.5161290322580645</v>
      </c>
      <c r="H9" s="39">
        <v>7</v>
      </c>
      <c r="I9" s="39"/>
      <c r="J9" s="56">
        <f t="shared" si="2"/>
        <v>7</v>
      </c>
      <c r="K9" s="57">
        <v>17</v>
      </c>
      <c r="L9" s="61">
        <f t="shared" si="3"/>
        <v>0.41176470588235292</v>
      </c>
      <c r="M9" s="39">
        <v>74</v>
      </c>
      <c r="N9" s="39"/>
      <c r="O9" s="56">
        <f t="shared" si="4"/>
        <v>74</v>
      </c>
      <c r="P9" s="57">
        <v>89</v>
      </c>
      <c r="Q9" s="61">
        <f t="shared" si="5"/>
        <v>0.8314606741573034</v>
      </c>
      <c r="R9" s="170">
        <f t="shared" si="6"/>
        <v>34</v>
      </c>
      <c r="S9" s="66">
        <f t="shared" ref="S9:T9" si="16">M9+H9+C9</f>
        <v>95</v>
      </c>
      <c r="T9" s="66">
        <f t="shared" si="16"/>
        <v>2</v>
      </c>
      <c r="U9" s="171">
        <f t="shared" si="8"/>
        <v>131</v>
      </c>
      <c r="V9" s="68">
        <f t="shared" si="9"/>
        <v>137</v>
      </c>
      <c r="W9" s="172">
        <f t="shared" si="10"/>
        <v>6</v>
      </c>
      <c r="X9" s="37">
        <f t="shared" si="11"/>
        <v>97</v>
      </c>
      <c r="Y9" s="66">
        <f t="shared" si="12"/>
        <v>137</v>
      </c>
      <c r="Z9" s="173">
        <f t="shared" si="13"/>
        <v>0.70802919708029199</v>
      </c>
      <c r="AA9" s="83">
        <v>45747</v>
      </c>
      <c r="AB9" s="29" t="s">
        <v>49</v>
      </c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</row>
    <row r="10" spans="1:50" ht="14.4">
      <c r="A10" s="89" t="s">
        <v>44</v>
      </c>
      <c r="B10" s="81">
        <f t="shared" ref="B10:F10" si="17">SUM(B6:B9)</f>
        <v>42</v>
      </c>
      <c r="C10" s="78">
        <f t="shared" si="17"/>
        <v>80</v>
      </c>
      <c r="D10" s="78">
        <f t="shared" si="17"/>
        <v>3</v>
      </c>
      <c r="E10" s="78">
        <f t="shared" si="17"/>
        <v>83</v>
      </c>
      <c r="F10" s="78">
        <f t="shared" si="17"/>
        <v>119</v>
      </c>
      <c r="G10" s="90">
        <f t="shared" si="1"/>
        <v>0.69747899159663862</v>
      </c>
      <c r="H10" s="78">
        <f t="shared" ref="H10:K10" si="18">SUM(H6:H9)</f>
        <v>29</v>
      </c>
      <c r="I10" s="78">
        <f t="shared" si="18"/>
        <v>2</v>
      </c>
      <c r="J10" s="78">
        <f t="shared" si="18"/>
        <v>31</v>
      </c>
      <c r="K10" s="78">
        <f t="shared" si="18"/>
        <v>67</v>
      </c>
      <c r="L10" s="90">
        <f t="shared" si="3"/>
        <v>0.46268656716417911</v>
      </c>
      <c r="M10" s="78">
        <f t="shared" ref="M10:P10" si="19">SUM(M6:M9)</f>
        <v>318</v>
      </c>
      <c r="N10" s="78">
        <f t="shared" si="19"/>
        <v>9</v>
      </c>
      <c r="O10" s="78">
        <f t="shared" si="19"/>
        <v>327</v>
      </c>
      <c r="P10" s="78">
        <f t="shared" si="19"/>
        <v>347</v>
      </c>
      <c r="Q10" s="90">
        <f t="shared" si="5"/>
        <v>0.94236311239193082</v>
      </c>
      <c r="R10" s="81">
        <f t="shared" ref="R10:Y10" si="20">SUM(R6:R9)</f>
        <v>42</v>
      </c>
      <c r="S10" s="78">
        <f t="shared" si="20"/>
        <v>427</v>
      </c>
      <c r="T10" s="78">
        <f t="shared" si="20"/>
        <v>14</v>
      </c>
      <c r="U10" s="81">
        <f t="shared" si="20"/>
        <v>483</v>
      </c>
      <c r="V10" s="92">
        <f t="shared" si="20"/>
        <v>533</v>
      </c>
      <c r="W10" s="174">
        <f t="shared" si="20"/>
        <v>50</v>
      </c>
      <c r="X10" s="93">
        <f t="shared" si="20"/>
        <v>441</v>
      </c>
      <c r="Y10" s="78">
        <f t="shared" si="20"/>
        <v>533</v>
      </c>
      <c r="Z10" s="175">
        <f>X10/Y10</f>
        <v>0.82739212007504692</v>
      </c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</row>
    <row r="11" spans="1:50" ht="14.4">
      <c r="A11" s="51" t="s">
        <v>46</v>
      </c>
      <c r="B11" s="169">
        <f>-'2024 - Q4'!U11</f>
        <v>31</v>
      </c>
      <c r="C11" s="66">
        <v>12</v>
      </c>
      <c r="D11" s="66"/>
      <c r="E11" s="56">
        <f t="shared" ref="E11:E14" si="21">SUM(C11:D11)</f>
        <v>12</v>
      </c>
      <c r="F11" s="57">
        <v>27</v>
      </c>
      <c r="G11" s="61">
        <f t="shared" si="1"/>
        <v>0.44444444444444442</v>
      </c>
      <c r="H11" s="39">
        <v>4</v>
      </c>
      <c r="I11" s="39"/>
      <c r="J11" s="56">
        <f t="shared" ref="J11:J14" si="22">SUM(H11:I11)</f>
        <v>4</v>
      </c>
      <c r="K11" s="57">
        <v>17</v>
      </c>
      <c r="L11" s="61">
        <f t="shared" si="3"/>
        <v>0.23529411764705882</v>
      </c>
      <c r="M11" s="39">
        <v>82</v>
      </c>
      <c r="N11" s="39">
        <v>6</v>
      </c>
      <c r="O11" s="56">
        <f t="shared" ref="O11:O14" si="23">SUM(M11:N11)</f>
        <v>88</v>
      </c>
      <c r="P11" s="57">
        <v>85</v>
      </c>
      <c r="Q11" s="61">
        <f t="shared" si="5"/>
        <v>1.0352941176470589</v>
      </c>
      <c r="R11" s="170">
        <f t="shared" ref="R11:R14" si="24">B11</f>
        <v>31</v>
      </c>
      <c r="S11" s="66">
        <f t="shared" ref="S11:T11" si="25">M11+H11+C11</f>
        <v>98</v>
      </c>
      <c r="T11" s="66">
        <f t="shared" si="25"/>
        <v>6</v>
      </c>
      <c r="U11" s="171">
        <f t="shared" ref="U11:U14" si="26">SUM(R11:T11)</f>
        <v>135</v>
      </c>
      <c r="V11" s="68">
        <f t="shared" ref="V11:V14" si="27">P11+K11+F11</f>
        <v>129</v>
      </c>
      <c r="W11" s="172">
        <f t="shared" ref="W11:W14" si="28">V11-U11</f>
        <v>-6</v>
      </c>
      <c r="X11" s="37">
        <f t="shared" ref="X11:X14" si="29">T11+S11</f>
        <v>104</v>
      </c>
      <c r="Y11" s="66">
        <f t="shared" ref="Y11:Y14" si="30">V11</f>
        <v>129</v>
      </c>
      <c r="Z11" s="173">
        <f t="shared" ref="Z11:Z14" si="31">(S11+T11)/V11</f>
        <v>0.80620155038759689</v>
      </c>
      <c r="AA11" s="121">
        <v>45747</v>
      </c>
      <c r="AB11" s="29" t="s">
        <v>56</v>
      </c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</row>
    <row r="12" spans="1:50" ht="14.4">
      <c r="A12" s="51" t="s">
        <v>51</v>
      </c>
      <c r="B12" s="169">
        <f>-'2024 - Q4'!U12</f>
        <v>38</v>
      </c>
      <c r="C12" s="66">
        <v>18</v>
      </c>
      <c r="D12" s="66">
        <v>1</v>
      </c>
      <c r="E12" s="56">
        <f t="shared" si="21"/>
        <v>19</v>
      </c>
      <c r="F12" s="57">
        <v>30</v>
      </c>
      <c r="G12" s="61">
        <f t="shared" si="1"/>
        <v>0.6333333333333333</v>
      </c>
      <c r="H12" s="39">
        <v>11</v>
      </c>
      <c r="I12" s="39"/>
      <c r="J12" s="56">
        <f t="shared" si="22"/>
        <v>11</v>
      </c>
      <c r="K12" s="57">
        <v>17</v>
      </c>
      <c r="L12" s="61">
        <f t="shared" si="3"/>
        <v>0.6470588235294118</v>
      </c>
      <c r="M12" s="39">
        <v>72</v>
      </c>
      <c r="N12" s="39">
        <v>5</v>
      </c>
      <c r="O12" s="56">
        <f t="shared" si="23"/>
        <v>77</v>
      </c>
      <c r="P12" s="57">
        <v>83</v>
      </c>
      <c r="Q12" s="61">
        <f t="shared" si="5"/>
        <v>0.92771084337349397</v>
      </c>
      <c r="R12" s="170">
        <f t="shared" si="24"/>
        <v>38</v>
      </c>
      <c r="S12" s="66">
        <f t="shared" ref="S12:T12" si="32">M12+H12+C12</f>
        <v>101</v>
      </c>
      <c r="T12" s="66">
        <f t="shared" si="32"/>
        <v>6</v>
      </c>
      <c r="U12" s="171">
        <f t="shared" si="26"/>
        <v>145</v>
      </c>
      <c r="V12" s="68">
        <f t="shared" si="27"/>
        <v>130</v>
      </c>
      <c r="W12" s="172">
        <f t="shared" si="28"/>
        <v>-15</v>
      </c>
      <c r="X12" s="37">
        <f t="shared" si="29"/>
        <v>107</v>
      </c>
      <c r="Y12" s="66">
        <f t="shared" si="30"/>
        <v>130</v>
      </c>
      <c r="Z12" s="173">
        <f t="shared" si="31"/>
        <v>0.82307692307692304</v>
      </c>
      <c r="AA12" s="121">
        <v>45747</v>
      </c>
      <c r="AB12" s="29" t="s">
        <v>56</v>
      </c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</row>
    <row r="13" spans="1:50" ht="14.4">
      <c r="A13" s="51" t="s">
        <v>52</v>
      </c>
      <c r="B13" s="169">
        <f>-'2024 - Q4'!U13</f>
        <v>57</v>
      </c>
      <c r="C13" s="66">
        <v>20</v>
      </c>
      <c r="D13" s="66">
        <v>2</v>
      </c>
      <c r="E13" s="56">
        <f t="shared" si="21"/>
        <v>22</v>
      </c>
      <c r="F13" s="57">
        <v>26</v>
      </c>
      <c r="G13" s="61">
        <f t="shared" si="1"/>
        <v>0.84615384615384615</v>
      </c>
      <c r="H13" s="39">
        <v>12</v>
      </c>
      <c r="I13" s="39"/>
      <c r="J13" s="56">
        <f t="shared" si="22"/>
        <v>12</v>
      </c>
      <c r="K13" s="57">
        <v>13</v>
      </c>
      <c r="L13" s="61">
        <f t="shared" si="3"/>
        <v>0.92307692307692313</v>
      </c>
      <c r="M13" s="39">
        <v>47</v>
      </c>
      <c r="N13" s="39">
        <v>1</v>
      </c>
      <c r="O13" s="56">
        <f t="shared" si="23"/>
        <v>48</v>
      </c>
      <c r="P13" s="57">
        <v>74</v>
      </c>
      <c r="Q13" s="61">
        <f t="shared" si="5"/>
        <v>0.64864864864864868</v>
      </c>
      <c r="R13" s="170">
        <f t="shared" si="24"/>
        <v>57</v>
      </c>
      <c r="S13" s="66">
        <f t="shared" ref="S13:T13" si="33">M13+H13+C13</f>
        <v>79</v>
      </c>
      <c r="T13" s="66">
        <f t="shared" si="33"/>
        <v>3</v>
      </c>
      <c r="U13" s="171">
        <f t="shared" si="26"/>
        <v>139</v>
      </c>
      <c r="V13" s="68">
        <f t="shared" si="27"/>
        <v>113</v>
      </c>
      <c r="W13" s="172">
        <f t="shared" si="28"/>
        <v>-26</v>
      </c>
      <c r="X13" s="37">
        <f t="shared" si="29"/>
        <v>82</v>
      </c>
      <c r="Y13" s="66">
        <f t="shared" si="30"/>
        <v>113</v>
      </c>
      <c r="Z13" s="173">
        <f t="shared" si="31"/>
        <v>0.72566371681415931</v>
      </c>
      <c r="AA13" s="121">
        <v>45747</v>
      </c>
      <c r="AB13" s="29" t="s">
        <v>56</v>
      </c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</row>
    <row r="14" spans="1:50" ht="14.4">
      <c r="A14" s="51" t="s">
        <v>53</v>
      </c>
      <c r="B14" s="169">
        <f>-'2024 - Q4'!U14</f>
        <v>35</v>
      </c>
      <c r="C14" s="66">
        <v>36</v>
      </c>
      <c r="D14" s="66">
        <v>1</v>
      </c>
      <c r="E14" s="56">
        <f t="shared" si="21"/>
        <v>37</v>
      </c>
      <c r="F14" s="57">
        <v>40</v>
      </c>
      <c r="G14" s="61">
        <f t="shared" si="1"/>
        <v>0.92500000000000004</v>
      </c>
      <c r="H14" s="39">
        <v>7</v>
      </c>
      <c r="I14" s="39">
        <v>1</v>
      </c>
      <c r="J14" s="56">
        <f t="shared" si="22"/>
        <v>8</v>
      </c>
      <c r="K14" s="57">
        <v>24</v>
      </c>
      <c r="L14" s="61">
        <f t="shared" si="3"/>
        <v>0.33333333333333331</v>
      </c>
      <c r="M14" s="39">
        <v>111</v>
      </c>
      <c r="N14" s="39">
        <v>5</v>
      </c>
      <c r="O14" s="56">
        <f t="shared" si="23"/>
        <v>116</v>
      </c>
      <c r="P14" s="57">
        <v>119</v>
      </c>
      <c r="Q14" s="61">
        <f t="shared" si="5"/>
        <v>0.97478991596638653</v>
      </c>
      <c r="R14" s="170">
        <f t="shared" si="24"/>
        <v>35</v>
      </c>
      <c r="S14" s="66">
        <f t="shared" ref="S14:T14" si="34">M14+H14+C14</f>
        <v>154</v>
      </c>
      <c r="T14" s="66">
        <f t="shared" si="34"/>
        <v>7</v>
      </c>
      <c r="U14" s="171">
        <f t="shared" si="26"/>
        <v>196</v>
      </c>
      <c r="V14" s="68">
        <f t="shared" si="27"/>
        <v>183</v>
      </c>
      <c r="W14" s="172">
        <f t="shared" si="28"/>
        <v>-13</v>
      </c>
      <c r="X14" s="37">
        <f t="shared" si="29"/>
        <v>161</v>
      </c>
      <c r="Y14" s="66">
        <f t="shared" si="30"/>
        <v>183</v>
      </c>
      <c r="Z14" s="173">
        <f t="shared" si="31"/>
        <v>0.8797814207650273</v>
      </c>
      <c r="AA14" s="121">
        <v>45748</v>
      </c>
      <c r="AB14" s="29" t="s">
        <v>56</v>
      </c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</row>
    <row r="15" spans="1:50" ht="14.4">
      <c r="A15" s="89" t="s">
        <v>54</v>
      </c>
      <c r="B15" s="81">
        <f t="shared" ref="B15:F15" si="35">SUM(B11:B14)</f>
        <v>161</v>
      </c>
      <c r="C15" s="78">
        <f t="shared" si="35"/>
        <v>86</v>
      </c>
      <c r="D15" s="78">
        <f t="shared" si="35"/>
        <v>4</v>
      </c>
      <c r="E15" s="78">
        <f t="shared" si="35"/>
        <v>90</v>
      </c>
      <c r="F15" s="78">
        <f t="shared" si="35"/>
        <v>123</v>
      </c>
      <c r="G15" s="90">
        <f t="shared" si="1"/>
        <v>0.73170731707317072</v>
      </c>
      <c r="H15" s="78">
        <f t="shared" ref="H15:K15" si="36">SUM(H11:H14)</f>
        <v>34</v>
      </c>
      <c r="I15" s="78">
        <f t="shared" si="36"/>
        <v>1</v>
      </c>
      <c r="J15" s="78">
        <f t="shared" si="36"/>
        <v>35</v>
      </c>
      <c r="K15" s="78">
        <f t="shared" si="36"/>
        <v>71</v>
      </c>
      <c r="L15" s="90">
        <f t="shared" si="3"/>
        <v>0.49295774647887325</v>
      </c>
      <c r="M15" s="78">
        <f t="shared" ref="M15:P15" si="37">SUM(M11:M14)</f>
        <v>312</v>
      </c>
      <c r="N15" s="78">
        <f t="shared" si="37"/>
        <v>17</v>
      </c>
      <c r="O15" s="78">
        <f t="shared" si="37"/>
        <v>329</v>
      </c>
      <c r="P15" s="78">
        <f t="shared" si="37"/>
        <v>361</v>
      </c>
      <c r="Q15" s="90">
        <f t="shared" si="5"/>
        <v>0.91135734072022156</v>
      </c>
      <c r="R15" s="81">
        <f t="shared" ref="R15:Y15" si="38">SUM(R11:R14)</f>
        <v>161</v>
      </c>
      <c r="S15" s="78">
        <f t="shared" si="38"/>
        <v>432</v>
      </c>
      <c r="T15" s="78">
        <f t="shared" si="38"/>
        <v>22</v>
      </c>
      <c r="U15" s="81">
        <f t="shared" si="38"/>
        <v>615</v>
      </c>
      <c r="V15" s="92">
        <f t="shared" si="38"/>
        <v>555</v>
      </c>
      <c r="W15" s="174">
        <f t="shared" si="38"/>
        <v>-60</v>
      </c>
      <c r="X15" s="93">
        <f t="shared" si="38"/>
        <v>454</v>
      </c>
      <c r="Y15" s="78">
        <f t="shared" si="38"/>
        <v>555</v>
      </c>
      <c r="Z15" s="175">
        <f>X15/Y15</f>
        <v>0.81801801801801799</v>
      </c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</row>
    <row r="16" spans="1:50" ht="14.4">
      <c r="A16" s="51" t="s">
        <v>55</v>
      </c>
      <c r="B16" s="169">
        <f>-'2024 - Q4'!U16</f>
        <v>23</v>
      </c>
      <c r="C16" s="66">
        <v>6</v>
      </c>
      <c r="D16" s="66">
        <v>10</v>
      </c>
      <c r="E16" s="56">
        <f t="shared" ref="E16:E18" si="39">SUM(C16:D16)</f>
        <v>16</v>
      </c>
      <c r="F16" s="57">
        <v>28</v>
      </c>
      <c r="G16" s="61">
        <f t="shared" si="1"/>
        <v>0.5714285714285714</v>
      </c>
      <c r="H16" s="39">
        <v>5</v>
      </c>
      <c r="I16" s="39">
        <v>9</v>
      </c>
      <c r="J16" s="56">
        <f t="shared" ref="J16:J18" si="40">SUM(H16:I16)</f>
        <v>14</v>
      </c>
      <c r="K16" s="57">
        <v>15</v>
      </c>
      <c r="L16" s="61">
        <f t="shared" si="3"/>
        <v>0.93333333333333335</v>
      </c>
      <c r="M16" s="39">
        <v>65</v>
      </c>
      <c r="N16" s="39">
        <v>23</v>
      </c>
      <c r="O16" s="56">
        <f t="shared" ref="O16:O18" si="41">SUM(M16:N16)</f>
        <v>88</v>
      </c>
      <c r="P16" s="57">
        <v>82</v>
      </c>
      <c r="Q16" s="61">
        <f t="shared" si="5"/>
        <v>1.0731707317073171</v>
      </c>
      <c r="R16" s="170">
        <f t="shared" ref="R16:R18" si="42">B16</f>
        <v>23</v>
      </c>
      <c r="S16" s="66">
        <f t="shared" ref="S16:T16" si="43">M16+H16+C16</f>
        <v>76</v>
      </c>
      <c r="T16" s="66">
        <f t="shared" si="43"/>
        <v>42</v>
      </c>
      <c r="U16" s="171">
        <f t="shared" ref="U16:U18" si="44">SUM(R16:T16)</f>
        <v>141</v>
      </c>
      <c r="V16" s="68">
        <f t="shared" ref="V16:V18" si="45">P16+K16+F16</f>
        <v>125</v>
      </c>
      <c r="W16" s="172">
        <f t="shared" ref="W16:W18" si="46">V16-U16</f>
        <v>-16</v>
      </c>
      <c r="X16" s="37">
        <f t="shared" ref="X16:X18" si="47">T16+S16</f>
        <v>118</v>
      </c>
      <c r="Y16" s="66">
        <f t="shared" ref="Y16:Y18" si="48">V16</f>
        <v>125</v>
      </c>
      <c r="Z16" s="173">
        <f t="shared" ref="Z16:Z18" si="49">(S16+T16)/V16</f>
        <v>0.94399999999999995</v>
      </c>
      <c r="AA16" s="83">
        <v>45747</v>
      </c>
      <c r="AB16" s="29" t="s">
        <v>80</v>
      </c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</row>
    <row r="17" spans="1:50" ht="14.4">
      <c r="A17" s="51" t="s">
        <v>57</v>
      </c>
      <c r="B17" s="169">
        <f>-'2024 - Q4'!U17</f>
        <v>8</v>
      </c>
      <c r="C17" s="66">
        <v>13</v>
      </c>
      <c r="D17" s="66"/>
      <c r="E17" s="56">
        <f t="shared" si="39"/>
        <v>13</v>
      </c>
      <c r="F17" s="57">
        <v>27</v>
      </c>
      <c r="G17" s="61">
        <f t="shared" si="1"/>
        <v>0.48148148148148145</v>
      </c>
      <c r="H17" s="39">
        <v>9</v>
      </c>
      <c r="I17" s="39">
        <v>6</v>
      </c>
      <c r="J17" s="56">
        <f t="shared" si="40"/>
        <v>15</v>
      </c>
      <c r="K17" s="57">
        <v>14</v>
      </c>
      <c r="L17" s="61">
        <f t="shared" si="3"/>
        <v>1.0714285714285714</v>
      </c>
      <c r="M17" s="39">
        <v>75</v>
      </c>
      <c r="N17" s="39">
        <v>1</v>
      </c>
      <c r="O17" s="56">
        <f t="shared" si="41"/>
        <v>76</v>
      </c>
      <c r="P17" s="57">
        <v>73</v>
      </c>
      <c r="Q17" s="61">
        <f t="shared" si="5"/>
        <v>1.0410958904109588</v>
      </c>
      <c r="R17" s="170">
        <f t="shared" si="42"/>
        <v>8</v>
      </c>
      <c r="S17" s="66">
        <f t="shared" ref="S17:T17" si="50">M17+H17+C17</f>
        <v>97</v>
      </c>
      <c r="T17" s="66">
        <f t="shared" si="50"/>
        <v>7</v>
      </c>
      <c r="U17" s="171">
        <f t="shared" si="44"/>
        <v>112</v>
      </c>
      <c r="V17" s="68">
        <f t="shared" si="45"/>
        <v>114</v>
      </c>
      <c r="W17" s="172">
        <f t="shared" si="46"/>
        <v>2</v>
      </c>
      <c r="X17" s="37">
        <f t="shared" si="47"/>
        <v>104</v>
      </c>
      <c r="Y17" s="66">
        <f t="shared" si="48"/>
        <v>114</v>
      </c>
      <c r="Z17" s="173">
        <f t="shared" si="49"/>
        <v>0.91228070175438591</v>
      </c>
      <c r="AA17" s="83">
        <v>45747</v>
      </c>
      <c r="AB17" s="29" t="s">
        <v>80</v>
      </c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</row>
    <row r="18" spans="1:50" ht="14.4">
      <c r="A18" s="51" t="s">
        <v>58</v>
      </c>
      <c r="B18" s="169">
        <f>-'2024 - Q4'!U18</f>
        <v>16</v>
      </c>
      <c r="C18" s="66">
        <v>5</v>
      </c>
      <c r="D18" s="66"/>
      <c r="E18" s="56">
        <f t="shared" si="39"/>
        <v>5</v>
      </c>
      <c r="F18" s="57">
        <v>10</v>
      </c>
      <c r="G18" s="61">
        <f t="shared" si="1"/>
        <v>0.5</v>
      </c>
      <c r="H18" s="39">
        <v>6</v>
      </c>
      <c r="I18" s="39">
        <v>5</v>
      </c>
      <c r="J18" s="56">
        <f t="shared" si="40"/>
        <v>11</v>
      </c>
      <c r="K18" s="57">
        <v>4</v>
      </c>
      <c r="L18" s="61">
        <f t="shared" si="3"/>
        <v>2.75</v>
      </c>
      <c r="M18" s="39">
        <v>26</v>
      </c>
      <c r="N18" s="39">
        <v>2</v>
      </c>
      <c r="O18" s="56">
        <f t="shared" si="41"/>
        <v>28</v>
      </c>
      <c r="P18" s="57">
        <v>31</v>
      </c>
      <c r="Q18" s="61">
        <f t="shared" si="5"/>
        <v>0.90322580645161288</v>
      </c>
      <c r="R18" s="170">
        <f t="shared" si="42"/>
        <v>16</v>
      </c>
      <c r="S18" s="66">
        <f t="shared" ref="S18:T18" si="51">M18+H18+C18</f>
        <v>37</v>
      </c>
      <c r="T18" s="66">
        <f t="shared" si="51"/>
        <v>7</v>
      </c>
      <c r="U18" s="171">
        <f t="shared" si="44"/>
        <v>60</v>
      </c>
      <c r="V18" s="68">
        <f t="shared" si="45"/>
        <v>45</v>
      </c>
      <c r="W18" s="172">
        <f t="shared" si="46"/>
        <v>-15</v>
      </c>
      <c r="X18" s="37">
        <f t="shared" si="47"/>
        <v>44</v>
      </c>
      <c r="Y18" s="66">
        <f t="shared" si="48"/>
        <v>45</v>
      </c>
      <c r="Z18" s="173">
        <f t="shared" si="49"/>
        <v>0.97777777777777775</v>
      </c>
      <c r="AA18" s="83">
        <v>45747</v>
      </c>
      <c r="AB18" s="29" t="s">
        <v>80</v>
      </c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</row>
    <row r="19" spans="1:50" ht="14.4">
      <c r="A19" s="89" t="s">
        <v>59</v>
      </c>
      <c r="B19" s="81">
        <f t="shared" ref="B19:F19" si="52">SUM(B16:B18)</f>
        <v>47</v>
      </c>
      <c r="C19" s="78">
        <f t="shared" si="52"/>
        <v>24</v>
      </c>
      <c r="D19" s="78">
        <f t="shared" si="52"/>
        <v>10</v>
      </c>
      <c r="E19" s="78">
        <f t="shared" si="52"/>
        <v>34</v>
      </c>
      <c r="F19" s="78">
        <f t="shared" si="52"/>
        <v>65</v>
      </c>
      <c r="G19" s="90">
        <f t="shared" si="1"/>
        <v>0.52307692307692311</v>
      </c>
      <c r="H19" s="78">
        <f t="shared" ref="H19:K19" si="53">SUM(H16:H18)</f>
        <v>20</v>
      </c>
      <c r="I19" s="78">
        <f t="shared" si="53"/>
        <v>20</v>
      </c>
      <c r="J19" s="78">
        <f t="shared" si="53"/>
        <v>40</v>
      </c>
      <c r="K19" s="78">
        <f t="shared" si="53"/>
        <v>33</v>
      </c>
      <c r="L19" s="90">
        <f t="shared" si="3"/>
        <v>1.2121212121212122</v>
      </c>
      <c r="M19" s="78">
        <f t="shared" ref="M19:P19" si="54">SUM(M16:M18)</f>
        <v>166</v>
      </c>
      <c r="N19" s="78">
        <f t="shared" si="54"/>
        <v>26</v>
      </c>
      <c r="O19" s="78">
        <f t="shared" si="54"/>
        <v>192</v>
      </c>
      <c r="P19" s="78">
        <f t="shared" si="54"/>
        <v>186</v>
      </c>
      <c r="Q19" s="90">
        <f t="shared" si="5"/>
        <v>1.032258064516129</v>
      </c>
      <c r="R19" s="81">
        <f t="shared" ref="R19:Y19" si="55">SUM(R16:R18)</f>
        <v>47</v>
      </c>
      <c r="S19" s="78">
        <f t="shared" si="55"/>
        <v>210</v>
      </c>
      <c r="T19" s="78">
        <f t="shared" si="55"/>
        <v>56</v>
      </c>
      <c r="U19" s="81">
        <f t="shared" si="55"/>
        <v>313</v>
      </c>
      <c r="V19" s="92">
        <f t="shared" si="55"/>
        <v>284</v>
      </c>
      <c r="W19" s="174">
        <f t="shared" si="55"/>
        <v>-29</v>
      </c>
      <c r="X19" s="93">
        <f t="shared" si="55"/>
        <v>266</v>
      </c>
      <c r="Y19" s="78">
        <f t="shared" si="55"/>
        <v>284</v>
      </c>
      <c r="Z19" s="175">
        <f>X19/Y19</f>
        <v>0.93661971830985913</v>
      </c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</row>
    <row r="20" spans="1:50" ht="14.4">
      <c r="A20" s="89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104"/>
      <c r="W20" s="37"/>
      <c r="X20" s="105"/>
      <c r="Y20" s="106"/>
      <c r="Z20" s="176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</row>
    <row r="21" spans="1:50" ht="14.4">
      <c r="A21" s="51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104"/>
      <c r="W21" s="37"/>
      <c r="X21" s="105"/>
      <c r="Y21" s="106"/>
      <c r="Z21" s="176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</row>
    <row r="22" spans="1:50" ht="14.4">
      <c r="A22" s="108" t="s">
        <v>14</v>
      </c>
      <c r="B22" s="110">
        <f t="shared" ref="B22:F22" si="56">B19+B15+B10</f>
        <v>250</v>
      </c>
      <c r="C22" s="110">
        <f t="shared" si="56"/>
        <v>190</v>
      </c>
      <c r="D22" s="110">
        <f t="shared" si="56"/>
        <v>17</v>
      </c>
      <c r="E22" s="110">
        <f t="shared" si="56"/>
        <v>207</v>
      </c>
      <c r="F22" s="110">
        <f t="shared" si="56"/>
        <v>307</v>
      </c>
      <c r="G22" s="112">
        <f>E22/F22</f>
        <v>0.67426710097719866</v>
      </c>
      <c r="H22" s="110">
        <f t="shared" ref="H22:K22" si="57">H19+H15+H10</f>
        <v>83</v>
      </c>
      <c r="I22" s="110">
        <f t="shared" si="57"/>
        <v>23</v>
      </c>
      <c r="J22" s="110">
        <f t="shared" si="57"/>
        <v>106</v>
      </c>
      <c r="K22" s="110">
        <f t="shared" si="57"/>
        <v>171</v>
      </c>
      <c r="L22" s="112">
        <f>J22/K22</f>
        <v>0.61988304093567248</v>
      </c>
      <c r="M22" s="110">
        <f t="shared" ref="M22:P22" si="58">M19+M15+M10</f>
        <v>796</v>
      </c>
      <c r="N22" s="110">
        <f t="shared" si="58"/>
        <v>52</v>
      </c>
      <c r="O22" s="110">
        <f t="shared" si="58"/>
        <v>848</v>
      </c>
      <c r="P22" s="110">
        <f t="shared" si="58"/>
        <v>894</v>
      </c>
      <c r="Q22" s="112">
        <f>O22/P22</f>
        <v>0.94854586129753915</v>
      </c>
      <c r="R22" s="110">
        <f t="shared" ref="R22:Y22" si="59">R19+R15+R10</f>
        <v>250</v>
      </c>
      <c r="S22" s="110">
        <f t="shared" si="59"/>
        <v>1069</v>
      </c>
      <c r="T22" s="110">
        <f t="shared" si="59"/>
        <v>92</v>
      </c>
      <c r="U22" s="110">
        <f t="shared" si="59"/>
        <v>1411</v>
      </c>
      <c r="V22" s="115">
        <f t="shared" si="59"/>
        <v>1372</v>
      </c>
      <c r="W22" s="116">
        <f t="shared" si="59"/>
        <v>-39</v>
      </c>
      <c r="X22" s="116">
        <f t="shared" si="59"/>
        <v>1161</v>
      </c>
      <c r="Y22" s="110">
        <f t="shared" si="59"/>
        <v>1372</v>
      </c>
      <c r="Z22" s="178">
        <f>(S22+T22)/V22</f>
        <v>0.84620991253644318</v>
      </c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</row>
    <row r="23" spans="1:50" ht="14.4">
      <c r="Y23" s="58">
        <f>X22-Y22</f>
        <v>-211</v>
      </c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</row>
    <row r="24" spans="1:50" ht="1.5" customHeight="1"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</row>
    <row r="25" spans="1:50" ht="3" customHeight="1"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</row>
    <row r="26" spans="1:50" ht="14.4">
      <c r="A26" s="297" t="s">
        <v>124</v>
      </c>
      <c r="B26" s="271"/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2"/>
      <c r="P26" s="130"/>
      <c r="Q26" s="130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</row>
    <row r="27" spans="1:50" ht="14.4">
      <c r="A27" s="32"/>
      <c r="B27" s="130"/>
      <c r="C27" s="290"/>
      <c r="D27" s="285"/>
      <c r="E27" s="285"/>
      <c r="F27" s="285"/>
      <c r="G27" s="130"/>
      <c r="H27" s="290"/>
      <c r="I27" s="285"/>
      <c r="J27" s="285"/>
      <c r="K27" s="285"/>
      <c r="L27" s="130"/>
      <c r="M27" s="130"/>
      <c r="N27" s="130"/>
      <c r="O27" s="150"/>
      <c r="P27" s="130"/>
      <c r="Q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</row>
    <row r="28" spans="1:50" ht="28.8">
      <c r="A28" s="35"/>
      <c r="B28" s="132" t="s">
        <v>28</v>
      </c>
      <c r="C28" s="132" t="s">
        <v>29</v>
      </c>
      <c r="D28" s="132" t="s">
        <v>86</v>
      </c>
      <c r="E28" s="132"/>
      <c r="F28" s="132" t="s">
        <v>125</v>
      </c>
      <c r="G28" s="132" t="s">
        <v>126</v>
      </c>
      <c r="H28" s="132"/>
      <c r="I28" s="132"/>
      <c r="J28" s="132" t="s">
        <v>127</v>
      </c>
      <c r="K28" s="132" t="s">
        <v>128</v>
      </c>
      <c r="L28" s="132"/>
      <c r="M28" s="132"/>
      <c r="N28" s="132" t="s">
        <v>129</v>
      </c>
      <c r="O28" s="135"/>
      <c r="P28" s="132"/>
      <c r="R28" s="132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</row>
    <row r="29" spans="1:50" ht="14.4">
      <c r="A29" s="37" t="s">
        <v>24</v>
      </c>
      <c r="B29" s="56">
        <f t="shared" ref="B29:B32" si="60">S6+T6</f>
        <v>156</v>
      </c>
      <c r="C29" s="57">
        <f t="shared" ref="C29:C32" si="61">V6</f>
        <v>161</v>
      </c>
      <c r="D29" s="156">
        <f t="shared" ref="D29:D32" si="62">C29-B29</f>
        <v>5</v>
      </c>
      <c r="E29" s="61"/>
      <c r="F29" s="57">
        <f>ROUNDUP($C29*1.05,0)</f>
        <v>170</v>
      </c>
      <c r="G29" s="57">
        <f t="shared" ref="G29:G31" si="63">ROUNDUP($C29*1.1,0)</f>
        <v>178</v>
      </c>
      <c r="H29" s="132"/>
      <c r="I29" s="61"/>
      <c r="J29" s="156">
        <f t="shared" ref="J29:J32" si="64">B29-F29</f>
        <v>-14</v>
      </c>
      <c r="K29" s="156">
        <f t="shared" ref="K29:K32" si="65">B29-G29</f>
        <v>-22</v>
      </c>
      <c r="L29" s="132"/>
      <c r="M29" s="61"/>
      <c r="N29" s="204">
        <f t="shared" ref="N29:N32" si="66">B29/B$33*O$33</f>
        <v>0</v>
      </c>
      <c r="O29" s="185"/>
      <c r="P29" s="61"/>
      <c r="Q29" s="61"/>
      <c r="Y29" s="31">
        <v>0</v>
      </c>
      <c r="Z29" s="31">
        <v>0</v>
      </c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</row>
    <row r="30" spans="1:50" ht="14.4">
      <c r="A30" s="37" t="s">
        <v>36</v>
      </c>
      <c r="B30" s="56">
        <f t="shared" si="60"/>
        <v>92</v>
      </c>
      <c r="C30" s="57">
        <f t="shared" si="61"/>
        <v>126</v>
      </c>
      <c r="D30" s="156">
        <f t="shared" si="62"/>
        <v>34</v>
      </c>
      <c r="E30" s="61"/>
      <c r="F30" s="57">
        <f t="shared" ref="F30:F31" si="67">ROUNDUP(C30*1.05,0)</f>
        <v>133</v>
      </c>
      <c r="G30" s="57">
        <f t="shared" si="63"/>
        <v>139</v>
      </c>
      <c r="H30" s="132"/>
      <c r="I30" s="61"/>
      <c r="J30" s="156">
        <f t="shared" si="64"/>
        <v>-41</v>
      </c>
      <c r="K30" s="156">
        <f t="shared" si="65"/>
        <v>-47</v>
      </c>
      <c r="L30" s="132"/>
      <c r="M30" s="61"/>
      <c r="N30" s="204">
        <f t="shared" si="66"/>
        <v>0</v>
      </c>
      <c r="O30" s="185"/>
      <c r="P30" s="61"/>
      <c r="Q30" s="61"/>
      <c r="Y30" s="58">
        <f>F33</f>
        <v>560</v>
      </c>
      <c r="Z30" s="31">
        <v>400</v>
      </c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</row>
    <row r="31" spans="1:50" ht="14.4">
      <c r="A31" s="37" t="s">
        <v>40</v>
      </c>
      <c r="B31" s="56">
        <f t="shared" si="60"/>
        <v>96</v>
      </c>
      <c r="C31" s="57">
        <f t="shared" si="61"/>
        <v>109</v>
      </c>
      <c r="D31" s="156">
        <f t="shared" si="62"/>
        <v>13</v>
      </c>
      <c r="E31" s="61"/>
      <c r="F31" s="57">
        <f t="shared" si="67"/>
        <v>115</v>
      </c>
      <c r="G31" s="57">
        <f t="shared" si="63"/>
        <v>120</v>
      </c>
      <c r="H31" s="132"/>
      <c r="I31" s="61"/>
      <c r="J31" s="156">
        <f t="shared" si="64"/>
        <v>-19</v>
      </c>
      <c r="K31" s="156">
        <f t="shared" si="65"/>
        <v>-24</v>
      </c>
      <c r="L31" s="132"/>
      <c r="M31" s="61"/>
      <c r="N31" s="204">
        <f t="shared" si="66"/>
        <v>0</v>
      </c>
      <c r="O31" s="185"/>
      <c r="P31" s="61"/>
      <c r="Q31" s="61"/>
      <c r="Y31" s="58">
        <f>G33</f>
        <v>587</v>
      </c>
      <c r="Z31" s="31">
        <v>500</v>
      </c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</row>
    <row r="32" spans="1:50" ht="14.4">
      <c r="A32" s="37" t="s">
        <v>41</v>
      </c>
      <c r="B32" s="56">
        <f t="shared" si="60"/>
        <v>97</v>
      </c>
      <c r="C32" s="57">
        <f t="shared" si="61"/>
        <v>137</v>
      </c>
      <c r="D32" s="156">
        <f t="shared" si="62"/>
        <v>40</v>
      </c>
      <c r="E32" s="61"/>
      <c r="F32" s="192">
        <f>F33-F31-F30-F29</f>
        <v>142</v>
      </c>
      <c r="G32" s="192">
        <f>G33-G29-G30-G31</f>
        <v>150</v>
      </c>
      <c r="H32" s="132"/>
      <c r="I32" s="61"/>
      <c r="J32" s="207">
        <f t="shared" si="64"/>
        <v>-45</v>
      </c>
      <c r="K32" s="207">
        <f t="shared" si="65"/>
        <v>-53</v>
      </c>
      <c r="L32" s="132"/>
      <c r="M32" s="61"/>
      <c r="N32" s="204">
        <f t="shared" si="66"/>
        <v>0</v>
      </c>
      <c r="O32" s="185"/>
      <c r="P32" s="61"/>
      <c r="Q32" s="61"/>
      <c r="X32" s="121">
        <f ca="1">TODAY()</f>
        <v>46308</v>
      </c>
      <c r="Y32" s="31">
        <f>H33</f>
        <v>0</v>
      </c>
      <c r="Z32" s="31">
        <v>600</v>
      </c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</row>
    <row r="33" spans="1:50" ht="14.4">
      <c r="A33" s="76" t="s">
        <v>44</v>
      </c>
      <c r="B33" s="81">
        <f t="shared" ref="B33:D33" si="68">SUM(B29:B32)</f>
        <v>441</v>
      </c>
      <c r="C33" s="81">
        <f t="shared" si="68"/>
        <v>533</v>
      </c>
      <c r="D33" s="81">
        <f t="shared" si="68"/>
        <v>92</v>
      </c>
      <c r="E33" s="90"/>
      <c r="F33" s="81">
        <f>ROUNDUP($C33*1.05,0)</f>
        <v>560</v>
      </c>
      <c r="G33" s="81">
        <f>ROUNDUP($C33*1.1,0)</f>
        <v>587</v>
      </c>
      <c r="H33" s="132"/>
      <c r="I33" s="90"/>
      <c r="J33" s="81">
        <f t="shared" ref="J33:K33" si="69">SUM(J29:J32)</f>
        <v>-119</v>
      </c>
      <c r="K33" s="81">
        <f t="shared" si="69"/>
        <v>-146</v>
      </c>
      <c r="L33" s="132"/>
      <c r="M33" s="90"/>
      <c r="N33" s="81">
        <f>SUM(N29:N32)</f>
        <v>0</v>
      </c>
      <c r="O33" s="208">
        <f>LOOKUP(B33,Y29:Z32)*(B33-C33)</f>
        <v>0</v>
      </c>
      <c r="P33" s="90"/>
      <c r="Q33" s="90"/>
      <c r="X33" s="3">
        <v>45747</v>
      </c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</row>
    <row r="34" spans="1:50" ht="14.4">
      <c r="A34" s="37"/>
      <c r="B34" s="61"/>
      <c r="C34" s="61"/>
      <c r="D34" s="61"/>
      <c r="E34" s="209" t="s">
        <v>130</v>
      </c>
      <c r="F34" s="210">
        <f>400*(F33-C33)</f>
        <v>10800</v>
      </c>
      <c r="G34" s="210">
        <f>500*(G33-C33)</f>
        <v>27000</v>
      </c>
      <c r="H34" s="132"/>
      <c r="I34" s="209" t="s">
        <v>33</v>
      </c>
      <c r="J34" s="204">
        <f t="shared" ref="J34:K34" ca="1" si="70">-J33/$X$35</f>
        <v>-1.4875</v>
      </c>
      <c r="K34" s="204">
        <f t="shared" ca="1" si="70"/>
        <v>-1.825</v>
      </c>
      <c r="L34" s="132"/>
      <c r="M34" s="61"/>
      <c r="N34" s="61"/>
      <c r="O34" s="185"/>
      <c r="P34" s="61"/>
      <c r="Q34" s="61"/>
      <c r="X34" s="31">
        <f ca="1">X33-X32</f>
        <v>-561</v>
      </c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</row>
    <row r="35" spans="1:50" ht="14.4">
      <c r="A35" s="37" t="s">
        <v>46</v>
      </c>
      <c r="B35" s="56">
        <f t="shared" ref="B35:B38" si="71">S11+T11</f>
        <v>104</v>
      </c>
      <c r="C35" s="57">
        <f t="shared" ref="C35:C38" si="72">V11</f>
        <v>129</v>
      </c>
      <c r="D35" s="156">
        <f t="shared" ref="D35:D38" si="73">C35-B35</f>
        <v>25</v>
      </c>
      <c r="E35" s="61"/>
      <c r="F35" s="57">
        <f t="shared" ref="F35:F37" si="74">ROUNDUP(C35*1.05,0)</f>
        <v>136</v>
      </c>
      <c r="G35" s="57">
        <f t="shared" ref="G35:G37" si="75">ROUNDUP($C35*1.1,0)</f>
        <v>142</v>
      </c>
      <c r="H35" s="132"/>
      <c r="I35" s="61"/>
      <c r="J35" s="156">
        <f t="shared" ref="J35:J38" si="76">B35-F35</f>
        <v>-32</v>
      </c>
      <c r="K35" s="156">
        <f t="shared" ref="K35:K38" si="77">B35-G35</f>
        <v>-38</v>
      </c>
      <c r="L35" s="132"/>
      <c r="M35" s="61"/>
      <c r="N35" s="204">
        <f t="shared" ref="N35:N38" si="78">B35/B$39*O$39</f>
        <v>0</v>
      </c>
      <c r="O35" s="185"/>
      <c r="P35" s="61"/>
      <c r="Q35" s="61"/>
      <c r="X35" s="31">
        <f ca="1">ROUND(X34/7,0)</f>
        <v>-80</v>
      </c>
      <c r="Y35" s="31">
        <v>0</v>
      </c>
      <c r="Z35" s="31">
        <v>0</v>
      </c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</row>
    <row r="36" spans="1:50" ht="14.4">
      <c r="A36" s="37" t="s">
        <v>51</v>
      </c>
      <c r="B36" s="56">
        <f t="shared" si="71"/>
        <v>107</v>
      </c>
      <c r="C36" s="57">
        <f t="shared" si="72"/>
        <v>130</v>
      </c>
      <c r="D36" s="156">
        <f t="shared" si="73"/>
        <v>23</v>
      </c>
      <c r="E36" s="61"/>
      <c r="F36" s="57">
        <f t="shared" si="74"/>
        <v>137</v>
      </c>
      <c r="G36" s="57">
        <f t="shared" si="75"/>
        <v>143</v>
      </c>
      <c r="H36" s="132"/>
      <c r="I36" s="61"/>
      <c r="J36" s="156">
        <f t="shared" si="76"/>
        <v>-30</v>
      </c>
      <c r="K36" s="156">
        <f t="shared" si="77"/>
        <v>-36</v>
      </c>
      <c r="L36" s="132"/>
      <c r="M36" s="61"/>
      <c r="N36" s="204">
        <f t="shared" si="78"/>
        <v>0</v>
      </c>
      <c r="O36" s="185"/>
      <c r="P36" s="61"/>
      <c r="Q36" s="61"/>
      <c r="Y36" s="58">
        <f>F39</f>
        <v>583</v>
      </c>
      <c r="Z36" s="31">
        <v>400</v>
      </c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</row>
    <row r="37" spans="1:50" ht="14.4">
      <c r="A37" s="37" t="s">
        <v>52</v>
      </c>
      <c r="B37" s="56">
        <f t="shared" si="71"/>
        <v>82</v>
      </c>
      <c r="C37" s="57">
        <f t="shared" si="72"/>
        <v>113</v>
      </c>
      <c r="D37" s="156">
        <f t="shared" si="73"/>
        <v>31</v>
      </c>
      <c r="E37" s="61"/>
      <c r="F37" s="57">
        <f t="shared" si="74"/>
        <v>119</v>
      </c>
      <c r="G37" s="57">
        <f t="shared" si="75"/>
        <v>125</v>
      </c>
      <c r="H37" s="132"/>
      <c r="I37" s="61"/>
      <c r="J37" s="156">
        <f t="shared" si="76"/>
        <v>-37</v>
      </c>
      <c r="K37" s="156">
        <f t="shared" si="77"/>
        <v>-43</v>
      </c>
      <c r="L37" s="132"/>
      <c r="M37" s="61"/>
      <c r="N37" s="204">
        <f t="shared" si="78"/>
        <v>0</v>
      </c>
      <c r="O37" s="185"/>
      <c r="P37" s="61"/>
      <c r="Q37" s="61"/>
      <c r="Y37" s="58">
        <f>G39</f>
        <v>611</v>
      </c>
      <c r="Z37" s="31">
        <v>500</v>
      </c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</row>
    <row r="38" spans="1:50" ht="14.4">
      <c r="A38" s="37" t="s">
        <v>53</v>
      </c>
      <c r="B38" s="56">
        <f t="shared" si="71"/>
        <v>161</v>
      </c>
      <c r="C38" s="57">
        <f t="shared" si="72"/>
        <v>183</v>
      </c>
      <c r="D38" s="156">
        <f t="shared" si="73"/>
        <v>22</v>
      </c>
      <c r="E38" s="61"/>
      <c r="F38" s="192">
        <f>F39-F37-F36-F35</f>
        <v>191</v>
      </c>
      <c r="G38" s="192">
        <f>G39-G35-G36-G37</f>
        <v>201</v>
      </c>
      <c r="H38" s="132"/>
      <c r="I38" s="61"/>
      <c r="J38" s="207">
        <f t="shared" si="76"/>
        <v>-30</v>
      </c>
      <c r="K38" s="207">
        <f t="shared" si="77"/>
        <v>-40</v>
      </c>
      <c r="L38" s="132"/>
      <c r="M38" s="61"/>
      <c r="N38" s="204">
        <f t="shared" si="78"/>
        <v>0</v>
      </c>
      <c r="O38" s="185"/>
      <c r="P38" s="61"/>
      <c r="Q38" s="61"/>
      <c r="Y38" s="31">
        <f>H39</f>
        <v>0</v>
      </c>
      <c r="Z38" s="31">
        <v>600</v>
      </c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</row>
    <row r="39" spans="1:50" ht="14.4">
      <c r="A39" s="76" t="s">
        <v>54</v>
      </c>
      <c r="B39" s="81">
        <f t="shared" ref="B39:D39" si="79">SUM(B35:B38)</f>
        <v>454</v>
      </c>
      <c r="C39" s="81">
        <f t="shared" si="79"/>
        <v>555</v>
      </c>
      <c r="D39" s="81">
        <f t="shared" si="79"/>
        <v>101</v>
      </c>
      <c r="E39" s="90"/>
      <c r="F39" s="81">
        <f>ROUNDUP(C39*1.05,0)</f>
        <v>583</v>
      </c>
      <c r="G39" s="81">
        <f>ROUNDUP($C39*1.1,0)</f>
        <v>611</v>
      </c>
      <c r="H39" s="132"/>
      <c r="I39" s="90"/>
      <c r="J39" s="81">
        <f t="shared" ref="J39:K39" si="80">SUM(J35:J38)</f>
        <v>-129</v>
      </c>
      <c r="K39" s="81">
        <f t="shared" si="80"/>
        <v>-157</v>
      </c>
      <c r="L39" s="132"/>
      <c r="M39" s="90"/>
      <c r="N39" s="81">
        <f>SUM(N35:N38)</f>
        <v>0</v>
      </c>
      <c r="O39" s="208">
        <f>LOOKUP(B39,Y35:Z38)*(B39-C39)</f>
        <v>0</v>
      </c>
      <c r="P39" s="90"/>
      <c r="Q39" s="90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</row>
    <row r="40" spans="1:50" ht="14.4">
      <c r="A40" s="37"/>
      <c r="B40" s="61"/>
      <c r="C40" s="61"/>
      <c r="D40" s="61"/>
      <c r="E40" s="209" t="s">
        <v>130</v>
      </c>
      <c r="F40" s="210">
        <f>400*(F39-$C39)</f>
        <v>11200</v>
      </c>
      <c r="G40" s="210">
        <f>500*(G39-$C39)</f>
        <v>28000</v>
      </c>
      <c r="H40" s="132"/>
      <c r="I40" s="209" t="s">
        <v>33</v>
      </c>
      <c r="J40" s="204">
        <f t="shared" ref="J40:K40" ca="1" si="81">-J39/$X$35</f>
        <v>-1.6125</v>
      </c>
      <c r="K40" s="204">
        <f t="shared" ca="1" si="81"/>
        <v>-1.9624999999999999</v>
      </c>
      <c r="L40" s="132"/>
      <c r="M40" s="61"/>
      <c r="N40" s="61"/>
      <c r="O40" s="185"/>
      <c r="P40" s="61"/>
      <c r="Q40" s="61"/>
      <c r="Y40" s="31">
        <v>0</v>
      </c>
      <c r="Z40" s="31">
        <v>0</v>
      </c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</row>
    <row r="41" spans="1:50" ht="14.4">
      <c r="A41" s="37" t="s">
        <v>55</v>
      </c>
      <c r="B41" s="56">
        <f t="shared" ref="B41:B43" si="82">S16+T16</f>
        <v>118</v>
      </c>
      <c r="C41" s="57">
        <f t="shared" ref="C41:C43" si="83">V16</f>
        <v>125</v>
      </c>
      <c r="D41" s="156">
        <f t="shared" ref="D41:D43" si="84">C41-B41</f>
        <v>7</v>
      </c>
      <c r="E41" s="61"/>
      <c r="F41" s="192">
        <f>F44-F42-F43</f>
        <v>131</v>
      </c>
      <c r="G41" s="57">
        <f t="shared" ref="G41:G42" si="85">ROUNDUP($C41*1.1,0)</f>
        <v>138</v>
      </c>
      <c r="H41" s="132"/>
      <c r="I41" s="61"/>
      <c r="J41" s="207">
        <f t="shared" ref="J41:J43" si="86">B41-F41</f>
        <v>-13</v>
      </c>
      <c r="K41" s="156">
        <f t="shared" ref="K41:K43" si="87">B41-G41</f>
        <v>-20</v>
      </c>
      <c r="L41" s="132"/>
      <c r="M41" s="61"/>
      <c r="N41" s="204">
        <f t="shared" ref="N41:N43" si="88">B41/B$44*O$44</f>
        <v>0</v>
      </c>
      <c r="O41" s="185"/>
      <c r="P41" s="61"/>
      <c r="Q41" s="61"/>
      <c r="Y41" s="58">
        <f>F44</f>
        <v>299</v>
      </c>
      <c r="Z41" s="31">
        <v>400</v>
      </c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</row>
    <row r="42" spans="1:50" ht="14.4">
      <c r="A42" s="37" t="s">
        <v>57</v>
      </c>
      <c r="B42" s="56">
        <f t="shared" si="82"/>
        <v>104</v>
      </c>
      <c r="C42" s="57">
        <f t="shared" si="83"/>
        <v>114</v>
      </c>
      <c r="D42" s="156">
        <f t="shared" si="84"/>
        <v>10</v>
      </c>
      <c r="E42" s="61"/>
      <c r="F42" s="57">
        <f t="shared" ref="F42:F44" si="89">ROUNDUP(C42*1.05,0)</f>
        <v>120</v>
      </c>
      <c r="G42" s="57">
        <f t="shared" si="85"/>
        <v>126</v>
      </c>
      <c r="H42" s="132"/>
      <c r="I42" s="61"/>
      <c r="J42" s="156">
        <f t="shared" si="86"/>
        <v>-16</v>
      </c>
      <c r="K42" s="156">
        <f t="shared" si="87"/>
        <v>-22</v>
      </c>
      <c r="L42" s="132"/>
      <c r="M42" s="61"/>
      <c r="N42" s="204">
        <f t="shared" si="88"/>
        <v>0</v>
      </c>
      <c r="O42" s="185"/>
      <c r="P42" s="61"/>
      <c r="Q42" s="61"/>
      <c r="Y42" s="58">
        <f>G44</f>
        <v>313</v>
      </c>
      <c r="Z42" s="31">
        <v>500</v>
      </c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</row>
    <row r="43" spans="1:50" ht="14.4">
      <c r="A43" s="37" t="s">
        <v>58</v>
      </c>
      <c r="B43" s="56">
        <f t="shared" si="82"/>
        <v>44</v>
      </c>
      <c r="C43" s="57">
        <f t="shared" si="83"/>
        <v>45</v>
      </c>
      <c r="D43" s="156">
        <f t="shared" si="84"/>
        <v>1</v>
      </c>
      <c r="E43" s="61"/>
      <c r="F43" s="57">
        <f t="shared" si="89"/>
        <v>48</v>
      </c>
      <c r="G43" s="192">
        <f>G44-G41-G42</f>
        <v>49</v>
      </c>
      <c r="H43" s="132"/>
      <c r="I43" s="61"/>
      <c r="J43" s="156">
        <f t="shared" si="86"/>
        <v>-4</v>
      </c>
      <c r="K43" s="207">
        <f t="shared" si="87"/>
        <v>-5</v>
      </c>
      <c r="L43" s="132"/>
      <c r="M43" s="61"/>
      <c r="N43" s="204">
        <f t="shared" si="88"/>
        <v>0</v>
      </c>
      <c r="O43" s="185"/>
      <c r="P43" s="61"/>
      <c r="Q43" s="61"/>
      <c r="Y43" s="31">
        <f>H44</f>
        <v>0</v>
      </c>
      <c r="Z43" s="31">
        <v>600</v>
      </c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</row>
    <row r="44" spans="1:50" ht="14.4">
      <c r="A44" s="76" t="s">
        <v>59</v>
      </c>
      <c r="B44" s="81">
        <f t="shared" ref="B44:D44" si="90">SUM(B41:B43)</f>
        <v>266</v>
      </c>
      <c r="C44" s="81">
        <f t="shared" si="90"/>
        <v>284</v>
      </c>
      <c r="D44" s="81">
        <f t="shared" si="90"/>
        <v>18</v>
      </c>
      <c r="E44" s="90"/>
      <c r="F44" s="81">
        <f t="shared" si="89"/>
        <v>299</v>
      </c>
      <c r="G44" s="81">
        <f>ROUNDUP($C44*1.1,0)</f>
        <v>313</v>
      </c>
      <c r="H44" s="132"/>
      <c r="I44" s="90"/>
      <c r="J44" s="81">
        <f t="shared" ref="J44:K44" si="91">SUM(J41:J43)</f>
        <v>-33</v>
      </c>
      <c r="K44" s="81">
        <f t="shared" si="91"/>
        <v>-47</v>
      </c>
      <c r="L44" s="132"/>
      <c r="M44" s="90"/>
      <c r="N44" s="81">
        <f>SUM(N41:N43)</f>
        <v>0</v>
      </c>
      <c r="O44" s="208">
        <f>LOOKUP(B44,Y40:Z43)*(B44-C44)</f>
        <v>0</v>
      </c>
      <c r="P44" s="90"/>
      <c r="Q44" s="90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</row>
    <row r="45" spans="1:50" ht="14.4">
      <c r="A45" s="76"/>
      <c r="B45" s="66"/>
      <c r="C45" s="66"/>
      <c r="D45" s="66"/>
      <c r="E45" s="209" t="s">
        <v>130</v>
      </c>
      <c r="F45" s="210">
        <f>400*(F44-$C44)</f>
        <v>6000</v>
      </c>
      <c r="G45" s="210">
        <f>500*(G44-$C44)</f>
        <v>14500</v>
      </c>
      <c r="H45" s="132"/>
      <c r="I45" s="209" t="s">
        <v>33</v>
      </c>
      <c r="J45" s="204">
        <f t="shared" ref="J45:K45" ca="1" si="92">-J44/$X$35</f>
        <v>-0.41249999999999998</v>
      </c>
      <c r="K45" s="204">
        <f t="shared" ca="1" si="92"/>
        <v>-0.58750000000000002</v>
      </c>
      <c r="L45" s="132"/>
      <c r="M45" s="66"/>
      <c r="N45" s="66"/>
      <c r="O45" s="104"/>
      <c r="P45" s="66"/>
      <c r="Q45" s="66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</row>
    <row r="46" spans="1:50" ht="14.4">
      <c r="A46" s="76"/>
      <c r="B46" s="90"/>
      <c r="C46" s="90"/>
      <c r="D46" s="90"/>
      <c r="E46" s="90"/>
      <c r="F46" s="90"/>
      <c r="G46" s="90"/>
      <c r="H46" s="132"/>
      <c r="I46" s="90"/>
      <c r="J46" s="90"/>
      <c r="K46" s="90"/>
      <c r="L46" s="132"/>
      <c r="M46" s="90"/>
      <c r="N46" s="90"/>
      <c r="O46" s="211"/>
      <c r="P46" s="90"/>
      <c r="Q46" s="90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</row>
    <row r="47" spans="1:50" ht="14.4">
      <c r="A47" s="76" t="s">
        <v>14</v>
      </c>
      <c r="B47" s="81">
        <f t="shared" ref="B47:D47" si="93">B44+B39+B33</f>
        <v>1161</v>
      </c>
      <c r="C47" s="81">
        <f t="shared" si="93"/>
        <v>1372</v>
      </c>
      <c r="D47" s="81">
        <f t="shared" si="93"/>
        <v>211</v>
      </c>
      <c r="E47" s="90"/>
      <c r="F47" s="81">
        <f>ROUNDUP(C47*1.05,0)</f>
        <v>1441</v>
      </c>
      <c r="G47" s="81">
        <f>ROUNDUP($C47*1.1,0)</f>
        <v>1510</v>
      </c>
      <c r="H47" s="132"/>
      <c r="I47" s="90"/>
      <c r="J47" s="81">
        <f t="shared" ref="J47:K47" si="94">J44+J39+J33</f>
        <v>-281</v>
      </c>
      <c r="K47" s="81">
        <f t="shared" si="94"/>
        <v>-350</v>
      </c>
      <c r="L47" s="132"/>
      <c r="M47" s="90"/>
      <c r="N47" s="81">
        <f>N44+N39+N33</f>
        <v>0</v>
      </c>
      <c r="O47" s="211"/>
      <c r="P47" s="90"/>
      <c r="Q47" s="90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</row>
    <row r="48" spans="1:50" ht="14.4">
      <c r="A48" s="212"/>
      <c r="B48" s="213"/>
      <c r="C48" s="213"/>
      <c r="D48" s="213"/>
      <c r="E48" s="214" t="s">
        <v>130</v>
      </c>
      <c r="F48" s="215">
        <f>400*(F47-$C47)</f>
        <v>27600</v>
      </c>
      <c r="G48" s="215">
        <f>500*(G47-$C47)</f>
        <v>69000</v>
      </c>
      <c r="H48" s="215"/>
      <c r="I48" s="214" t="s">
        <v>33</v>
      </c>
      <c r="J48" s="216">
        <f t="shared" ref="J48:K48" ca="1" si="95">-J47/$X$35</f>
        <v>-3.5125000000000002</v>
      </c>
      <c r="K48" s="216">
        <f t="shared" ca="1" si="95"/>
        <v>-4.375</v>
      </c>
      <c r="L48" s="216"/>
      <c r="M48" s="213"/>
      <c r="N48" s="213"/>
      <c r="O48" s="217"/>
      <c r="P48" s="66"/>
      <c r="Q48" s="66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</row>
    <row r="49" spans="1:50" ht="14.4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</row>
    <row r="50" spans="1:50" ht="14.4"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</row>
    <row r="51" spans="1:50" ht="14.4">
      <c r="A51" s="293" t="s">
        <v>131</v>
      </c>
      <c r="B51" s="271"/>
      <c r="C51" s="271"/>
      <c r="D51" s="271"/>
      <c r="E51" s="271"/>
      <c r="F51" s="271"/>
      <c r="G51" s="272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</row>
    <row r="52" spans="1:50" ht="14.4">
      <c r="A52" s="25"/>
      <c r="G52" s="33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</row>
    <row r="53" spans="1:50" ht="28.8">
      <c r="A53" s="35"/>
      <c r="B53" s="132" t="s">
        <v>28</v>
      </c>
      <c r="C53" s="132" t="s">
        <v>29</v>
      </c>
      <c r="D53" s="132" t="s">
        <v>86</v>
      </c>
      <c r="F53" s="132" t="s">
        <v>87</v>
      </c>
      <c r="G53" s="33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</row>
    <row r="54" spans="1:50" ht="14.4">
      <c r="A54" s="37" t="s">
        <v>24</v>
      </c>
      <c r="B54" s="56">
        <v>2</v>
      </c>
      <c r="C54" s="57">
        <v>2</v>
      </c>
      <c r="D54" s="156">
        <f t="shared" ref="D54:D57" si="96">C54-B54</f>
        <v>0</v>
      </c>
      <c r="F54" s="156">
        <v>0</v>
      </c>
      <c r="G54" s="33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</row>
    <row r="55" spans="1:50" ht="14.4">
      <c r="A55" s="37" t="s">
        <v>36</v>
      </c>
      <c r="B55" s="56">
        <v>1</v>
      </c>
      <c r="C55" s="57">
        <v>2</v>
      </c>
      <c r="D55" s="156">
        <f t="shared" si="96"/>
        <v>1</v>
      </c>
      <c r="F55" s="156">
        <v>0</v>
      </c>
      <c r="G55" s="33"/>
      <c r="I55" s="31">
        <v>2</v>
      </c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</row>
    <row r="56" spans="1:50" ht="13.2">
      <c r="A56" s="37" t="s">
        <v>40</v>
      </c>
      <c r="B56" s="56">
        <v>1</v>
      </c>
      <c r="C56" s="57">
        <v>2</v>
      </c>
      <c r="D56" s="156">
        <f t="shared" si="96"/>
        <v>1</v>
      </c>
      <c r="F56" s="156">
        <v>0</v>
      </c>
      <c r="G56" s="33"/>
    </row>
    <row r="57" spans="1:50" ht="13.2">
      <c r="A57" s="37" t="s">
        <v>41</v>
      </c>
      <c r="B57" s="56">
        <v>1</v>
      </c>
      <c r="C57" s="57">
        <v>2</v>
      </c>
      <c r="D57" s="156">
        <f t="shared" si="96"/>
        <v>1</v>
      </c>
      <c r="F57" s="156">
        <v>0</v>
      </c>
      <c r="G57" s="33"/>
    </row>
    <row r="58" spans="1:50" ht="13.2">
      <c r="A58" s="76" t="s">
        <v>44</v>
      </c>
      <c r="B58" s="81">
        <f t="shared" ref="B58:D58" si="97">SUM(B54:B57)</f>
        <v>5</v>
      </c>
      <c r="C58" s="81">
        <f t="shared" si="97"/>
        <v>8</v>
      </c>
      <c r="D58" s="81">
        <f t="shared" si="97"/>
        <v>3</v>
      </c>
      <c r="F58" s="81">
        <f>SUM(F54:F57)</f>
        <v>0</v>
      </c>
      <c r="G58" s="33"/>
    </row>
    <row r="59" spans="1:50" ht="13.2">
      <c r="A59" s="37"/>
      <c r="B59" s="61"/>
      <c r="C59" s="61"/>
      <c r="D59" s="61"/>
      <c r="F59" s="61"/>
      <c r="G59" s="33"/>
    </row>
    <row r="60" spans="1:50" ht="13.2">
      <c r="A60" s="37" t="s">
        <v>46</v>
      </c>
      <c r="B60" s="56">
        <v>1</v>
      </c>
      <c r="C60" s="57">
        <v>2</v>
      </c>
      <c r="D60" s="156">
        <f t="shared" ref="D60:D63" si="98">C60-B60</f>
        <v>1</v>
      </c>
      <c r="F60" s="156">
        <v>0</v>
      </c>
      <c r="G60" s="33"/>
      <c r="I60" s="31">
        <v>1</v>
      </c>
    </row>
    <row r="61" spans="1:50" ht="13.2">
      <c r="A61" s="37" t="s">
        <v>51</v>
      </c>
      <c r="B61" s="56">
        <v>1</v>
      </c>
      <c r="C61" s="57">
        <v>2</v>
      </c>
      <c r="D61" s="156">
        <f t="shared" si="98"/>
        <v>1</v>
      </c>
      <c r="F61" s="156">
        <v>0</v>
      </c>
      <c r="G61" s="33"/>
    </row>
    <row r="62" spans="1:50" ht="13.2">
      <c r="A62" s="37" t="s">
        <v>52</v>
      </c>
      <c r="B62" s="56">
        <v>1</v>
      </c>
      <c r="C62" s="57">
        <v>2</v>
      </c>
      <c r="D62" s="156">
        <f t="shared" si="98"/>
        <v>1</v>
      </c>
      <c r="F62" s="156">
        <v>0</v>
      </c>
      <c r="G62" s="33"/>
    </row>
    <row r="63" spans="1:50" ht="13.2">
      <c r="A63" s="37" t="s">
        <v>53</v>
      </c>
      <c r="B63" s="56">
        <v>2</v>
      </c>
      <c r="C63" s="57">
        <v>2</v>
      </c>
      <c r="D63" s="156">
        <f t="shared" si="98"/>
        <v>0</v>
      </c>
      <c r="F63" s="156">
        <v>0</v>
      </c>
      <c r="G63" s="33"/>
    </row>
    <row r="64" spans="1:50" ht="13.2">
      <c r="A64" s="76" t="s">
        <v>54</v>
      </c>
      <c r="B64" s="81">
        <f t="shared" ref="B64:D64" si="99">SUM(B60:B63)</f>
        <v>5</v>
      </c>
      <c r="C64" s="81">
        <f t="shared" si="99"/>
        <v>8</v>
      </c>
      <c r="D64" s="81">
        <f t="shared" si="99"/>
        <v>3</v>
      </c>
      <c r="F64" s="81">
        <f>SUM(F60:F63)</f>
        <v>0</v>
      </c>
      <c r="G64" s="33"/>
    </row>
    <row r="65" spans="1:22" ht="13.2">
      <c r="A65" s="37"/>
      <c r="B65" s="61"/>
      <c r="C65" s="61"/>
      <c r="D65" s="61"/>
      <c r="F65" s="61"/>
      <c r="G65" s="33"/>
    </row>
    <row r="66" spans="1:22" ht="13.2">
      <c r="A66" s="37" t="s">
        <v>55</v>
      </c>
      <c r="B66" s="56">
        <v>1</v>
      </c>
      <c r="C66" s="57">
        <v>3</v>
      </c>
      <c r="D66" s="156">
        <f t="shared" ref="D66:D68" si="100">C66-B66</f>
        <v>2</v>
      </c>
      <c r="F66" s="156">
        <v>0</v>
      </c>
      <c r="G66" s="33"/>
      <c r="I66" s="31">
        <v>2</v>
      </c>
    </row>
    <row r="67" spans="1:22" ht="13.2">
      <c r="A67" s="37" t="s">
        <v>57</v>
      </c>
      <c r="B67" s="56">
        <f>S42+T42</f>
        <v>0</v>
      </c>
      <c r="C67" s="57">
        <v>2</v>
      </c>
      <c r="D67" s="156">
        <f t="shared" si="100"/>
        <v>2</v>
      </c>
      <c r="F67" s="156">
        <v>0</v>
      </c>
      <c r="G67" s="33"/>
    </row>
    <row r="68" spans="1:22" ht="13.2">
      <c r="A68" s="37" t="s">
        <v>58</v>
      </c>
      <c r="B68" s="56">
        <v>1</v>
      </c>
      <c r="C68" s="57">
        <v>1</v>
      </c>
      <c r="D68" s="156">
        <f t="shared" si="100"/>
        <v>0</v>
      </c>
      <c r="F68" s="156">
        <v>0</v>
      </c>
      <c r="G68" s="33"/>
    </row>
    <row r="69" spans="1:22" ht="13.2">
      <c r="A69" s="76" t="s">
        <v>59</v>
      </c>
      <c r="B69" s="81">
        <f t="shared" ref="B69:D69" si="101">SUM(B66:B68)</f>
        <v>2</v>
      </c>
      <c r="C69" s="81">
        <f t="shared" si="101"/>
        <v>6</v>
      </c>
      <c r="D69" s="81">
        <f t="shared" si="101"/>
        <v>4</v>
      </c>
      <c r="F69" s="81">
        <f>SUM(F66:F68)</f>
        <v>0</v>
      </c>
      <c r="G69" s="33"/>
    </row>
    <row r="70" spans="1:22" ht="13.2">
      <c r="A70" s="76"/>
      <c r="B70" s="66"/>
      <c r="C70" s="66"/>
      <c r="D70" s="66"/>
      <c r="F70" s="66"/>
      <c r="G70" s="33"/>
    </row>
    <row r="71" spans="1:22" ht="13.2">
      <c r="A71" s="76"/>
      <c r="B71" s="90"/>
      <c r="C71" s="90"/>
      <c r="D71" s="90"/>
      <c r="F71" s="90"/>
      <c r="G71" s="33"/>
    </row>
    <row r="72" spans="1:22" ht="13.2">
      <c r="A72" s="76" t="s">
        <v>14</v>
      </c>
      <c r="B72" s="81">
        <f t="shared" ref="B72:D72" si="102">B69+B64+B58</f>
        <v>12</v>
      </c>
      <c r="C72" s="81">
        <f t="shared" si="102"/>
        <v>22</v>
      </c>
      <c r="D72" s="81">
        <f t="shared" si="102"/>
        <v>10</v>
      </c>
      <c r="F72" s="81">
        <f>F69+F64+F58</f>
        <v>0</v>
      </c>
      <c r="G72" s="33"/>
    </row>
    <row r="73" spans="1:22" ht="13.2">
      <c r="A73" s="159"/>
      <c r="B73" s="160"/>
      <c r="C73" s="160"/>
      <c r="D73" s="160"/>
      <c r="E73" s="160"/>
      <c r="F73" s="160"/>
      <c r="G73" s="161"/>
    </row>
    <row r="75" spans="1:22" ht="14.4">
      <c r="A75" s="292" t="s">
        <v>63</v>
      </c>
      <c r="B75" s="275"/>
      <c r="C75" s="275"/>
      <c r="D75" s="275"/>
      <c r="E75" s="275"/>
      <c r="F75" s="275"/>
      <c r="G75" s="275"/>
      <c r="H75" s="275"/>
      <c r="I75" s="275"/>
      <c r="J75" s="275"/>
      <c r="K75" s="275"/>
      <c r="L75" s="275"/>
      <c r="M75" s="275"/>
      <c r="N75" s="275"/>
      <c r="O75" s="275"/>
      <c r="P75" s="275"/>
      <c r="Q75" s="275"/>
      <c r="R75" s="275"/>
      <c r="S75" s="275"/>
      <c r="T75" s="276"/>
      <c r="U75" s="15" t="s">
        <v>2</v>
      </c>
      <c r="V75" s="120" t="s">
        <v>3</v>
      </c>
    </row>
    <row r="76" spans="1:22" ht="14.4">
      <c r="A76" s="32"/>
      <c r="B76" s="130"/>
      <c r="C76" s="277" t="str">
        <f>C4</f>
        <v>JANUARY</v>
      </c>
      <c r="D76" s="278"/>
      <c r="E76" s="278"/>
      <c r="F76" s="278"/>
      <c r="G76" s="277" t="str">
        <f>H4</f>
        <v>FEBRUARY</v>
      </c>
      <c r="H76" s="278"/>
      <c r="I76" s="278"/>
      <c r="J76" s="278"/>
      <c r="K76" s="277" t="str">
        <f>M4</f>
        <v>MARCH</v>
      </c>
      <c r="L76" s="278"/>
      <c r="M76" s="278"/>
      <c r="N76" s="278"/>
      <c r="O76" s="29"/>
      <c r="P76" s="130"/>
      <c r="Q76" s="277" t="s">
        <v>14</v>
      </c>
      <c r="R76" s="278"/>
      <c r="S76" s="278"/>
      <c r="T76" s="279"/>
      <c r="V76" s="29"/>
    </row>
    <row r="77" spans="1:22" ht="86.4">
      <c r="A77" s="35"/>
      <c r="B77" s="130"/>
      <c r="C77" s="132" t="s">
        <v>65</v>
      </c>
      <c r="D77" s="132" t="s">
        <v>66</v>
      </c>
      <c r="E77" s="132" t="s">
        <v>28</v>
      </c>
      <c r="F77" s="132" t="s">
        <v>67</v>
      </c>
      <c r="G77" s="132" t="s">
        <v>65</v>
      </c>
      <c r="H77" s="132" t="s">
        <v>66</v>
      </c>
      <c r="I77" s="132" t="s">
        <v>28</v>
      </c>
      <c r="J77" s="132" t="s">
        <v>67</v>
      </c>
      <c r="K77" s="132" t="s">
        <v>65</v>
      </c>
      <c r="L77" s="132" t="s">
        <v>66</v>
      </c>
      <c r="M77" s="132" t="s">
        <v>28</v>
      </c>
      <c r="N77" s="132" t="s">
        <v>67</v>
      </c>
      <c r="O77" s="38"/>
      <c r="P77" s="132"/>
      <c r="Q77" s="132" t="s">
        <v>65</v>
      </c>
      <c r="R77" s="132" t="s">
        <v>66</v>
      </c>
      <c r="S77" s="132" t="s">
        <v>28</v>
      </c>
      <c r="T77" s="135" t="s">
        <v>67</v>
      </c>
      <c r="V77" s="29"/>
    </row>
    <row r="78" spans="1:22" ht="14.4">
      <c r="A78" s="32" t="s">
        <v>24</v>
      </c>
      <c r="B78" s="130"/>
      <c r="C78" s="39">
        <v>85</v>
      </c>
      <c r="D78" s="39"/>
      <c r="E78" s="56">
        <f t="shared" ref="E78:E81" si="103">SUM(C78:D78)</f>
        <v>85</v>
      </c>
      <c r="F78" s="57">
        <v>140</v>
      </c>
      <c r="G78" s="124">
        <v>90</v>
      </c>
      <c r="H78" s="39">
        <v>0</v>
      </c>
      <c r="I78" s="56">
        <f t="shared" ref="I78:I81" si="104">SUM(G78:H78)</f>
        <v>90</v>
      </c>
      <c r="J78" s="57">
        <v>82</v>
      </c>
      <c r="K78" s="124">
        <v>456</v>
      </c>
      <c r="L78" s="39">
        <v>0</v>
      </c>
      <c r="M78" s="56">
        <f t="shared" ref="M78:M81" si="105">SUM(K78:L78)</f>
        <v>456</v>
      </c>
      <c r="N78" s="57">
        <v>280</v>
      </c>
      <c r="O78" s="66"/>
      <c r="P78" s="65">
        <f t="shared" ref="P78:P92" si="106">B78</f>
        <v>0</v>
      </c>
      <c r="Q78" s="66">
        <f t="shared" ref="Q78:R78" si="107">K78+G78+C78</f>
        <v>631</v>
      </c>
      <c r="R78" s="66">
        <f t="shared" si="107"/>
        <v>0</v>
      </c>
      <c r="S78" s="56">
        <f t="shared" ref="S78:S81" si="108">SUM(P78:R78)</f>
        <v>631</v>
      </c>
      <c r="T78" s="68">
        <f t="shared" ref="T78:T81" si="109">N78+J78+F78</f>
        <v>502</v>
      </c>
      <c r="U78" s="83">
        <v>45747</v>
      </c>
      <c r="V78" s="29" t="s">
        <v>49</v>
      </c>
    </row>
    <row r="79" spans="1:22" ht="14.4">
      <c r="A79" s="32" t="s">
        <v>36</v>
      </c>
      <c r="B79" s="130"/>
      <c r="C79" s="39">
        <v>3</v>
      </c>
      <c r="D79" s="39"/>
      <c r="E79" s="56">
        <f t="shared" si="103"/>
        <v>3</v>
      </c>
      <c r="F79" s="57">
        <v>22</v>
      </c>
      <c r="G79" s="124">
        <v>0</v>
      </c>
      <c r="H79" s="39"/>
      <c r="I79" s="56">
        <f t="shared" si="104"/>
        <v>0</v>
      </c>
      <c r="J79" s="57">
        <v>9</v>
      </c>
      <c r="K79" s="124">
        <v>10</v>
      </c>
      <c r="L79" s="39"/>
      <c r="M79" s="56">
        <f t="shared" si="105"/>
        <v>10</v>
      </c>
      <c r="N79" s="57">
        <v>49</v>
      </c>
      <c r="O79" s="66"/>
      <c r="P79" s="65">
        <f t="shared" si="106"/>
        <v>0</v>
      </c>
      <c r="Q79" s="66">
        <f t="shared" ref="Q79:R79" si="110">K79+G79+C79</f>
        <v>13</v>
      </c>
      <c r="R79" s="66">
        <f t="shared" si="110"/>
        <v>0</v>
      </c>
      <c r="S79" s="56">
        <f t="shared" si="108"/>
        <v>13</v>
      </c>
      <c r="T79" s="68">
        <f t="shared" si="109"/>
        <v>80</v>
      </c>
      <c r="U79" s="83">
        <v>45747</v>
      </c>
      <c r="V79" s="29" t="s">
        <v>49</v>
      </c>
    </row>
    <row r="80" spans="1:22" ht="14.4">
      <c r="A80" s="32" t="s">
        <v>40</v>
      </c>
      <c r="B80" s="130"/>
      <c r="C80" s="39"/>
      <c r="D80" s="39"/>
      <c r="E80" s="56">
        <f t="shared" si="103"/>
        <v>0</v>
      </c>
      <c r="F80" s="57"/>
      <c r="G80" s="124"/>
      <c r="H80" s="39"/>
      <c r="I80" s="56">
        <f t="shared" si="104"/>
        <v>0</v>
      </c>
      <c r="J80" s="57"/>
      <c r="K80" s="124"/>
      <c r="L80" s="39"/>
      <c r="M80" s="56">
        <f t="shared" si="105"/>
        <v>0</v>
      </c>
      <c r="N80" s="57"/>
      <c r="O80" s="66"/>
      <c r="P80" s="65">
        <f t="shared" si="106"/>
        <v>0</v>
      </c>
      <c r="Q80" s="66">
        <f t="shared" ref="Q80:R80" si="111">K80+G80+C80</f>
        <v>0</v>
      </c>
      <c r="R80" s="66">
        <f t="shared" si="111"/>
        <v>0</v>
      </c>
      <c r="S80" s="56">
        <f t="shared" si="108"/>
        <v>0</v>
      </c>
      <c r="T80" s="68">
        <f t="shared" si="109"/>
        <v>0</v>
      </c>
      <c r="U80" s="83">
        <v>45747</v>
      </c>
      <c r="V80" s="29" t="s">
        <v>49</v>
      </c>
    </row>
    <row r="81" spans="1:22" ht="14.4">
      <c r="A81" s="32" t="s">
        <v>41</v>
      </c>
      <c r="B81" s="130"/>
      <c r="C81" s="39"/>
      <c r="D81" s="39"/>
      <c r="E81" s="56">
        <f t="shared" si="103"/>
        <v>0</v>
      </c>
      <c r="F81" s="57"/>
      <c r="G81" s="124"/>
      <c r="H81" s="39"/>
      <c r="I81" s="56">
        <f t="shared" si="104"/>
        <v>0</v>
      </c>
      <c r="J81" s="57"/>
      <c r="K81" s="124"/>
      <c r="L81" s="39"/>
      <c r="M81" s="56">
        <f t="shared" si="105"/>
        <v>0</v>
      </c>
      <c r="N81" s="57"/>
      <c r="O81" s="66"/>
      <c r="P81" s="65">
        <f t="shared" si="106"/>
        <v>0</v>
      </c>
      <c r="Q81" s="66">
        <f t="shared" ref="Q81:R81" si="112">K81+G81+C81</f>
        <v>0</v>
      </c>
      <c r="R81" s="66">
        <f t="shared" si="112"/>
        <v>0</v>
      </c>
      <c r="S81" s="56">
        <f t="shared" si="108"/>
        <v>0</v>
      </c>
      <c r="T81" s="68">
        <f t="shared" si="109"/>
        <v>0</v>
      </c>
      <c r="U81" s="83">
        <v>45747</v>
      </c>
      <c r="V81" s="29" t="s">
        <v>49</v>
      </c>
    </row>
    <row r="82" spans="1:22" ht="14.4">
      <c r="A82" s="35" t="s">
        <v>44</v>
      </c>
      <c r="B82" s="130"/>
      <c r="C82" s="78">
        <f t="shared" ref="C82:N82" si="113">SUM(C78:C81)</f>
        <v>88</v>
      </c>
      <c r="D82" s="78">
        <f t="shared" si="113"/>
        <v>0</v>
      </c>
      <c r="E82" s="78">
        <f t="shared" si="113"/>
        <v>88</v>
      </c>
      <c r="F82" s="78">
        <f t="shared" si="113"/>
        <v>162</v>
      </c>
      <c r="G82" s="78">
        <f t="shared" si="113"/>
        <v>90</v>
      </c>
      <c r="H82" s="78">
        <f t="shared" si="113"/>
        <v>0</v>
      </c>
      <c r="I82" s="78">
        <f t="shared" si="113"/>
        <v>90</v>
      </c>
      <c r="J82" s="78">
        <f t="shared" si="113"/>
        <v>91</v>
      </c>
      <c r="K82" s="78">
        <f t="shared" si="113"/>
        <v>466</v>
      </c>
      <c r="L82" s="78">
        <f t="shared" si="113"/>
        <v>0</v>
      </c>
      <c r="M82" s="78">
        <f t="shared" si="113"/>
        <v>466</v>
      </c>
      <c r="N82" s="78">
        <f t="shared" si="113"/>
        <v>329</v>
      </c>
      <c r="O82" s="66"/>
      <c r="P82" s="65">
        <f t="shared" si="106"/>
        <v>0</v>
      </c>
      <c r="Q82" s="78">
        <f t="shared" ref="Q82:T82" si="114">SUM(Q78:Q81)</f>
        <v>644</v>
      </c>
      <c r="R82" s="78">
        <f t="shared" si="114"/>
        <v>0</v>
      </c>
      <c r="S82" s="78">
        <f t="shared" si="114"/>
        <v>644</v>
      </c>
      <c r="T82" s="92">
        <f t="shared" si="114"/>
        <v>582</v>
      </c>
      <c r="V82" s="29"/>
    </row>
    <row r="83" spans="1:22" ht="14.4">
      <c r="A83" s="32" t="s">
        <v>46</v>
      </c>
      <c r="B83" s="130"/>
      <c r="C83" s="39">
        <f>'Regs Q2'!V128</f>
        <v>0</v>
      </c>
      <c r="D83" s="66"/>
      <c r="E83" s="56">
        <f t="shared" ref="E83:E86" si="115">SUM(C83:D83)</f>
        <v>0</v>
      </c>
      <c r="F83" s="57"/>
      <c r="G83" s="124"/>
      <c r="H83" s="66"/>
      <c r="I83" s="56">
        <f t="shared" ref="I83:I86" si="116">SUM(G83:H83)</f>
        <v>0</v>
      </c>
      <c r="J83" s="57"/>
      <c r="K83" s="124"/>
      <c r="L83" s="66"/>
      <c r="M83" s="56">
        <f t="shared" ref="M83:M86" si="117">SUM(K83:L83)</f>
        <v>0</v>
      </c>
      <c r="N83" s="57"/>
      <c r="O83" s="66"/>
      <c r="P83" s="65">
        <f t="shared" si="106"/>
        <v>0</v>
      </c>
      <c r="Q83" s="66">
        <f t="shared" ref="Q83:R83" si="118">K83+G83+C83</f>
        <v>0</v>
      </c>
      <c r="R83" s="66">
        <f t="shared" si="118"/>
        <v>0</v>
      </c>
      <c r="S83" s="56">
        <f t="shared" ref="S83:S86" si="119">SUM(P83:R83)</f>
        <v>0</v>
      </c>
      <c r="T83" s="68">
        <f t="shared" ref="T83:T86" si="120">N83+J83+F83</f>
        <v>0</v>
      </c>
      <c r="U83" s="121">
        <v>45747</v>
      </c>
      <c r="V83" s="29" t="s">
        <v>56</v>
      </c>
    </row>
    <row r="84" spans="1:22" ht="14.4">
      <c r="A84" s="32" t="s">
        <v>51</v>
      </c>
      <c r="B84" s="130"/>
      <c r="C84" s="39">
        <v>29</v>
      </c>
      <c r="D84" s="66"/>
      <c r="E84" s="56">
        <f t="shared" si="115"/>
        <v>29</v>
      </c>
      <c r="F84" s="57">
        <v>25</v>
      </c>
      <c r="G84" s="124">
        <v>6</v>
      </c>
      <c r="H84" s="66">
        <v>0</v>
      </c>
      <c r="I84" s="56">
        <f t="shared" si="116"/>
        <v>6</v>
      </c>
      <c r="J84" s="57">
        <v>18</v>
      </c>
      <c r="K84" s="124">
        <v>36</v>
      </c>
      <c r="L84" s="66">
        <v>0</v>
      </c>
      <c r="M84" s="56">
        <f t="shared" si="117"/>
        <v>36</v>
      </c>
      <c r="N84" s="57">
        <v>66</v>
      </c>
      <c r="O84" s="66"/>
      <c r="P84" s="65">
        <f t="shared" si="106"/>
        <v>0</v>
      </c>
      <c r="Q84" s="66">
        <f t="shared" ref="Q84:Q85" si="121">K84+G84+O92+C84</f>
        <v>71</v>
      </c>
      <c r="R84" s="66">
        <f>L84+H84+D84</f>
        <v>0</v>
      </c>
      <c r="S84" s="56">
        <f t="shared" si="119"/>
        <v>71</v>
      </c>
      <c r="T84" s="68">
        <f t="shared" si="120"/>
        <v>109</v>
      </c>
      <c r="U84" s="121">
        <v>45747</v>
      </c>
      <c r="V84" s="29" t="s">
        <v>56</v>
      </c>
    </row>
    <row r="85" spans="1:22" ht="14.4">
      <c r="A85" s="32" t="s">
        <v>52</v>
      </c>
      <c r="B85" s="130"/>
      <c r="C85" s="39">
        <f>'Regs Q2'!V130</f>
        <v>0</v>
      </c>
      <c r="D85" s="66"/>
      <c r="E85" s="56">
        <f t="shared" si="115"/>
        <v>0</v>
      </c>
      <c r="F85" s="57"/>
      <c r="G85" s="124"/>
      <c r="H85" s="66"/>
      <c r="I85" s="56">
        <f t="shared" si="116"/>
        <v>0</v>
      </c>
      <c r="J85" s="57"/>
      <c r="K85" s="124"/>
      <c r="L85" s="66"/>
      <c r="M85" s="56">
        <f t="shared" si="117"/>
        <v>0</v>
      </c>
      <c r="N85" s="57"/>
      <c r="O85" s="66"/>
      <c r="P85" s="65">
        <f t="shared" si="106"/>
        <v>0</v>
      </c>
      <c r="Q85" s="66">
        <f t="shared" si="121"/>
        <v>0</v>
      </c>
      <c r="R85" s="66">
        <v>0</v>
      </c>
      <c r="S85" s="56">
        <f t="shared" si="119"/>
        <v>0</v>
      </c>
      <c r="T85" s="68">
        <f t="shared" si="120"/>
        <v>0</v>
      </c>
      <c r="U85" s="121">
        <v>45747</v>
      </c>
      <c r="V85" s="29" t="s">
        <v>56</v>
      </c>
    </row>
    <row r="86" spans="1:22" ht="14.4">
      <c r="A86" s="32" t="s">
        <v>53</v>
      </c>
      <c r="B86" s="130"/>
      <c r="C86" s="39">
        <f>'Regs Q2'!V131</f>
        <v>0</v>
      </c>
      <c r="D86" s="66"/>
      <c r="E86" s="56">
        <f t="shared" si="115"/>
        <v>0</v>
      </c>
      <c r="F86" s="57"/>
      <c r="G86" s="124">
        <f>'Regs Q2'!V108</f>
        <v>0</v>
      </c>
      <c r="H86" s="66"/>
      <c r="I86" s="56">
        <f t="shared" si="116"/>
        <v>0</v>
      </c>
      <c r="J86" s="57"/>
      <c r="K86" s="124"/>
      <c r="L86" s="66"/>
      <c r="M86" s="56">
        <f t="shared" si="117"/>
        <v>0</v>
      </c>
      <c r="N86" s="57"/>
      <c r="O86" s="66"/>
      <c r="P86" s="65">
        <f t="shared" si="106"/>
        <v>0</v>
      </c>
      <c r="Q86" s="66">
        <f t="shared" ref="Q86:R86" si="122">K86+G86+C86</f>
        <v>0</v>
      </c>
      <c r="R86" s="66">
        <f t="shared" si="122"/>
        <v>0</v>
      </c>
      <c r="S86" s="56">
        <f t="shared" si="119"/>
        <v>0</v>
      </c>
      <c r="T86" s="68">
        <f t="shared" si="120"/>
        <v>0</v>
      </c>
      <c r="U86" s="121">
        <v>45747</v>
      </c>
      <c r="V86" s="29" t="s">
        <v>56</v>
      </c>
    </row>
    <row r="87" spans="1:22" ht="14.4">
      <c r="A87" s="35" t="s">
        <v>54</v>
      </c>
      <c r="B87" s="130"/>
      <c r="C87" s="78">
        <f t="shared" ref="C87:N87" si="123">SUM(C83:C86)</f>
        <v>29</v>
      </c>
      <c r="D87" s="78">
        <f t="shared" si="123"/>
        <v>0</v>
      </c>
      <c r="E87" s="78">
        <f t="shared" si="123"/>
        <v>29</v>
      </c>
      <c r="F87" s="78">
        <f t="shared" si="123"/>
        <v>25</v>
      </c>
      <c r="G87" s="78">
        <f t="shared" si="123"/>
        <v>6</v>
      </c>
      <c r="H87" s="78">
        <f t="shared" si="123"/>
        <v>0</v>
      </c>
      <c r="I87" s="78">
        <f t="shared" si="123"/>
        <v>6</v>
      </c>
      <c r="J87" s="78">
        <f t="shared" si="123"/>
        <v>18</v>
      </c>
      <c r="K87" s="78">
        <f t="shared" si="123"/>
        <v>36</v>
      </c>
      <c r="L87" s="78">
        <f t="shared" si="123"/>
        <v>0</v>
      </c>
      <c r="M87" s="78">
        <f t="shared" si="123"/>
        <v>36</v>
      </c>
      <c r="N87" s="78">
        <f t="shared" si="123"/>
        <v>66</v>
      </c>
      <c r="O87" s="66"/>
      <c r="P87" s="65">
        <f t="shared" si="106"/>
        <v>0</v>
      </c>
      <c r="Q87" s="78">
        <f t="shared" ref="Q87:T87" si="124">SUM(Q83:Q86)</f>
        <v>71</v>
      </c>
      <c r="R87" s="78">
        <f t="shared" si="124"/>
        <v>0</v>
      </c>
      <c r="S87" s="78">
        <f t="shared" si="124"/>
        <v>71</v>
      </c>
      <c r="T87" s="92">
        <f t="shared" si="124"/>
        <v>109</v>
      </c>
      <c r="V87" s="29"/>
    </row>
    <row r="88" spans="1:22" ht="14.4">
      <c r="A88" s="32" t="s">
        <v>55</v>
      </c>
      <c r="B88" s="130"/>
      <c r="C88" s="39">
        <v>19</v>
      </c>
      <c r="D88" s="66"/>
      <c r="E88" s="56">
        <f t="shared" ref="E88:E90" si="125">SUM(C88:D88)</f>
        <v>19</v>
      </c>
      <c r="F88" s="57">
        <v>44</v>
      </c>
      <c r="G88" s="124">
        <v>18</v>
      </c>
      <c r="H88" s="66">
        <v>0</v>
      </c>
      <c r="I88" s="56">
        <f t="shared" ref="I88:I90" si="126">SUM(G88:H88)</f>
        <v>18</v>
      </c>
      <c r="J88" s="57">
        <v>19</v>
      </c>
      <c r="K88" s="124">
        <v>80</v>
      </c>
      <c r="L88" s="66">
        <v>0</v>
      </c>
      <c r="M88" s="56">
        <f t="shared" ref="M88:M90" si="127">SUM(K88:L88)</f>
        <v>80</v>
      </c>
      <c r="N88" s="57">
        <v>100</v>
      </c>
      <c r="O88" s="66"/>
      <c r="P88" s="65">
        <f t="shared" si="106"/>
        <v>0</v>
      </c>
      <c r="Q88" s="66">
        <f t="shared" ref="Q88:R88" si="128">K88+G88+C88</f>
        <v>117</v>
      </c>
      <c r="R88" s="66">
        <f t="shared" si="128"/>
        <v>0</v>
      </c>
      <c r="S88" s="56">
        <f t="shared" ref="S88:S90" si="129">SUM(P88:R88)</f>
        <v>117</v>
      </c>
      <c r="T88" s="68">
        <f t="shared" ref="T88:T90" si="130">N88+J88+F88</f>
        <v>163</v>
      </c>
      <c r="U88" s="83">
        <v>45747</v>
      </c>
      <c r="V88" s="29" t="s">
        <v>80</v>
      </c>
    </row>
    <row r="89" spans="1:22" ht="14.4">
      <c r="A89" s="32" t="s">
        <v>57</v>
      </c>
      <c r="B89" s="130"/>
      <c r="C89" s="39"/>
      <c r="D89" s="66"/>
      <c r="E89" s="56">
        <f t="shared" si="125"/>
        <v>0</v>
      </c>
      <c r="F89" s="57"/>
      <c r="G89" s="124"/>
      <c r="H89" s="66"/>
      <c r="I89" s="56">
        <f t="shared" si="126"/>
        <v>0</v>
      </c>
      <c r="J89" s="57"/>
      <c r="K89" s="124">
        <v>2</v>
      </c>
      <c r="L89" s="66">
        <v>0</v>
      </c>
      <c r="M89" s="56">
        <f t="shared" si="127"/>
        <v>2</v>
      </c>
      <c r="N89" s="57"/>
      <c r="O89" s="66"/>
      <c r="P89" s="65">
        <f t="shared" si="106"/>
        <v>0</v>
      </c>
      <c r="Q89" s="66">
        <f t="shared" ref="Q89:R89" si="131">K89+G89+C89</f>
        <v>2</v>
      </c>
      <c r="R89" s="66">
        <f t="shared" si="131"/>
        <v>0</v>
      </c>
      <c r="S89" s="56">
        <f t="shared" si="129"/>
        <v>2</v>
      </c>
      <c r="T89" s="68">
        <f t="shared" si="130"/>
        <v>0</v>
      </c>
      <c r="U89" s="31" t="s">
        <v>151</v>
      </c>
      <c r="V89" s="29" t="s">
        <v>80</v>
      </c>
    </row>
    <row r="90" spans="1:22" ht="14.4">
      <c r="A90" s="32" t="s">
        <v>58</v>
      </c>
      <c r="B90" s="130"/>
      <c r="C90" s="39">
        <f>'Regs Q2'!V135</f>
        <v>0</v>
      </c>
      <c r="D90" s="66"/>
      <c r="E90" s="56">
        <f t="shared" si="125"/>
        <v>0</v>
      </c>
      <c r="F90" s="57"/>
      <c r="G90" s="124"/>
      <c r="H90" s="66"/>
      <c r="I90" s="56">
        <f t="shared" si="126"/>
        <v>0</v>
      </c>
      <c r="J90" s="57"/>
      <c r="K90" s="124">
        <f>'Regs Q2'!V89</f>
        <v>0</v>
      </c>
      <c r="L90" s="66"/>
      <c r="M90" s="56">
        <f t="shared" si="127"/>
        <v>0</v>
      </c>
      <c r="N90" s="57"/>
      <c r="O90" s="66"/>
      <c r="P90" s="65">
        <f t="shared" si="106"/>
        <v>0</v>
      </c>
      <c r="Q90" s="66">
        <f t="shared" ref="Q90:R90" si="132">K90+G90+C90</f>
        <v>0</v>
      </c>
      <c r="R90" s="66">
        <f t="shared" si="132"/>
        <v>0</v>
      </c>
      <c r="S90" s="56">
        <f t="shared" si="129"/>
        <v>0</v>
      </c>
      <c r="T90" s="68">
        <f t="shared" si="130"/>
        <v>0</v>
      </c>
      <c r="U90" s="83">
        <v>45747</v>
      </c>
      <c r="V90" s="29" t="s">
        <v>80</v>
      </c>
    </row>
    <row r="91" spans="1:22" ht="14.4">
      <c r="A91" s="35"/>
      <c r="B91" s="130"/>
      <c r="C91" s="78">
        <f t="shared" ref="C91:N91" si="133">SUM(C88:C90)</f>
        <v>19</v>
      </c>
      <c r="D91" s="78">
        <f t="shared" si="133"/>
        <v>0</v>
      </c>
      <c r="E91" s="78">
        <f t="shared" si="133"/>
        <v>19</v>
      </c>
      <c r="F91" s="78">
        <f t="shared" si="133"/>
        <v>44</v>
      </c>
      <c r="G91" s="78">
        <f t="shared" si="133"/>
        <v>18</v>
      </c>
      <c r="H91" s="78">
        <f t="shared" si="133"/>
        <v>0</v>
      </c>
      <c r="I91" s="78">
        <f t="shared" si="133"/>
        <v>18</v>
      </c>
      <c r="J91" s="78">
        <f t="shared" si="133"/>
        <v>19</v>
      </c>
      <c r="K91" s="78">
        <f t="shared" si="133"/>
        <v>82</v>
      </c>
      <c r="L91" s="78">
        <f t="shared" si="133"/>
        <v>0</v>
      </c>
      <c r="M91" s="78">
        <f t="shared" si="133"/>
        <v>82</v>
      </c>
      <c r="N91" s="78">
        <f t="shared" si="133"/>
        <v>100</v>
      </c>
      <c r="O91" s="66"/>
      <c r="P91" s="65">
        <f t="shared" si="106"/>
        <v>0</v>
      </c>
      <c r="Q91" s="78">
        <f t="shared" ref="Q91:T91" si="134">SUM(Q88:Q90)</f>
        <v>119</v>
      </c>
      <c r="R91" s="78">
        <f t="shared" si="134"/>
        <v>0</v>
      </c>
      <c r="S91" s="78">
        <f t="shared" si="134"/>
        <v>119</v>
      </c>
      <c r="T91" s="92">
        <f t="shared" si="134"/>
        <v>163</v>
      </c>
      <c r="V91" s="29"/>
    </row>
    <row r="92" spans="1:22" ht="14.4">
      <c r="A92" s="35"/>
      <c r="B92" s="130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5">
        <f t="shared" si="106"/>
        <v>0</v>
      </c>
      <c r="Q92" s="66"/>
      <c r="R92" s="66"/>
      <c r="S92" s="66"/>
      <c r="T92" s="104"/>
    </row>
    <row r="93" spans="1:22" ht="14.4">
      <c r="A93" s="32"/>
      <c r="B93" s="29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104"/>
    </row>
    <row r="94" spans="1:22" ht="14.4">
      <c r="A94" s="126" t="s">
        <v>14</v>
      </c>
      <c r="B94" s="162"/>
      <c r="C94" s="97">
        <f t="shared" ref="C94:N94" si="135">C91+C87+C82</f>
        <v>136</v>
      </c>
      <c r="D94" s="97">
        <f t="shared" si="135"/>
        <v>0</v>
      </c>
      <c r="E94" s="97">
        <f t="shared" si="135"/>
        <v>136</v>
      </c>
      <c r="F94" s="97">
        <f t="shared" si="135"/>
        <v>231</v>
      </c>
      <c r="G94" s="97">
        <f t="shared" si="135"/>
        <v>114</v>
      </c>
      <c r="H94" s="97">
        <f t="shared" si="135"/>
        <v>0</v>
      </c>
      <c r="I94" s="97">
        <f t="shared" si="135"/>
        <v>114</v>
      </c>
      <c r="J94" s="97">
        <f t="shared" si="135"/>
        <v>128</v>
      </c>
      <c r="K94" s="97">
        <f t="shared" si="135"/>
        <v>584</v>
      </c>
      <c r="L94" s="97">
        <f t="shared" si="135"/>
        <v>0</v>
      </c>
      <c r="M94" s="97">
        <f t="shared" si="135"/>
        <v>584</v>
      </c>
      <c r="N94" s="97">
        <f t="shared" si="135"/>
        <v>495</v>
      </c>
      <c r="O94" s="127"/>
      <c r="P94" s="127"/>
      <c r="Q94" s="97">
        <f t="shared" ref="Q94:T94" si="136">Q91+Q87+Q82</f>
        <v>834</v>
      </c>
      <c r="R94" s="97">
        <f t="shared" si="136"/>
        <v>0</v>
      </c>
      <c r="S94" s="97">
        <f t="shared" si="136"/>
        <v>834</v>
      </c>
      <c r="T94" s="99">
        <f t="shared" si="136"/>
        <v>854</v>
      </c>
    </row>
  </sheetData>
  <mergeCells count="14">
    <mergeCell ref="A26:O26"/>
    <mergeCell ref="H27:K27"/>
    <mergeCell ref="A3:V3"/>
    <mergeCell ref="C4:F4"/>
    <mergeCell ref="H4:K4"/>
    <mergeCell ref="M4:P4"/>
    <mergeCell ref="S4:V4"/>
    <mergeCell ref="C27:F27"/>
    <mergeCell ref="A51:G51"/>
    <mergeCell ref="A75:T75"/>
    <mergeCell ref="C76:F76"/>
    <mergeCell ref="G76:J76"/>
    <mergeCell ref="K76:N76"/>
    <mergeCell ref="Q76:T76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AV45"/>
  <sheetViews>
    <sheetView workbookViewId="0"/>
  </sheetViews>
  <sheetFormatPr defaultColWidth="12.6640625" defaultRowHeight="15.75" customHeight="1"/>
  <cols>
    <col min="2" max="2" width="7.109375" customWidth="1"/>
    <col min="3" max="3" width="9" customWidth="1"/>
    <col min="4" max="4" width="8.88671875" customWidth="1"/>
    <col min="5" max="6" width="7.109375" customWidth="1"/>
    <col min="7" max="7" width="9.44140625" customWidth="1"/>
    <col min="8" max="8" width="10.33203125" customWidth="1"/>
    <col min="9" max="10" width="7.109375" customWidth="1"/>
    <col min="11" max="11" width="9.33203125" customWidth="1"/>
    <col min="12" max="12" width="9.77734375" customWidth="1"/>
    <col min="13" max="16" width="7.109375" customWidth="1"/>
    <col min="17" max="17" width="10.109375" customWidth="1"/>
    <col min="18" max="18" width="9" customWidth="1"/>
    <col min="19" max="21" width="7.109375" customWidth="1"/>
    <col min="28" max="30" width="8.77734375" customWidth="1"/>
    <col min="31" max="31" width="10.44140625" customWidth="1"/>
    <col min="32" max="46" width="8.77734375" customWidth="1"/>
  </cols>
  <sheetData>
    <row r="1" spans="1:48">
      <c r="Y1" s="3"/>
    </row>
    <row r="3" spans="1:48" ht="15.75" customHeight="1">
      <c r="A3" s="292" t="s">
        <v>1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6"/>
      <c r="U3" s="4"/>
      <c r="V3" s="188"/>
      <c r="W3" s="189"/>
      <c r="X3" s="190"/>
      <c r="Y3" s="15" t="s">
        <v>2</v>
      </c>
      <c r="Z3" s="120" t="s">
        <v>3</v>
      </c>
      <c r="AA3" s="292" t="s">
        <v>111</v>
      </c>
      <c r="AB3" s="275"/>
      <c r="AC3" s="275"/>
      <c r="AD3" s="275"/>
      <c r="AE3" s="275"/>
      <c r="AF3" s="275"/>
      <c r="AG3" s="275"/>
      <c r="AH3" s="275"/>
      <c r="AI3" s="275"/>
      <c r="AJ3" s="275"/>
      <c r="AK3" s="275"/>
      <c r="AL3" s="275"/>
      <c r="AM3" s="275"/>
      <c r="AN3" s="275"/>
      <c r="AO3" s="275"/>
      <c r="AP3" s="275"/>
      <c r="AQ3" s="275"/>
      <c r="AR3" s="275"/>
      <c r="AS3" s="276"/>
      <c r="AT3" s="182"/>
      <c r="AU3" s="15" t="s">
        <v>2</v>
      </c>
      <c r="AV3" s="120" t="s">
        <v>3</v>
      </c>
    </row>
    <row r="4" spans="1:48" ht="15.75" customHeight="1">
      <c r="A4" s="32"/>
      <c r="B4" s="130"/>
      <c r="C4" s="277" t="s">
        <v>112</v>
      </c>
      <c r="D4" s="278"/>
      <c r="E4" s="278"/>
      <c r="F4" s="278"/>
      <c r="G4" s="277" t="s">
        <v>113</v>
      </c>
      <c r="H4" s="278"/>
      <c r="I4" s="278"/>
      <c r="J4" s="278"/>
      <c r="K4" s="277" t="s">
        <v>114</v>
      </c>
      <c r="L4" s="278"/>
      <c r="M4" s="278"/>
      <c r="N4" s="278"/>
      <c r="O4" s="29"/>
      <c r="P4" s="130"/>
      <c r="Q4" s="277" t="s">
        <v>14</v>
      </c>
      <c r="R4" s="278"/>
      <c r="S4" s="278"/>
      <c r="T4" s="279"/>
      <c r="U4" s="25"/>
      <c r="V4" s="25"/>
      <c r="X4" s="33"/>
      <c r="Z4" s="29"/>
      <c r="AA4" s="32"/>
      <c r="AB4" s="130"/>
      <c r="AC4" s="277" t="s">
        <v>115</v>
      </c>
      <c r="AD4" s="278"/>
      <c r="AE4" s="278"/>
      <c r="AF4" s="277" t="s">
        <v>81</v>
      </c>
      <c r="AG4" s="278"/>
      <c r="AH4" s="278"/>
      <c r="AI4" s="278"/>
      <c r="AJ4" s="277" t="s">
        <v>77</v>
      </c>
      <c r="AK4" s="278"/>
      <c r="AL4" s="278"/>
      <c r="AM4" s="278"/>
      <c r="AN4" s="278"/>
      <c r="AO4" s="29"/>
      <c r="AP4" s="130"/>
      <c r="AQ4" s="277" t="s">
        <v>14</v>
      </c>
      <c r="AR4" s="278"/>
      <c r="AS4" s="279"/>
      <c r="AT4" s="34"/>
    </row>
    <row r="5" spans="1:48" ht="15.75" customHeight="1">
      <c r="A5" s="35"/>
      <c r="B5" s="132" t="s">
        <v>13</v>
      </c>
      <c r="C5" s="132" t="s">
        <v>26</v>
      </c>
      <c r="D5" s="132" t="s">
        <v>27</v>
      </c>
      <c r="E5" s="132" t="s">
        <v>28</v>
      </c>
      <c r="F5" s="132" t="s">
        <v>29</v>
      </c>
      <c r="G5" s="132" t="s">
        <v>26</v>
      </c>
      <c r="H5" s="132" t="s">
        <v>27</v>
      </c>
      <c r="I5" s="132" t="s">
        <v>28</v>
      </c>
      <c r="J5" s="132" t="s">
        <v>29</v>
      </c>
      <c r="K5" s="132" t="s">
        <v>26</v>
      </c>
      <c r="L5" s="132" t="s">
        <v>27</v>
      </c>
      <c r="M5" s="132" t="s">
        <v>28</v>
      </c>
      <c r="N5" s="132" t="s">
        <v>29</v>
      </c>
      <c r="O5" s="38"/>
      <c r="P5" s="132" t="s">
        <v>13</v>
      </c>
      <c r="Q5" s="132" t="s">
        <v>26</v>
      </c>
      <c r="R5" s="132" t="s">
        <v>27</v>
      </c>
      <c r="S5" s="132" t="s">
        <v>28</v>
      </c>
      <c r="T5" s="135" t="s">
        <v>29</v>
      </c>
      <c r="U5" s="136" t="s">
        <v>32</v>
      </c>
      <c r="V5" s="48" t="s">
        <v>34</v>
      </c>
      <c r="W5" s="24" t="s">
        <v>15</v>
      </c>
      <c r="X5" s="27" t="s">
        <v>35</v>
      </c>
      <c r="Z5" s="177"/>
      <c r="AA5" s="35"/>
      <c r="AB5" s="132" t="s">
        <v>13</v>
      </c>
      <c r="AC5" s="132" t="s">
        <v>116</v>
      </c>
      <c r="AD5" s="132" t="s">
        <v>28</v>
      </c>
      <c r="AE5" s="132" t="s">
        <v>29</v>
      </c>
      <c r="AF5" s="132" t="s">
        <v>116</v>
      </c>
      <c r="AG5" s="132" t="s">
        <v>117</v>
      </c>
      <c r="AH5" s="132" t="s">
        <v>28</v>
      </c>
      <c r="AI5" s="132" t="s">
        <v>29</v>
      </c>
      <c r="AJ5" s="132" t="s">
        <v>118</v>
      </c>
      <c r="AK5" s="132" t="s">
        <v>119</v>
      </c>
      <c r="AL5" s="132" t="s">
        <v>116</v>
      </c>
      <c r="AM5" s="132" t="s">
        <v>28</v>
      </c>
      <c r="AN5" s="132" t="s">
        <v>29</v>
      </c>
      <c r="AO5" s="38"/>
      <c r="AP5" s="132" t="s">
        <v>13</v>
      </c>
      <c r="AQ5" s="132" t="s">
        <v>120</v>
      </c>
      <c r="AR5" s="132" t="s">
        <v>28</v>
      </c>
      <c r="AS5" s="135" t="s">
        <v>29</v>
      </c>
      <c r="AT5" s="183" t="s">
        <v>32</v>
      </c>
      <c r="AV5" s="177"/>
    </row>
    <row r="6" spans="1:48" ht="15.75" customHeight="1">
      <c r="A6" s="37" t="s">
        <v>24</v>
      </c>
      <c r="B6" s="169">
        <f>-'2024 - Q3'!U6</f>
        <v>70</v>
      </c>
      <c r="C6" s="39">
        <v>60</v>
      </c>
      <c r="D6" s="39">
        <v>3</v>
      </c>
      <c r="E6" s="56">
        <f t="shared" ref="E6:E9" si="0">SUM(C6:D6)</f>
        <v>63</v>
      </c>
      <c r="F6" s="192">
        <f>Targets!H2</f>
        <v>34</v>
      </c>
      <c r="G6" s="193">
        <v>37</v>
      </c>
      <c r="H6" s="39">
        <v>4</v>
      </c>
      <c r="I6" s="56">
        <f t="shared" ref="I6:I9" si="1">SUM(G6:H6)</f>
        <v>41</v>
      </c>
      <c r="J6" s="192">
        <f>Targets!I2</f>
        <v>40</v>
      </c>
      <c r="K6" s="193">
        <v>31</v>
      </c>
      <c r="L6" s="39"/>
      <c r="M6" s="56">
        <f t="shared" ref="M6:M9" si="2">SUM(K6:L6)</f>
        <v>31</v>
      </c>
      <c r="N6" s="192">
        <f>Targets!J2</f>
        <v>25</v>
      </c>
      <c r="O6" s="66"/>
      <c r="P6" s="170">
        <f t="shared" ref="P6:P9" si="3">B6</f>
        <v>70</v>
      </c>
      <c r="Q6" s="66">
        <f t="shared" ref="Q6:R6" si="4">K6+G6+C6</f>
        <v>128</v>
      </c>
      <c r="R6" s="66">
        <f t="shared" si="4"/>
        <v>7</v>
      </c>
      <c r="S6" s="171">
        <f t="shared" ref="S6:S9" si="5">SUM(P6:R6)</f>
        <v>205</v>
      </c>
      <c r="T6" s="198">
        <f t="shared" ref="T6:T9" si="6">N6+J6+F6</f>
        <v>99</v>
      </c>
      <c r="U6" s="172">
        <f t="shared" ref="U6:U9" si="7">T6-S6</f>
        <v>-106</v>
      </c>
      <c r="V6" s="37">
        <f t="shared" ref="V6:V9" si="8">R6+Q6</f>
        <v>135</v>
      </c>
      <c r="W6" s="200">
        <f t="shared" ref="W6:W9" si="9">T6</f>
        <v>99</v>
      </c>
      <c r="X6" s="201">
        <f t="shared" ref="X6:X9" si="10">(Q6+R6)/T6</f>
        <v>1.3636363636363635</v>
      </c>
      <c r="Y6" s="121">
        <v>45663</v>
      </c>
      <c r="Z6" s="177" t="s">
        <v>123</v>
      </c>
      <c r="AA6" s="32" t="s">
        <v>24</v>
      </c>
      <c r="AB6" s="169">
        <f>Targets!AC30</f>
        <v>5</v>
      </c>
      <c r="AC6" s="39">
        <v>1</v>
      </c>
      <c r="AD6" s="56">
        <f t="shared" ref="AD6:AD9" si="11">SUM(AC6)</f>
        <v>1</v>
      </c>
      <c r="AE6" s="57">
        <f>Targets!T43+Targets!U43</f>
        <v>8</v>
      </c>
      <c r="AF6" s="193">
        <v>1</v>
      </c>
      <c r="AG6" s="39">
        <v>2</v>
      </c>
      <c r="AH6" s="56">
        <f t="shared" ref="AH6:AH9" si="12">AG6+AF6</f>
        <v>3</v>
      </c>
      <c r="AI6" s="57">
        <f>Targets!V43</f>
        <v>1</v>
      </c>
      <c r="AJ6" s="39">
        <v>2</v>
      </c>
      <c r="AK6" s="39">
        <v>7</v>
      </c>
      <c r="AM6" s="56">
        <f>SUM(AJ6:AK6)</f>
        <v>9</v>
      </c>
      <c r="AN6" s="57">
        <f>Targets!W43</f>
        <v>0</v>
      </c>
      <c r="AO6" s="66"/>
      <c r="AP6" s="170">
        <f t="shared" ref="AP6:AP9" si="13">AB6</f>
        <v>5</v>
      </c>
      <c r="AQ6" s="66">
        <f t="shared" ref="AQ6:AQ9" si="14">AM6+AH6+AD6</f>
        <v>13</v>
      </c>
      <c r="AR6" s="171">
        <f t="shared" ref="AR6:AR9" si="15">AQ6+AP6</f>
        <v>18</v>
      </c>
      <c r="AS6" s="68">
        <f t="shared" ref="AS6:AS9" si="16">AN6+AI6+AE6</f>
        <v>9</v>
      </c>
      <c r="AT6" s="202">
        <f t="shared" ref="AT6:AT9" si="17">AS6-AR6</f>
        <v>-9</v>
      </c>
      <c r="AU6" s="121">
        <v>45657</v>
      </c>
      <c r="AV6" s="177" t="s">
        <v>43</v>
      </c>
    </row>
    <row r="7" spans="1:48" ht="15.75" customHeight="1">
      <c r="A7" s="37" t="s">
        <v>36</v>
      </c>
      <c r="B7" s="169">
        <f>-'2024 - Q3'!U7</f>
        <v>-94</v>
      </c>
      <c r="C7" s="39">
        <v>30</v>
      </c>
      <c r="D7" s="39">
        <v>0</v>
      </c>
      <c r="E7" s="56">
        <f t="shared" si="0"/>
        <v>30</v>
      </c>
      <c r="F7" s="192">
        <f>Targets!H3</f>
        <v>28</v>
      </c>
      <c r="G7" s="193">
        <v>19</v>
      </c>
      <c r="H7" s="39"/>
      <c r="I7" s="56">
        <f t="shared" si="1"/>
        <v>19</v>
      </c>
      <c r="J7" s="192">
        <f>Targets!I3</f>
        <v>37</v>
      </c>
      <c r="K7" s="193">
        <v>26</v>
      </c>
      <c r="L7" s="39"/>
      <c r="M7" s="56">
        <f t="shared" si="2"/>
        <v>26</v>
      </c>
      <c r="N7" s="192">
        <f>Targets!J3</f>
        <v>29</v>
      </c>
      <c r="O7" s="66"/>
      <c r="P7" s="170">
        <f t="shared" si="3"/>
        <v>-94</v>
      </c>
      <c r="Q7" s="66">
        <f t="shared" ref="Q7:R7" si="18">K7+G7+C7</f>
        <v>75</v>
      </c>
      <c r="R7" s="66">
        <f t="shared" si="18"/>
        <v>0</v>
      </c>
      <c r="S7" s="171">
        <f t="shared" si="5"/>
        <v>-19</v>
      </c>
      <c r="T7" s="198">
        <f t="shared" si="6"/>
        <v>94</v>
      </c>
      <c r="U7" s="172">
        <f t="shared" si="7"/>
        <v>113</v>
      </c>
      <c r="V7" s="37">
        <f t="shared" si="8"/>
        <v>75</v>
      </c>
      <c r="W7" s="200">
        <f t="shared" si="9"/>
        <v>94</v>
      </c>
      <c r="X7" s="201">
        <f t="shared" si="10"/>
        <v>0.7978723404255319</v>
      </c>
      <c r="Y7" s="121">
        <v>45663</v>
      </c>
      <c r="Z7" s="177" t="s">
        <v>123</v>
      </c>
      <c r="AA7" s="32" t="s">
        <v>36</v>
      </c>
      <c r="AB7" s="169">
        <f>Targets!AC27</f>
        <v>3</v>
      </c>
      <c r="AC7" s="39">
        <v>0</v>
      </c>
      <c r="AD7" s="56">
        <f t="shared" si="11"/>
        <v>0</v>
      </c>
      <c r="AE7" s="57">
        <f>Targets!T44+Targets!U44</f>
        <v>7</v>
      </c>
      <c r="AF7" s="193">
        <v>3</v>
      </c>
      <c r="AG7" s="39"/>
      <c r="AH7" s="56">
        <f t="shared" si="12"/>
        <v>3</v>
      </c>
      <c r="AI7" s="57">
        <f>Targets!V44</f>
        <v>1</v>
      </c>
      <c r="AJ7" s="39"/>
      <c r="AK7" s="39"/>
      <c r="AL7" s="39"/>
      <c r="AM7" s="56">
        <f t="shared" ref="AM7:AM9" si="19">SUM(AJ7:AL7)</f>
        <v>0</v>
      </c>
      <c r="AN7" s="57">
        <f>Targets!W44</f>
        <v>0</v>
      </c>
      <c r="AO7" s="66"/>
      <c r="AP7" s="170">
        <f t="shared" si="13"/>
        <v>3</v>
      </c>
      <c r="AQ7" s="66">
        <f t="shared" si="14"/>
        <v>3</v>
      </c>
      <c r="AR7" s="171">
        <f t="shared" si="15"/>
        <v>6</v>
      </c>
      <c r="AS7" s="68">
        <f t="shared" si="16"/>
        <v>8</v>
      </c>
      <c r="AT7" s="202">
        <f t="shared" si="17"/>
        <v>2</v>
      </c>
      <c r="AU7" s="121">
        <v>45657</v>
      </c>
      <c r="AV7" s="177" t="s">
        <v>43</v>
      </c>
    </row>
    <row r="8" spans="1:48" ht="15.75" customHeight="1">
      <c r="A8" s="37" t="s">
        <v>40</v>
      </c>
      <c r="B8" s="169">
        <f>-'2024 - Q3'!U8</f>
        <v>6</v>
      </c>
      <c r="C8" s="39">
        <v>27</v>
      </c>
      <c r="D8" s="66"/>
      <c r="E8" s="56">
        <f t="shared" si="0"/>
        <v>27</v>
      </c>
      <c r="F8" s="192">
        <f>Targets!H4</f>
        <v>19</v>
      </c>
      <c r="G8" s="193">
        <v>31</v>
      </c>
      <c r="H8" s="39"/>
      <c r="I8" s="56">
        <f t="shared" si="1"/>
        <v>31</v>
      </c>
      <c r="J8" s="192">
        <f>Targets!I4</f>
        <v>26</v>
      </c>
      <c r="K8" s="193">
        <v>16</v>
      </c>
      <c r="L8" s="39"/>
      <c r="M8" s="56">
        <f t="shared" si="2"/>
        <v>16</v>
      </c>
      <c r="N8" s="192">
        <f>Targets!J4</f>
        <v>20</v>
      </c>
      <c r="O8" s="66"/>
      <c r="P8" s="170">
        <f t="shared" si="3"/>
        <v>6</v>
      </c>
      <c r="Q8" s="66">
        <f t="shared" ref="Q8:R8" si="20">K8+G8+C8</f>
        <v>74</v>
      </c>
      <c r="R8" s="66">
        <f t="shared" si="20"/>
        <v>0</v>
      </c>
      <c r="S8" s="171">
        <f t="shared" si="5"/>
        <v>80</v>
      </c>
      <c r="T8" s="198">
        <f t="shared" si="6"/>
        <v>65</v>
      </c>
      <c r="U8" s="172">
        <f t="shared" si="7"/>
        <v>-15</v>
      </c>
      <c r="V8" s="37">
        <f t="shared" si="8"/>
        <v>74</v>
      </c>
      <c r="W8" s="200">
        <f t="shared" si="9"/>
        <v>65</v>
      </c>
      <c r="X8" s="201">
        <f t="shared" si="10"/>
        <v>1.1384615384615384</v>
      </c>
      <c r="Y8" s="121">
        <v>45663</v>
      </c>
      <c r="Z8" s="177" t="s">
        <v>123</v>
      </c>
      <c r="AA8" s="32" t="s">
        <v>40</v>
      </c>
      <c r="AB8" s="152">
        <v>8</v>
      </c>
      <c r="AC8" s="39">
        <v>0</v>
      </c>
      <c r="AD8" s="56">
        <f t="shared" si="11"/>
        <v>0</v>
      </c>
      <c r="AE8" s="57">
        <f>Targets!T45+Targets!U45</f>
        <v>5</v>
      </c>
      <c r="AF8" s="193">
        <v>2</v>
      </c>
      <c r="AG8" s="39">
        <v>2</v>
      </c>
      <c r="AH8" s="56">
        <f t="shared" si="12"/>
        <v>4</v>
      </c>
      <c r="AI8" s="57">
        <f>Targets!V45</f>
        <v>1</v>
      </c>
      <c r="AJ8" s="39"/>
      <c r="AK8" s="39"/>
      <c r="AL8" s="39">
        <v>1</v>
      </c>
      <c r="AM8" s="56">
        <f t="shared" si="19"/>
        <v>1</v>
      </c>
      <c r="AN8" s="57">
        <f>Targets!W45</f>
        <v>0</v>
      </c>
      <c r="AO8" s="66"/>
      <c r="AP8" s="65">
        <f t="shared" si="13"/>
        <v>8</v>
      </c>
      <c r="AQ8" s="66">
        <f t="shared" si="14"/>
        <v>5</v>
      </c>
      <c r="AR8" s="56">
        <f t="shared" si="15"/>
        <v>13</v>
      </c>
      <c r="AS8" s="68">
        <f t="shared" si="16"/>
        <v>6</v>
      </c>
      <c r="AT8" s="203">
        <f t="shared" si="17"/>
        <v>-7</v>
      </c>
      <c r="AU8" s="121">
        <v>45657</v>
      </c>
      <c r="AV8" s="177" t="s">
        <v>43</v>
      </c>
    </row>
    <row r="9" spans="1:48" ht="15.75" customHeight="1">
      <c r="A9" s="37" t="s">
        <v>41</v>
      </c>
      <c r="B9" s="169">
        <f>-'2024 - Q3'!U9</f>
        <v>21</v>
      </c>
      <c r="C9" s="70">
        <v>39</v>
      </c>
      <c r="D9" s="86"/>
      <c r="E9" s="56">
        <f t="shared" si="0"/>
        <v>39</v>
      </c>
      <c r="F9" s="192">
        <f>Targets!H5</f>
        <v>26</v>
      </c>
      <c r="G9" s="193">
        <v>34</v>
      </c>
      <c r="H9" s="39"/>
      <c r="I9" s="56">
        <f t="shared" si="1"/>
        <v>34</v>
      </c>
      <c r="J9" s="192">
        <f>Targets!I5</f>
        <v>34</v>
      </c>
      <c r="K9" s="193">
        <v>24</v>
      </c>
      <c r="L9" s="39"/>
      <c r="M9" s="56">
        <f t="shared" si="2"/>
        <v>24</v>
      </c>
      <c r="N9" s="192">
        <f>Targets!J5</f>
        <v>24</v>
      </c>
      <c r="O9" s="66"/>
      <c r="P9" s="170">
        <f t="shared" si="3"/>
        <v>21</v>
      </c>
      <c r="Q9" s="66">
        <f t="shared" ref="Q9:R9" si="21">K9+G9+C9</f>
        <v>97</v>
      </c>
      <c r="R9" s="66">
        <f t="shared" si="21"/>
        <v>0</v>
      </c>
      <c r="S9" s="171">
        <f t="shared" si="5"/>
        <v>118</v>
      </c>
      <c r="T9" s="198">
        <f t="shared" si="6"/>
        <v>84</v>
      </c>
      <c r="U9" s="172">
        <f t="shared" si="7"/>
        <v>-34</v>
      </c>
      <c r="V9" s="37">
        <f t="shared" si="8"/>
        <v>97</v>
      </c>
      <c r="W9" s="200">
        <f t="shared" si="9"/>
        <v>84</v>
      </c>
      <c r="X9" s="201">
        <f t="shared" si="10"/>
        <v>1.1547619047619047</v>
      </c>
      <c r="Y9" s="121">
        <v>45663</v>
      </c>
      <c r="Z9" s="177" t="s">
        <v>123</v>
      </c>
      <c r="AA9" s="32" t="s">
        <v>41</v>
      </c>
      <c r="AB9" s="169">
        <f>Targets!AC29</f>
        <v>1</v>
      </c>
      <c r="AC9" s="39">
        <v>1</v>
      </c>
      <c r="AD9" s="56">
        <f t="shared" si="11"/>
        <v>1</v>
      </c>
      <c r="AE9" s="57">
        <f>Targets!T46+Targets!U46</f>
        <v>6</v>
      </c>
      <c r="AF9" s="193">
        <v>1</v>
      </c>
      <c r="AG9" s="39"/>
      <c r="AH9" s="56">
        <f t="shared" si="12"/>
        <v>1</v>
      </c>
      <c r="AI9" s="57">
        <f>Targets!V46</f>
        <v>1</v>
      </c>
      <c r="AJ9" s="39"/>
      <c r="AK9" s="39"/>
      <c r="AL9" s="39"/>
      <c r="AM9" s="56">
        <f t="shared" si="19"/>
        <v>0</v>
      </c>
      <c r="AN9" s="57">
        <f>Targets!W46</f>
        <v>0</v>
      </c>
      <c r="AO9" s="66"/>
      <c r="AP9" s="170">
        <f t="shared" si="13"/>
        <v>1</v>
      </c>
      <c r="AQ9" s="66">
        <f t="shared" si="14"/>
        <v>2</v>
      </c>
      <c r="AR9" s="171">
        <f t="shared" si="15"/>
        <v>3</v>
      </c>
      <c r="AS9" s="68">
        <f t="shared" si="16"/>
        <v>7</v>
      </c>
      <c r="AT9" s="202">
        <f t="shared" si="17"/>
        <v>4</v>
      </c>
      <c r="AU9" s="121">
        <v>45657</v>
      </c>
      <c r="AV9" s="177" t="s">
        <v>43</v>
      </c>
    </row>
    <row r="10" spans="1:48" ht="15.75" customHeight="1">
      <c r="A10" s="76" t="s">
        <v>44</v>
      </c>
      <c r="B10" s="81">
        <f t="shared" ref="B10:N10" si="22">SUM(B6:B9)</f>
        <v>3</v>
      </c>
      <c r="C10" s="78">
        <f t="shared" si="22"/>
        <v>156</v>
      </c>
      <c r="D10" s="78">
        <f t="shared" si="22"/>
        <v>3</v>
      </c>
      <c r="E10" s="78">
        <f t="shared" si="22"/>
        <v>159</v>
      </c>
      <c r="F10" s="81">
        <f t="shared" si="22"/>
        <v>107</v>
      </c>
      <c r="G10" s="78">
        <f t="shared" si="22"/>
        <v>121</v>
      </c>
      <c r="H10" s="78">
        <f t="shared" si="22"/>
        <v>4</v>
      </c>
      <c r="I10" s="78">
        <f t="shared" si="22"/>
        <v>125</v>
      </c>
      <c r="J10" s="81">
        <f t="shared" si="22"/>
        <v>137</v>
      </c>
      <c r="K10" s="78">
        <f t="shared" si="22"/>
        <v>97</v>
      </c>
      <c r="L10" s="78">
        <f t="shared" si="22"/>
        <v>0</v>
      </c>
      <c r="M10" s="78">
        <f t="shared" si="22"/>
        <v>97</v>
      </c>
      <c r="N10" s="81">
        <f t="shared" si="22"/>
        <v>98</v>
      </c>
      <c r="O10" s="66"/>
      <c r="P10" s="81">
        <f t="shared" ref="P10:W10" si="23">SUM(P6:P9)</f>
        <v>3</v>
      </c>
      <c r="Q10" s="78">
        <f t="shared" si="23"/>
        <v>374</v>
      </c>
      <c r="R10" s="78">
        <f t="shared" si="23"/>
        <v>7</v>
      </c>
      <c r="S10" s="81">
        <f t="shared" si="23"/>
        <v>384</v>
      </c>
      <c r="T10" s="82">
        <f t="shared" si="23"/>
        <v>342</v>
      </c>
      <c r="U10" s="174">
        <f t="shared" si="23"/>
        <v>-42</v>
      </c>
      <c r="V10" s="93">
        <f t="shared" si="23"/>
        <v>381</v>
      </c>
      <c r="W10" s="81">
        <f t="shared" si="23"/>
        <v>342</v>
      </c>
      <c r="X10" s="205">
        <f>V10/W10</f>
        <v>1.1140350877192982</v>
      </c>
      <c r="Y10" s="31">
        <v>8750</v>
      </c>
      <c r="Z10" s="177"/>
      <c r="AA10" s="35" t="s">
        <v>44</v>
      </c>
      <c r="AB10" s="81">
        <f t="shared" ref="AB10:AN10" si="24">SUM(AB6:AB9)</f>
        <v>17</v>
      </c>
      <c r="AC10" s="78">
        <f t="shared" si="24"/>
        <v>2</v>
      </c>
      <c r="AD10" s="78">
        <f t="shared" si="24"/>
        <v>2</v>
      </c>
      <c r="AE10" s="78">
        <f t="shared" si="24"/>
        <v>26</v>
      </c>
      <c r="AF10" s="78">
        <f t="shared" si="24"/>
        <v>7</v>
      </c>
      <c r="AG10" s="78">
        <f t="shared" si="24"/>
        <v>4</v>
      </c>
      <c r="AH10" s="78">
        <f t="shared" si="24"/>
        <v>11</v>
      </c>
      <c r="AI10" s="78">
        <f t="shared" si="24"/>
        <v>4</v>
      </c>
      <c r="AJ10" s="78">
        <f t="shared" si="24"/>
        <v>2</v>
      </c>
      <c r="AK10" s="78">
        <f t="shared" si="24"/>
        <v>7</v>
      </c>
      <c r="AL10" s="78">
        <f t="shared" si="24"/>
        <v>1</v>
      </c>
      <c r="AM10" s="78">
        <f t="shared" si="24"/>
        <v>10</v>
      </c>
      <c r="AN10" s="78">
        <f t="shared" si="24"/>
        <v>0</v>
      </c>
      <c r="AO10" s="66"/>
      <c r="AP10" s="81">
        <f t="shared" ref="AP10:AT10" si="25">SUM(AP6:AP9)</f>
        <v>17</v>
      </c>
      <c r="AQ10" s="78">
        <f t="shared" si="25"/>
        <v>23</v>
      </c>
      <c r="AR10" s="81">
        <f t="shared" si="25"/>
        <v>40</v>
      </c>
      <c r="AS10" s="92">
        <f t="shared" si="25"/>
        <v>30</v>
      </c>
      <c r="AT10" s="206">
        <f t="shared" si="25"/>
        <v>-10</v>
      </c>
      <c r="AV10" s="177"/>
    </row>
    <row r="11" spans="1:48" ht="15.75" customHeight="1">
      <c r="A11" s="37" t="s">
        <v>46</v>
      </c>
      <c r="B11" s="169">
        <f>-'2024 - Q3'!U11</f>
        <v>16</v>
      </c>
      <c r="C11" s="66">
        <v>41</v>
      </c>
      <c r="D11" s="66"/>
      <c r="E11" s="56">
        <f t="shared" ref="E11:E14" si="26">SUM(C11:D11)</f>
        <v>41</v>
      </c>
      <c r="F11" s="192">
        <f>Targets!H7</f>
        <v>29</v>
      </c>
      <c r="G11" s="193">
        <v>25</v>
      </c>
      <c r="H11" s="39"/>
      <c r="I11" s="56">
        <f t="shared" ref="I11:I14" si="27">SUM(G11:H11)</f>
        <v>25</v>
      </c>
      <c r="J11" s="192">
        <f>Targets!I7</f>
        <v>34</v>
      </c>
      <c r="K11" s="193">
        <v>24</v>
      </c>
      <c r="L11" s="39">
        <v>8</v>
      </c>
      <c r="M11" s="56">
        <f t="shared" ref="M11:M14" si="28">SUM(K11:L11)</f>
        <v>32</v>
      </c>
      <c r="N11" s="192">
        <f>Targets!J7</f>
        <v>20</v>
      </c>
      <c r="O11" s="66"/>
      <c r="P11" s="65">
        <v>16</v>
      </c>
      <c r="Q11" s="66">
        <f t="shared" ref="Q11:R11" si="29">K11+G11+C11</f>
        <v>90</v>
      </c>
      <c r="R11" s="66">
        <f t="shared" si="29"/>
        <v>8</v>
      </c>
      <c r="S11" s="56">
        <f t="shared" ref="S11:S14" si="30">SUM(P11:R11)</f>
        <v>114</v>
      </c>
      <c r="T11" s="198">
        <f t="shared" ref="T11:T14" si="31">N11+J11+F11</f>
        <v>83</v>
      </c>
      <c r="U11" s="172">
        <f t="shared" ref="U11:U14" si="32">T11-S11</f>
        <v>-31</v>
      </c>
      <c r="V11" s="37">
        <f t="shared" ref="V11:V14" si="33">R11+Q11</f>
        <v>98</v>
      </c>
      <c r="W11" s="200">
        <f t="shared" ref="W11:W14" si="34">T11</f>
        <v>83</v>
      </c>
      <c r="X11" s="201">
        <f t="shared" ref="X11:X14" si="35">(Q11+R11)/T11</f>
        <v>1.1807228915662651</v>
      </c>
      <c r="Y11" s="121">
        <v>45656</v>
      </c>
      <c r="Z11" s="177" t="s">
        <v>56</v>
      </c>
      <c r="AA11" s="32" t="s">
        <v>46</v>
      </c>
      <c r="AB11" s="169">
        <f>Targets!AC33</f>
        <v>6</v>
      </c>
      <c r="AC11" s="39">
        <v>0</v>
      </c>
      <c r="AD11" s="56">
        <f t="shared" ref="AD11:AD14" si="36">SUM(AC11)</f>
        <v>0</v>
      </c>
      <c r="AE11" s="57">
        <f>Targets!T48+Targets!U48</f>
        <v>7</v>
      </c>
      <c r="AF11" s="66">
        <v>1</v>
      </c>
      <c r="AG11" s="66">
        <v>2</v>
      </c>
      <c r="AH11" s="56">
        <f t="shared" ref="AH11:AH14" si="37">AG11+AF11</f>
        <v>3</v>
      </c>
      <c r="AI11" s="57">
        <f>Targets!V48</f>
        <v>1</v>
      </c>
      <c r="AJ11" s="66"/>
      <c r="AK11" s="66"/>
      <c r="AL11" s="66">
        <v>1</v>
      </c>
      <c r="AM11" s="56">
        <f t="shared" ref="AM11:AM14" si="38">SUM(AJ11:AL11)</f>
        <v>1</v>
      </c>
      <c r="AN11" s="57">
        <f>Targets!W48</f>
        <v>0</v>
      </c>
      <c r="AO11" s="66"/>
      <c r="AP11" s="170">
        <f t="shared" ref="AP11:AP14" si="39">AB11</f>
        <v>6</v>
      </c>
      <c r="AQ11" s="66">
        <f t="shared" ref="AQ11:AQ14" si="40">AM11+AH11+AD11</f>
        <v>4</v>
      </c>
      <c r="AR11" s="171">
        <f t="shared" ref="AR11:AR14" si="41">AQ11+AP11</f>
        <v>10</v>
      </c>
      <c r="AS11" s="68">
        <f t="shared" ref="AS11:AS13" si="42">AN11+AI11+AE11</f>
        <v>8</v>
      </c>
      <c r="AT11" s="202">
        <f t="shared" ref="AT11:AT14" si="43">AS11-AR11</f>
        <v>-2</v>
      </c>
      <c r="AU11" s="121">
        <v>45656</v>
      </c>
      <c r="AV11" s="177" t="s">
        <v>56</v>
      </c>
    </row>
    <row r="12" spans="1:48" ht="15.75" customHeight="1">
      <c r="A12" s="37" t="s">
        <v>51</v>
      </c>
      <c r="B12" s="169">
        <f>-'2024 - Q3'!U12</f>
        <v>4</v>
      </c>
      <c r="C12" s="66">
        <v>33</v>
      </c>
      <c r="D12" s="66"/>
      <c r="E12" s="56">
        <f t="shared" si="26"/>
        <v>33</v>
      </c>
      <c r="F12" s="192">
        <f>Targets!H8</f>
        <v>22</v>
      </c>
      <c r="G12" s="193">
        <v>35</v>
      </c>
      <c r="H12" s="39">
        <v>1</v>
      </c>
      <c r="I12" s="56">
        <f t="shared" si="27"/>
        <v>36</v>
      </c>
      <c r="J12" s="192">
        <f>Targets!I8</f>
        <v>31</v>
      </c>
      <c r="K12" s="193">
        <v>37</v>
      </c>
      <c r="L12" s="39">
        <v>2</v>
      </c>
      <c r="M12" s="56">
        <f t="shared" si="28"/>
        <v>39</v>
      </c>
      <c r="N12" s="192">
        <f>Targets!J8</f>
        <v>21</v>
      </c>
      <c r="O12" s="66"/>
      <c r="P12" s="170">
        <f t="shared" ref="P12:P14" si="44">B12</f>
        <v>4</v>
      </c>
      <c r="Q12" s="66">
        <f t="shared" ref="Q12:R12" si="45">K12+G12+C12</f>
        <v>105</v>
      </c>
      <c r="R12" s="66">
        <f t="shared" si="45"/>
        <v>3</v>
      </c>
      <c r="S12" s="171">
        <f t="shared" si="30"/>
        <v>112</v>
      </c>
      <c r="T12" s="198">
        <f t="shared" si="31"/>
        <v>74</v>
      </c>
      <c r="U12" s="172">
        <f t="shared" si="32"/>
        <v>-38</v>
      </c>
      <c r="V12" s="37">
        <f t="shared" si="33"/>
        <v>108</v>
      </c>
      <c r="W12" s="200">
        <f t="shared" si="34"/>
        <v>74</v>
      </c>
      <c r="X12" s="201">
        <f t="shared" si="35"/>
        <v>1.4594594594594594</v>
      </c>
      <c r="Y12" s="121">
        <v>45656</v>
      </c>
      <c r="Z12" s="177" t="s">
        <v>56</v>
      </c>
      <c r="AA12" s="32" t="s">
        <v>51</v>
      </c>
      <c r="AB12" s="169">
        <f>Targets!AC32</f>
        <v>2</v>
      </c>
      <c r="AC12" s="39">
        <v>0</v>
      </c>
      <c r="AD12" s="56">
        <f t="shared" si="36"/>
        <v>0</v>
      </c>
      <c r="AE12" s="57">
        <f>Targets!T49+Targets!U49</f>
        <v>7</v>
      </c>
      <c r="AF12" s="66">
        <v>1</v>
      </c>
      <c r="AG12" s="66"/>
      <c r="AH12" s="56">
        <f t="shared" si="37"/>
        <v>1</v>
      </c>
      <c r="AI12" s="57">
        <f>Targets!V49</f>
        <v>1</v>
      </c>
      <c r="AJ12" s="66">
        <v>2</v>
      </c>
      <c r="AK12" s="66"/>
      <c r="AL12" s="66"/>
      <c r="AM12" s="56">
        <f t="shared" si="38"/>
        <v>2</v>
      </c>
      <c r="AN12" s="57">
        <f>Targets!W49</f>
        <v>0</v>
      </c>
      <c r="AO12" s="66"/>
      <c r="AP12" s="170">
        <f t="shared" si="39"/>
        <v>2</v>
      </c>
      <c r="AQ12" s="66">
        <f t="shared" si="40"/>
        <v>3</v>
      </c>
      <c r="AR12" s="171">
        <f t="shared" si="41"/>
        <v>5</v>
      </c>
      <c r="AS12" s="68">
        <f t="shared" si="42"/>
        <v>8</v>
      </c>
      <c r="AT12" s="202">
        <f t="shared" si="43"/>
        <v>3</v>
      </c>
      <c r="AU12" s="121">
        <v>45656</v>
      </c>
      <c r="AV12" s="177" t="s">
        <v>56</v>
      </c>
    </row>
    <row r="13" spans="1:48" ht="15.75" customHeight="1">
      <c r="A13" s="37" t="s">
        <v>52</v>
      </c>
      <c r="B13" s="169">
        <f>-'2024 - Q3'!U13</f>
        <v>29</v>
      </c>
      <c r="C13" s="66">
        <v>35</v>
      </c>
      <c r="D13" s="66"/>
      <c r="E13" s="56">
        <f t="shared" si="26"/>
        <v>35</v>
      </c>
      <c r="F13" s="192">
        <f>Targets!H9</f>
        <v>20</v>
      </c>
      <c r="G13" s="193">
        <v>23</v>
      </c>
      <c r="H13" s="39">
        <v>0</v>
      </c>
      <c r="I13" s="56">
        <f t="shared" si="27"/>
        <v>23</v>
      </c>
      <c r="J13" s="192">
        <f>Targets!I9</f>
        <v>21</v>
      </c>
      <c r="K13" s="193">
        <v>23</v>
      </c>
      <c r="L13" s="39">
        <v>1</v>
      </c>
      <c r="M13" s="56">
        <f t="shared" si="28"/>
        <v>24</v>
      </c>
      <c r="N13" s="192">
        <f>Targets!J9</f>
        <v>13</v>
      </c>
      <c r="O13" s="66"/>
      <c r="P13" s="170">
        <f t="shared" si="44"/>
        <v>29</v>
      </c>
      <c r="Q13" s="66">
        <f t="shared" ref="Q13:R13" si="46">K13+G13+C13</f>
        <v>81</v>
      </c>
      <c r="R13" s="66">
        <f t="shared" si="46"/>
        <v>1</v>
      </c>
      <c r="S13" s="171">
        <f t="shared" si="30"/>
        <v>111</v>
      </c>
      <c r="T13" s="198">
        <f t="shared" si="31"/>
        <v>54</v>
      </c>
      <c r="U13" s="172">
        <f t="shared" si="32"/>
        <v>-57</v>
      </c>
      <c r="V13" s="37">
        <f t="shared" si="33"/>
        <v>82</v>
      </c>
      <c r="W13" s="200">
        <f t="shared" si="34"/>
        <v>54</v>
      </c>
      <c r="X13" s="201">
        <f t="shared" si="35"/>
        <v>1.5185185185185186</v>
      </c>
      <c r="Y13" s="121">
        <v>45656</v>
      </c>
      <c r="Z13" s="177" t="s">
        <v>56</v>
      </c>
      <c r="AA13" s="32" t="s">
        <v>52</v>
      </c>
      <c r="AB13" s="169">
        <f>Targets!AC31</f>
        <v>2</v>
      </c>
      <c r="AC13" s="39">
        <v>1</v>
      </c>
      <c r="AD13" s="56">
        <f t="shared" si="36"/>
        <v>1</v>
      </c>
      <c r="AE13" s="57">
        <f>Targets!T50+Targets!U50</f>
        <v>5</v>
      </c>
      <c r="AF13" s="66">
        <v>0</v>
      </c>
      <c r="AG13" s="66">
        <v>2</v>
      </c>
      <c r="AH13" s="56">
        <f t="shared" si="37"/>
        <v>2</v>
      </c>
      <c r="AI13" s="57">
        <f>Targets!V50</f>
        <v>1</v>
      </c>
      <c r="AJ13" s="66"/>
      <c r="AK13" s="66">
        <v>3</v>
      </c>
      <c r="AL13" s="66"/>
      <c r="AM13" s="56">
        <f t="shared" si="38"/>
        <v>3</v>
      </c>
      <c r="AN13" s="57">
        <f>Targets!W50</f>
        <v>0</v>
      </c>
      <c r="AO13" s="66"/>
      <c r="AP13" s="170">
        <f t="shared" si="39"/>
        <v>2</v>
      </c>
      <c r="AQ13" s="66">
        <f t="shared" si="40"/>
        <v>6</v>
      </c>
      <c r="AR13" s="171">
        <f t="shared" si="41"/>
        <v>8</v>
      </c>
      <c r="AS13" s="68">
        <f t="shared" si="42"/>
        <v>6</v>
      </c>
      <c r="AT13" s="202">
        <f t="shared" si="43"/>
        <v>-2</v>
      </c>
      <c r="AU13" s="121">
        <v>45656</v>
      </c>
      <c r="AV13" s="177" t="s">
        <v>56</v>
      </c>
    </row>
    <row r="14" spans="1:48" ht="15.75" customHeight="1">
      <c r="A14" s="37" t="s">
        <v>53</v>
      </c>
      <c r="B14" s="169">
        <f>-'2024 - Q3'!U14</f>
        <v>1</v>
      </c>
      <c r="C14" s="66">
        <v>54</v>
      </c>
      <c r="D14" s="66"/>
      <c r="E14" s="56">
        <f t="shared" si="26"/>
        <v>54</v>
      </c>
      <c r="F14" s="192">
        <f>Targets!H10</f>
        <v>33</v>
      </c>
      <c r="G14" s="193">
        <v>47</v>
      </c>
      <c r="H14" s="39"/>
      <c r="I14" s="56">
        <f t="shared" si="27"/>
        <v>47</v>
      </c>
      <c r="J14" s="192">
        <f>Targets!I10</f>
        <v>45</v>
      </c>
      <c r="K14" s="193">
        <v>32</v>
      </c>
      <c r="L14" s="39">
        <v>6</v>
      </c>
      <c r="M14" s="56">
        <f t="shared" si="28"/>
        <v>38</v>
      </c>
      <c r="N14" s="192">
        <f>Targets!J10</f>
        <v>27</v>
      </c>
      <c r="O14" s="66"/>
      <c r="P14" s="170">
        <f t="shared" si="44"/>
        <v>1</v>
      </c>
      <c r="Q14" s="66">
        <f t="shared" ref="Q14:R14" si="47">K14+G14+C14</f>
        <v>133</v>
      </c>
      <c r="R14" s="66">
        <f t="shared" si="47"/>
        <v>6</v>
      </c>
      <c r="S14" s="171">
        <f t="shared" si="30"/>
        <v>140</v>
      </c>
      <c r="T14" s="198">
        <f t="shared" si="31"/>
        <v>105</v>
      </c>
      <c r="U14" s="172">
        <f t="shared" si="32"/>
        <v>-35</v>
      </c>
      <c r="V14" s="37">
        <f t="shared" si="33"/>
        <v>139</v>
      </c>
      <c r="W14" s="200">
        <f t="shared" si="34"/>
        <v>105</v>
      </c>
      <c r="X14" s="201">
        <f t="shared" si="35"/>
        <v>1.3238095238095238</v>
      </c>
      <c r="Y14" s="121">
        <v>45656</v>
      </c>
      <c r="Z14" s="177" t="s">
        <v>56</v>
      </c>
      <c r="AA14" s="32" t="s">
        <v>53</v>
      </c>
      <c r="AB14" s="169">
        <f>Targets!AC34</f>
        <v>7</v>
      </c>
      <c r="AC14" s="39">
        <v>1</v>
      </c>
      <c r="AD14" s="56">
        <f t="shared" si="36"/>
        <v>1</v>
      </c>
      <c r="AE14" s="57">
        <f>Targets!T51+Targets!U51</f>
        <v>9</v>
      </c>
      <c r="AF14" s="66">
        <v>0</v>
      </c>
      <c r="AG14" s="66"/>
      <c r="AH14" s="56">
        <f t="shared" si="37"/>
        <v>0</v>
      </c>
      <c r="AI14" s="57">
        <f>Targets!V51</f>
        <v>2</v>
      </c>
      <c r="AJ14" s="66"/>
      <c r="AK14" s="66">
        <v>1</v>
      </c>
      <c r="AL14" s="66"/>
      <c r="AM14" s="56">
        <f t="shared" si="38"/>
        <v>1</v>
      </c>
      <c r="AN14" s="57">
        <f>Targets!W51</f>
        <v>0</v>
      </c>
      <c r="AO14" s="66"/>
      <c r="AP14" s="170">
        <f t="shared" si="39"/>
        <v>7</v>
      </c>
      <c r="AQ14" s="66">
        <f t="shared" si="40"/>
        <v>2</v>
      </c>
      <c r="AR14" s="171">
        <f t="shared" si="41"/>
        <v>9</v>
      </c>
      <c r="AS14" s="68">
        <v>9</v>
      </c>
      <c r="AT14" s="202">
        <f t="shared" si="43"/>
        <v>0</v>
      </c>
      <c r="AU14" s="121">
        <v>45656</v>
      </c>
      <c r="AV14" s="177" t="s">
        <v>56</v>
      </c>
    </row>
    <row r="15" spans="1:48" ht="15.75" customHeight="1">
      <c r="A15" s="76" t="s">
        <v>54</v>
      </c>
      <c r="B15" s="81">
        <f t="shared" ref="B15:N15" si="48">SUM(B11:B14)</f>
        <v>50</v>
      </c>
      <c r="C15" s="78">
        <f t="shared" si="48"/>
        <v>163</v>
      </c>
      <c r="D15" s="78">
        <f t="shared" si="48"/>
        <v>0</v>
      </c>
      <c r="E15" s="78">
        <f t="shared" si="48"/>
        <v>163</v>
      </c>
      <c r="F15" s="81">
        <f t="shared" si="48"/>
        <v>104</v>
      </c>
      <c r="G15" s="78">
        <f t="shared" si="48"/>
        <v>130</v>
      </c>
      <c r="H15" s="78">
        <f t="shared" si="48"/>
        <v>1</v>
      </c>
      <c r="I15" s="78">
        <f t="shared" si="48"/>
        <v>131</v>
      </c>
      <c r="J15" s="81">
        <f t="shared" si="48"/>
        <v>131</v>
      </c>
      <c r="K15" s="78">
        <f t="shared" si="48"/>
        <v>116</v>
      </c>
      <c r="L15" s="78">
        <f t="shared" si="48"/>
        <v>17</v>
      </c>
      <c r="M15" s="78">
        <f t="shared" si="48"/>
        <v>133</v>
      </c>
      <c r="N15" s="81">
        <f t="shared" si="48"/>
        <v>81</v>
      </c>
      <c r="O15" s="66"/>
      <c r="P15" s="78">
        <f t="shared" ref="P15:W15" si="49">SUM(P11:P14)</f>
        <v>50</v>
      </c>
      <c r="Q15" s="78">
        <f t="shared" si="49"/>
        <v>409</v>
      </c>
      <c r="R15" s="78">
        <f t="shared" si="49"/>
        <v>18</v>
      </c>
      <c r="S15" s="78">
        <f t="shared" si="49"/>
        <v>477</v>
      </c>
      <c r="T15" s="82">
        <f t="shared" si="49"/>
        <v>316</v>
      </c>
      <c r="U15" s="174">
        <f t="shared" si="49"/>
        <v>-161</v>
      </c>
      <c r="V15" s="93">
        <f t="shared" si="49"/>
        <v>427</v>
      </c>
      <c r="W15" s="81">
        <f t="shared" si="49"/>
        <v>316</v>
      </c>
      <c r="X15" s="205">
        <f>V15/W15</f>
        <v>1.3512658227848102</v>
      </c>
      <c r="Y15" s="31">
        <v>78000</v>
      </c>
      <c r="Z15" s="177"/>
      <c r="AA15" s="35" t="s">
        <v>54</v>
      </c>
      <c r="AB15" s="81">
        <f t="shared" ref="AB15:AN15" si="50">SUM(AB11:AB14)</f>
        <v>17</v>
      </c>
      <c r="AC15" s="78">
        <f t="shared" si="50"/>
        <v>2</v>
      </c>
      <c r="AD15" s="78">
        <f t="shared" si="50"/>
        <v>2</v>
      </c>
      <c r="AE15" s="78">
        <f t="shared" si="50"/>
        <v>28</v>
      </c>
      <c r="AF15" s="78">
        <f t="shared" si="50"/>
        <v>2</v>
      </c>
      <c r="AG15" s="78">
        <f t="shared" si="50"/>
        <v>4</v>
      </c>
      <c r="AH15" s="78">
        <f t="shared" si="50"/>
        <v>6</v>
      </c>
      <c r="AI15" s="78">
        <f t="shared" si="50"/>
        <v>5</v>
      </c>
      <c r="AJ15" s="78">
        <f t="shared" si="50"/>
        <v>2</v>
      </c>
      <c r="AK15" s="78">
        <f t="shared" si="50"/>
        <v>4</v>
      </c>
      <c r="AL15" s="78">
        <f t="shared" si="50"/>
        <v>1</v>
      </c>
      <c r="AM15" s="78">
        <f t="shared" si="50"/>
        <v>7</v>
      </c>
      <c r="AN15" s="78">
        <f t="shared" si="50"/>
        <v>0</v>
      </c>
      <c r="AO15" s="66"/>
      <c r="AP15" s="81">
        <f t="shared" ref="AP15:AT15" si="51">SUM(AP11:AP14)</f>
        <v>17</v>
      </c>
      <c r="AQ15" s="78">
        <f t="shared" si="51"/>
        <v>15</v>
      </c>
      <c r="AR15" s="81">
        <f t="shared" si="51"/>
        <v>32</v>
      </c>
      <c r="AS15" s="92">
        <f t="shared" si="51"/>
        <v>31</v>
      </c>
      <c r="AT15" s="206">
        <f t="shared" si="51"/>
        <v>-1</v>
      </c>
      <c r="AV15" s="177"/>
    </row>
    <row r="16" spans="1:48" ht="15.75" customHeight="1">
      <c r="A16" s="37" t="s">
        <v>55</v>
      </c>
      <c r="B16" s="169">
        <f>-'2024 - Q3'!U16</f>
        <v>12</v>
      </c>
      <c r="C16" s="66">
        <v>30</v>
      </c>
      <c r="D16" s="66">
        <v>4</v>
      </c>
      <c r="E16" s="56">
        <f t="shared" ref="E16:E18" si="52">SUM(C16:D16)</f>
        <v>34</v>
      </c>
      <c r="F16" s="192">
        <f>Targets!H12</f>
        <v>20</v>
      </c>
      <c r="G16" s="193">
        <v>21</v>
      </c>
      <c r="H16" s="39">
        <v>8</v>
      </c>
      <c r="I16" s="56">
        <f t="shared" ref="I16:I18" si="53">SUM(G16:H16)</f>
        <v>29</v>
      </c>
      <c r="J16" s="192">
        <f>Targets!I12</f>
        <v>31</v>
      </c>
      <c r="K16" s="193">
        <v>17</v>
      </c>
      <c r="L16" s="39">
        <v>6</v>
      </c>
      <c r="M16" s="56">
        <f t="shared" ref="M16:M18" si="54">SUM(K16:L16)</f>
        <v>23</v>
      </c>
      <c r="N16" s="192">
        <f>Targets!J12</f>
        <v>24</v>
      </c>
      <c r="O16" s="66"/>
      <c r="P16" s="170">
        <f t="shared" ref="P16:P18" si="55">B16</f>
        <v>12</v>
      </c>
      <c r="Q16" s="66">
        <f t="shared" ref="Q16:R16" si="56">K16+G16+C16</f>
        <v>68</v>
      </c>
      <c r="R16" s="66">
        <f t="shared" si="56"/>
        <v>18</v>
      </c>
      <c r="S16" s="171">
        <f t="shared" ref="S16:S18" si="57">SUM(P16:R16)</f>
        <v>98</v>
      </c>
      <c r="T16" s="198">
        <f t="shared" ref="T16:T18" si="58">N16+J16+F16</f>
        <v>75</v>
      </c>
      <c r="U16" s="172">
        <f t="shared" ref="U16:U18" si="59">T16-S16</f>
        <v>-23</v>
      </c>
      <c r="V16" s="37">
        <f t="shared" ref="V16:V18" si="60">R16+Q16</f>
        <v>86</v>
      </c>
      <c r="W16" s="200">
        <f t="shared" ref="W16:W18" si="61">T16</f>
        <v>75</v>
      </c>
      <c r="X16" s="201">
        <f t="shared" ref="X16:X18" si="62">(Q16+R16)/T16</f>
        <v>1.1466666666666667</v>
      </c>
      <c r="Y16" s="121">
        <v>45657</v>
      </c>
      <c r="Z16" s="177" t="s">
        <v>80</v>
      </c>
      <c r="AA16" s="32" t="s">
        <v>55</v>
      </c>
      <c r="AB16" s="169">
        <f>Targets!AC35</f>
        <v>3</v>
      </c>
      <c r="AC16" s="39">
        <v>0</v>
      </c>
      <c r="AD16" s="56">
        <f t="shared" ref="AD16:AD18" si="63">SUM(AC16)</f>
        <v>0</v>
      </c>
      <c r="AE16" s="57">
        <f>Targets!T53+Targets!U53</f>
        <v>6</v>
      </c>
      <c r="AF16" s="66">
        <v>0</v>
      </c>
      <c r="AG16" s="66"/>
      <c r="AH16" s="56">
        <f t="shared" ref="AH16:AH18" si="64">AG16+AF16</f>
        <v>0</v>
      </c>
      <c r="AI16" s="57">
        <f>Targets!V53</f>
        <v>1</v>
      </c>
      <c r="AJ16" s="66"/>
      <c r="AK16" s="66">
        <v>1</v>
      </c>
      <c r="AL16" s="66">
        <v>1</v>
      </c>
      <c r="AM16" s="56">
        <f t="shared" ref="AM16:AM18" si="65">SUM(AJ16:AL16)</f>
        <v>2</v>
      </c>
      <c r="AN16" s="57">
        <f>Targets!W53</f>
        <v>0</v>
      </c>
      <c r="AO16" s="66"/>
      <c r="AP16" s="170">
        <f t="shared" ref="AP16:AP18" si="66">AB16</f>
        <v>3</v>
      </c>
      <c r="AQ16" s="66">
        <f t="shared" ref="AQ16:AQ18" si="67">AM16+AH16+AD16</f>
        <v>2</v>
      </c>
      <c r="AR16" s="171">
        <f t="shared" ref="AR16:AR18" si="68">AQ16+AP16</f>
        <v>5</v>
      </c>
      <c r="AS16" s="68">
        <f t="shared" ref="AS16:AS18" si="69">AN16+AI16+AE16</f>
        <v>7</v>
      </c>
      <c r="AT16" s="202">
        <f t="shared" ref="AT16:AT18" si="70">AS16-AR16</f>
        <v>2</v>
      </c>
      <c r="AU16" s="121">
        <v>45657</v>
      </c>
      <c r="AV16" s="177" t="s">
        <v>80</v>
      </c>
    </row>
    <row r="17" spans="1:48" ht="15.75" customHeight="1">
      <c r="A17" s="37" t="s">
        <v>57</v>
      </c>
      <c r="B17" s="169">
        <f>-'2024 - Q3'!U17</f>
        <v>-15</v>
      </c>
      <c r="C17" s="66">
        <v>34</v>
      </c>
      <c r="D17" s="66">
        <v>9</v>
      </c>
      <c r="E17" s="56">
        <f t="shared" si="52"/>
        <v>43</v>
      </c>
      <c r="F17" s="192">
        <f>Targets!H13</f>
        <v>28</v>
      </c>
      <c r="G17" s="193">
        <v>36</v>
      </c>
      <c r="H17" s="39">
        <v>1</v>
      </c>
      <c r="I17" s="56">
        <f t="shared" si="53"/>
        <v>37</v>
      </c>
      <c r="J17" s="192">
        <f>Targets!I13</f>
        <v>36</v>
      </c>
      <c r="K17" s="193">
        <v>31</v>
      </c>
      <c r="L17" s="39"/>
      <c r="M17" s="56">
        <f t="shared" si="54"/>
        <v>31</v>
      </c>
      <c r="N17" s="192">
        <f>Targets!J13</f>
        <v>24</v>
      </c>
      <c r="O17" s="66"/>
      <c r="P17" s="170">
        <f t="shared" si="55"/>
        <v>-15</v>
      </c>
      <c r="Q17" s="66">
        <f t="shared" ref="Q17:R17" si="71">K17+G17+C17</f>
        <v>101</v>
      </c>
      <c r="R17" s="66">
        <f t="shared" si="71"/>
        <v>10</v>
      </c>
      <c r="S17" s="171">
        <f t="shared" si="57"/>
        <v>96</v>
      </c>
      <c r="T17" s="198">
        <f t="shared" si="58"/>
        <v>88</v>
      </c>
      <c r="U17" s="172">
        <f t="shared" si="59"/>
        <v>-8</v>
      </c>
      <c r="V17" s="37">
        <f t="shared" si="60"/>
        <v>111</v>
      </c>
      <c r="W17" s="200">
        <f t="shared" si="61"/>
        <v>88</v>
      </c>
      <c r="X17" s="201">
        <f t="shared" si="62"/>
        <v>1.2613636363636365</v>
      </c>
      <c r="Y17" s="121">
        <v>45657</v>
      </c>
      <c r="Z17" s="177" t="s">
        <v>80</v>
      </c>
      <c r="AA17" s="32" t="s">
        <v>57</v>
      </c>
      <c r="AB17" s="169">
        <f>Targets!AC36</f>
        <v>4</v>
      </c>
      <c r="AC17" s="39">
        <v>0</v>
      </c>
      <c r="AD17" s="56">
        <f t="shared" si="63"/>
        <v>0</v>
      </c>
      <c r="AE17" s="57">
        <f>Targets!T54+Targets!U54</f>
        <v>7</v>
      </c>
      <c r="AF17" s="66">
        <v>2</v>
      </c>
      <c r="AG17" s="66"/>
      <c r="AH17" s="56">
        <f t="shared" si="64"/>
        <v>2</v>
      </c>
      <c r="AI17" s="57">
        <f>Targets!V54</f>
        <v>1</v>
      </c>
      <c r="AJ17" s="66"/>
      <c r="AK17" s="66"/>
      <c r="AL17" s="66">
        <v>1</v>
      </c>
      <c r="AM17" s="56">
        <f t="shared" si="65"/>
        <v>1</v>
      </c>
      <c r="AN17" s="57">
        <f>Targets!W54</f>
        <v>0</v>
      </c>
      <c r="AO17" s="66"/>
      <c r="AP17" s="170">
        <f t="shared" si="66"/>
        <v>4</v>
      </c>
      <c r="AQ17" s="66">
        <f t="shared" si="67"/>
        <v>3</v>
      </c>
      <c r="AR17" s="171">
        <f t="shared" si="68"/>
        <v>7</v>
      </c>
      <c r="AS17" s="68">
        <f t="shared" si="69"/>
        <v>8</v>
      </c>
      <c r="AT17" s="202">
        <f t="shared" si="70"/>
        <v>1</v>
      </c>
      <c r="AU17" s="121">
        <v>45657</v>
      </c>
      <c r="AV17" s="177" t="s">
        <v>80</v>
      </c>
    </row>
    <row r="18" spans="1:48" ht="15.75" customHeight="1">
      <c r="A18" s="37" t="s">
        <v>58</v>
      </c>
      <c r="B18" s="169">
        <f>-'2024 - Q3'!U18</f>
        <v>4</v>
      </c>
      <c r="C18" s="66">
        <v>15</v>
      </c>
      <c r="D18" s="66">
        <v>1</v>
      </c>
      <c r="E18" s="56">
        <f t="shared" si="52"/>
        <v>16</v>
      </c>
      <c r="F18" s="192">
        <f>Targets!H14</f>
        <v>9</v>
      </c>
      <c r="G18" s="193">
        <v>14</v>
      </c>
      <c r="H18" s="39"/>
      <c r="I18" s="56">
        <f t="shared" si="53"/>
        <v>14</v>
      </c>
      <c r="J18" s="192">
        <f>Targets!I14</f>
        <v>16</v>
      </c>
      <c r="K18" s="193">
        <v>14</v>
      </c>
      <c r="L18" s="39">
        <v>2</v>
      </c>
      <c r="M18" s="56">
        <f t="shared" si="54"/>
        <v>16</v>
      </c>
      <c r="N18" s="192">
        <f>Targets!J14</f>
        <v>9</v>
      </c>
      <c r="O18" s="66"/>
      <c r="P18" s="170">
        <f t="shared" si="55"/>
        <v>4</v>
      </c>
      <c r="Q18" s="66">
        <f t="shared" ref="Q18:R18" si="72">K18+G18+C18</f>
        <v>43</v>
      </c>
      <c r="R18" s="66">
        <f t="shared" si="72"/>
        <v>3</v>
      </c>
      <c r="S18" s="171">
        <f t="shared" si="57"/>
        <v>50</v>
      </c>
      <c r="T18" s="198">
        <f t="shared" si="58"/>
        <v>34</v>
      </c>
      <c r="U18" s="172">
        <f t="shared" si="59"/>
        <v>-16</v>
      </c>
      <c r="V18" s="37">
        <f t="shared" si="60"/>
        <v>46</v>
      </c>
      <c r="W18" s="200">
        <f t="shared" si="61"/>
        <v>34</v>
      </c>
      <c r="X18" s="201">
        <f t="shared" si="62"/>
        <v>1.3529411764705883</v>
      </c>
      <c r="Y18" s="121">
        <v>45657</v>
      </c>
      <c r="Z18" s="177" t="s">
        <v>80</v>
      </c>
      <c r="AA18" s="32" t="s">
        <v>58</v>
      </c>
      <c r="AB18" s="169">
        <f>Targets!AC37</f>
        <v>1</v>
      </c>
      <c r="AC18" s="39">
        <v>1</v>
      </c>
      <c r="AD18" s="56">
        <f t="shared" si="63"/>
        <v>1</v>
      </c>
      <c r="AE18" s="57">
        <f>Targets!T55+Targets!U55</f>
        <v>2</v>
      </c>
      <c r="AF18" s="66">
        <v>0</v>
      </c>
      <c r="AG18" s="66"/>
      <c r="AH18" s="56">
        <f t="shared" si="64"/>
        <v>0</v>
      </c>
      <c r="AI18" s="57">
        <f>Targets!V55</f>
        <v>1</v>
      </c>
      <c r="AJ18" s="66"/>
      <c r="AK18" s="66"/>
      <c r="AL18" s="66">
        <v>2</v>
      </c>
      <c r="AM18" s="56">
        <f t="shared" si="65"/>
        <v>2</v>
      </c>
      <c r="AN18" s="57">
        <f>Targets!W55</f>
        <v>0</v>
      </c>
      <c r="AO18" s="66"/>
      <c r="AP18" s="170">
        <f t="shared" si="66"/>
        <v>1</v>
      </c>
      <c r="AQ18" s="66">
        <f t="shared" si="67"/>
        <v>3</v>
      </c>
      <c r="AR18" s="171">
        <f t="shared" si="68"/>
        <v>4</v>
      </c>
      <c r="AS18" s="68">
        <f t="shared" si="69"/>
        <v>3</v>
      </c>
      <c r="AT18" s="202">
        <f t="shared" si="70"/>
        <v>-1</v>
      </c>
      <c r="AU18" s="121">
        <v>45657</v>
      </c>
      <c r="AV18" s="177" t="s">
        <v>80</v>
      </c>
    </row>
    <row r="19" spans="1:48" ht="15.75" customHeight="1">
      <c r="A19" s="76" t="s">
        <v>59</v>
      </c>
      <c r="B19" s="81">
        <f t="shared" ref="B19:N19" si="73">SUM(B16:B18)</f>
        <v>1</v>
      </c>
      <c r="C19" s="78">
        <f t="shared" si="73"/>
        <v>79</v>
      </c>
      <c r="D19" s="78">
        <f t="shared" si="73"/>
        <v>14</v>
      </c>
      <c r="E19" s="78">
        <f t="shared" si="73"/>
        <v>93</v>
      </c>
      <c r="F19" s="81">
        <f t="shared" si="73"/>
        <v>57</v>
      </c>
      <c r="G19" s="78">
        <f t="shared" si="73"/>
        <v>71</v>
      </c>
      <c r="H19" s="78">
        <f t="shared" si="73"/>
        <v>9</v>
      </c>
      <c r="I19" s="78">
        <f t="shared" si="73"/>
        <v>80</v>
      </c>
      <c r="J19" s="81">
        <f t="shared" si="73"/>
        <v>83</v>
      </c>
      <c r="K19" s="78">
        <f t="shared" si="73"/>
        <v>62</v>
      </c>
      <c r="L19" s="78">
        <f t="shared" si="73"/>
        <v>8</v>
      </c>
      <c r="M19" s="78">
        <f t="shared" si="73"/>
        <v>70</v>
      </c>
      <c r="N19" s="81">
        <f t="shared" si="73"/>
        <v>57</v>
      </c>
      <c r="O19" s="66"/>
      <c r="P19" s="81">
        <f t="shared" ref="P19:W19" si="74">SUM(P16:P18)</f>
        <v>1</v>
      </c>
      <c r="Q19" s="78">
        <f t="shared" si="74"/>
        <v>212</v>
      </c>
      <c r="R19" s="78">
        <f t="shared" si="74"/>
        <v>31</v>
      </c>
      <c r="S19" s="81">
        <f t="shared" si="74"/>
        <v>244</v>
      </c>
      <c r="T19" s="82">
        <f t="shared" si="74"/>
        <v>197</v>
      </c>
      <c r="U19" s="174">
        <f t="shared" si="74"/>
        <v>-47</v>
      </c>
      <c r="V19" s="93">
        <f t="shared" si="74"/>
        <v>243</v>
      </c>
      <c r="W19" s="81">
        <f t="shared" si="74"/>
        <v>197</v>
      </c>
      <c r="X19" s="205">
        <f>V19/W19</f>
        <v>1.233502538071066</v>
      </c>
      <c r="Y19" s="31">
        <v>21500</v>
      </c>
      <c r="Z19" s="177"/>
      <c r="AA19" s="35" t="s">
        <v>59</v>
      </c>
      <c r="AB19" s="81">
        <f t="shared" ref="AB19:AN19" si="75">SUM(AB16:AB18)</f>
        <v>8</v>
      </c>
      <c r="AC19" s="78">
        <f t="shared" si="75"/>
        <v>1</v>
      </c>
      <c r="AD19" s="78">
        <f t="shared" si="75"/>
        <v>1</v>
      </c>
      <c r="AE19" s="78">
        <f t="shared" si="75"/>
        <v>15</v>
      </c>
      <c r="AF19" s="78">
        <f t="shared" si="75"/>
        <v>2</v>
      </c>
      <c r="AG19" s="78">
        <f t="shared" si="75"/>
        <v>0</v>
      </c>
      <c r="AH19" s="78">
        <f t="shared" si="75"/>
        <v>2</v>
      </c>
      <c r="AI19" s="78">
        <f t="shared" si="75"/>
        <v>3</v>
      </c>
      <c r="AJ19" s="78">
        <f t="shared" si="75"/>
        <v>0</v>
      </c>
      <c r="AK19" s="78">
        <f t="shared" si="75"/>
        <v>1</v>
      </c>
      <c r="AL19" s="78">
        <f t="shared" si="75"/>
        <v>4</v>
      </c>
      <c r="AM19" s="78">
        <f t="shared" si="75"/>
        <v>5</v>
      </c>
      <c r="AN19" s="78">
        <f t="shared" si="75"/>
        <v>0</v>
      </c>
      <c r="AO19" s="66"/>
      <c r="AP19" s="81">
        <f t="shared" ref="AP19:AT19" si="76">SUM(AP16:AP18)</f>
        <v>8</v>
      </c>
      <c r="AQ19" s="78">
        <f t="shared" si="76"/>
        <v>8</v>
      </c>
      <c r="AR19" s="81">
        <f t="shared" si="76"/>
        <v>16</v>
      </c>
      <c r="AS19" s="92">
        <f t="shared" si="76"/>
        <v>18</v>
      </c>
      <c r="AT19" s="206">
        <f t="shared" si="76"/>
        <v>2</v>
      </c>
    </row>
    <row r="20" spans="1:48" ht="15.75" customHeight="1">
      <c r="A20" s="7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 t="s">
        <v>68</v>
      </c>
      <c r="P20" s="66"/>
      <c r="Q20" s="66"/>
      <c r="R20" s="66"/>
      <c r="S20" s="66"/>
      <c r="T20" s="104"/>
      <c r="U20" s="37"/>
      <c r="V20" s="105"/>
      <c r="W20" s="106"/>
      <c r="X20" s="218"/>
      <c r="Z20" s="177"/>
      <c r="AA20" s="35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104"/>
      <c r="AT20" s="191"/>
    </row>
    <row r="21" spans="1:48" ht="15.75" customHeight="1">
      <c r="A21" s="37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104"/>
      <c r="U21" s="37"/>
      <c r="V21" s="105"/>
      <c r="W21" s="106"/>
      <c r="X21" s="218"/>
      <c r="Z21" s="29"/>
      <c r="AA21" s="32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104"/>
      <c r="AT21" s="191"/>
    </row>
    <row r="22" spans="1:48" ht="15.75" customHeight="1">
      <c r="A22" s="96" t="s">
        <v>14</v>
      </c>
      <c r="B22" s="97">
        <f t="shared" ref="B22:N22" si="77">B19+B15+B10</f>
        <v>54</v>
      </c>
      <c r="C22" s="97">
        <f t="shared" si="77"/>
        <v>398</v>
      </c>
      <c r="D22" s="97">
        <f t="shared" si="77"/>
        <v>17</v>
      </c>
      <c r="E22" s="97">
        <f t="shared" si="77"/>
        <v>415</v>
      </c>
      <c r="F22" s="97">
        <f t="shared" si="77"/>
        <v>268</v>
      </c>
      <c r="G22" s="97">
        <f t="shared" si="77"/>
        <v>322</v>
      </c>
      <c r="H22" s="97">
        <f t="shared" si="77"/>
        <v>14</v>
      </c>
      <c r="I22" s="97">
        <f t="shared" si="77"/>
        <v>336</v>
      </c>
      <c r="J22" s="97">
        <f t="shared" si="77"/>
        <v>351</v>
      </c>
      <c r="K22" s="97">
        <f t="shared" si="77"/>
        <v>275</v>
      </c>
      <c r="L22" s="97">
        <f t="shared" si="77"/>
        <v>25</v>
      </c>
      <c r="M22" s="97">
        <f t="shared" si="77"/>
        <v>300</v>
      </c>
      <c r="N22" s="97">
        <f t="shared" si="77"/>
        <v>236</v>
      </c>
      <c r="O22" s="127"/>
      <c r="P22" s="97">
        <f t="shared" ref="P22:W22" si="78">P19+P15+P10</f>
        <v>54</v>
      </c>
      <c r="Q22" s="97">
        <f t="shared" si="78"/>
        <v>995</v>
      </c>
      <c r="R22" s="97">
        <f t="shared" si="78"/>
        <v>56</v>
      </c>
      <c r="S22" s="97">
        <f t="shared" si="78"/>
        <v>1105</v>
      </c>
      <c r="T22" s="99">
        <f t="shared" si="78"/>
        <v>855</v>
      </c>
      <c r="U22" s="194">
        <f t="shared" si="78"/>
        <v>-250</v>
      </c>
      <c r="V22" s="194">
        <f t="shared" si="78"/>
        <v>1051</v>
      </c>
      <c r="W22" s="97">
        <f t="shared" si="78"/>
        <v>855</v>
      </c>
      <c r="X22" s="219">
        <f>(Q22+R22)/T22</f>
        <v>1.2292397660818712</v>
      </c>
      <c r="Y22" s="31">
        <v>91000</v>
      </c>
      <c r="Z22" s="177"/>
      <c r="AA22" s="126" t="s">
        <v>14</v>
      </c>
      <c r="AB22" s="97">
        <f t="shared" ref="AB22:AN22" si="79">AB19+AB15+AB10</f>
        <v>42</v>
      </c>
      <c r="AC22" s="97">
        <f t="shared" si="79"/>
        <v>5</v>
      </c>
      <c r="AD22" s="97">
        <f t="shared" si="79"/>
        <v>5</v>
      </c>
      <c r="AE22" s="97">
        <f t="shared" si="79"/>
        <v>69</v>
      </c>
      <c r="AF22" s="97">
        <f t="shared" si="79"/>
        <v>11</v>
      </c>
      <c r="AG22" s="97">
        <f t="shared" si="79"/>
        <v>8</v>
      </c>
      <c r="AH22" s="97">
        <f t="shared" si="79"/>
        <v>19</v>
      </c>
      <c r="AI22" s="97">
        <f t="shared" si="79"/>
        <v>12</v>
      </c>
      <c r="AJ22" s="97">
        <f t="shared" si="79"/>
        <v>4</v>
      </c>
      <c r="AK22" s="97">
        <f t="shared" si="79"/>
        <v>12</v>
      </c>
      <c r="AL22" s="97">
        <f t="shared" si="79"/>
        <v>6</v>
      </c>
      <c r="AM22" s="97">
        <f t="shared" si="79"/>
        <v>22</v>
      </c>
      <c r="AN22" s="97">
        <f t="shared" si="79"/>
        <v>0</v>
      </c>
      <c r="AO22" s="127"/>
      <c r="AP22" s="97">
        <f t="shared" ref="AP22:AT22" si="80">AP19+AP15+AP10</f>
        <v>42</v>
      </c>
      <c r="AQ22" s="97">
        <f t="shared" si="80"/>
        <v>46</v>
      </c>
      <c r="AR22" s="97">
        <f t="shared" si="80"/>
        <v>88</v>
      </c>
      <c r="AS22" s="99">
        <f t="shared" si="80"/>
        <v>79</v>
      </c>
      <c r="AT22" s="196">
        <f t="shared" si="80"/>
        <v>-9</v>
      </c>
    </row>
    <row r="24" spans="1:48" ht="15.75" customHeight="1">
      <c r="A24" s="292" t="s">
        <v>63</v>
      </c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276"/>
      <c r="V24" s="220"/>
      <c r="W24" s="221"/>
      <c r="X24" s="220"/>
      <c r="Y24" s="15" t="s">
        <v>2</v>
      </c>
      <c r="Z24" s="120" t="s">
        <v>3</v>
      </c>
      <c r="AA24" s="24" t="s">
        <v>13</v>
      </c>
      <c r="AB24" s="199">
        <f>AB22</f>
        <v>42</v>
      </c>
      <c r="AD24" s="199">
        <f>AD22</f>
        <v>5</v>
      </c>
      <c r="AH24" s="199">
        <f>AH22</f>
        <v>19</v>
      </c>
      <c r="AI24" s="222">
        <f>SUM(AB24:AH24)</f>
        <v>66</v>
      </c>
    </row>
    <row r="25" spans="1:48" ht="15.75" customHeight="1">
      <c r="A25" s="32"/>
      <c r="B25" s="130"/>
      <c r="C25" s="277" t="s">
        <v>112</v>
      </c>
      <c r="D25" s="278"/>
      <c r="E25" s="278"/>
      <c r="F25" s="278"/>
      <c r="G25" s="277" t="s">
        <v>113</v>
      </c>
      <c r="H25" s="278"/>
      <c r="I25" s="278"/>
      <c r="J25" s="278"/>
      <c r="K25" s="277" t="s">
        <v>114</v>
      </c>
      <c r="L25" s="278"/>
      <c r="M25" s="278"/>
      <c r="N25" s="278"/>
      <c r="O25" s="29"/>
      <c r="P25" s="130"/>
      <c r="Q25" s="277" t="s">
        <v>14</v>
      </c>
      <c r="R25" s="278"/>
      <c r="S25" s="278"/>
      <c r="T25" s="279"/>
      <c r="V25" s="31">
        <v>1112</v>
      </c>
      <c r="W25" s="58">
        <f>V25-V22</f>
        <v>61</v>
      </c>
      <c r="Z25" s="29"/>
    </row>
    <row r="26" spans="1:48" ht="15.75" customHeight="1">
      <c r="A26" s="35"/>
      <c r="B26" s="130"/>
      <c r="C26" s="132" t="s">
        <v>65</v>
      </c>
      <c r="D26" s="132" t="s">
        <v>66</v>
      </c>
      <c r="E26" s="132" t="s">
        <v>28</v>
      </c>
      <c r="F26" s="132" t="s">
        <v>67</v>
      </c>
      <c r="G26" s="132" t="s">
        <v>65</v>
      </c>
      <c r="H26" s="132" t="s">
        <v>66</v>
      </c>
      <c r="I26" s="132" t="s">
        <v>28</v>
      </c>
      <c r="J26" s="132" t="s">
        <v>67</v>
      </c>
      <c r="K26" s="132" t="s">
        <v>65</v>
      </c>
      <c r="L26" s="132" t="s">
        <v>66</v>
      </c>
      <c r="M26" s="132" t="s">
        <v>28</v>
      </c>
      <c r="N26" s="132" t="s">
        <v>67</v>
      </c>
      <c r="O26" s="38"/>
      <c r="P26" s="132"/>
      <c r="Q26" s="132" t="s">
        <v>65</v>
      </c>
      <c r="R26" s="132" t="s">
        <v>66</v>
      </c>
      <c r="S26" s="132" t="s">
        <v>28</v>
      </c>
      <c r="T26" s="135" t="s">
        <v>67</v>
      </c>
      <c r="V26" s="31">
        <f>445-374</f>
        <v>71</v>
      </c>
      <c r="W26" s="31" t="s">
        <v>132</v>
      </c>
      <c r="Z26" s="177"/>
      <c r="AO26" s="31" t="s">
        <v>68</v>
      </c>
    </row>
    <row r="27" spans="1:48" ht="14.4">
      <c r="A27" s="32" t="s">
        <v>24</v>
      </c>
      <c r="B27" s="130"/>
      <c r="C27" s="39">
        <v>90</v>
      </c>
      <c r="D27" s="39">
        <v>0</v>
      </c>
      <c r="E27" s="56">
        <f t="shared" ref="E27:E30" si="81">SUM(C27:D27)</f>
        <v>90</v>
      </c>
      <c r="F27" s="57">
        <v>155</v>
      </c>
      <c r="G27" s="124">
        <v>135</v>
      </c>
      <c r="H27" s="39"/>
      <c r="I27" s="56">
        <f t="shared" ref="I27:I30" si="82">SUM(G27:H27)</f>
        <v>135</v>
      </c>
      <c r="J27" s="57">
        <v>115</v>
      </c>
      <c r="K27" s="124">
        <v>194</v>
      </c>
      <c r="L27" s="39"/>
      <c r="M27" s="56">
        <f t="shared" ref="M27:M30" si="83">SUM(K27:L27)</f>
        <v>194</v>
      </c>
      <c r="N27" s="57">
        <v>110</v>
      </c>
      <c r="O27" s="66"/>
      <c r="P27" s="65">
        <f t="shared" ref="P27:P41" si="84">B27</f>
        <v>0</v>
      </c>
      <c r="Q27" s="66">
        <f t="shared" ref="Q27:R27" si="85">K27+G27+C27</f>
        <v>419</v>
      </c>
      <c r="R27" s="66">
        <f t="shared" si="85"/>
        <v>0</v>
      </c>
      <c r="S27" s="56">
        <f t="shared" ref="S27:S30" si="86">SUM(P27:R27)</f>
        <v>419</v>
      </c>
      <c r="T27" s="68">
        <f t="shared" ref="T27:T30" si="87">N27+J27+F27</f>
        <v>380</v>
      </c>
      <c r="V27" s="31">
        <v>2</v>
      </c>
      <c r="W27" s="31" t="s">
        <v>133</v>
      </c>
      <c r="Y27" s="121">
        <v>45657</v>
      </c>
      <c r="Z27" s="177" t="s">
        <v>43</v>
      </c>
      <c r="AO27" s="31" t="s">
        <v>134</v>
      </c>
    </row>
    <row r="28" spans="1:48" ht="14.4">
      <c r="A28" s="32" t="s">
        <v>36</v>
      </c>
      <c r="B28" s="130"/>
      <c r="C28" s="39">
        <v>12</v>
      </c>
      <c r="D28" s="39">
        <v>0</v>
      </c>
      <c r="E28" s="56">
        <f t="shared" si="81"/>
        <v>12</v>
      </c>
      <c r="F28" s="57">
        <v>28</v>
      </c>
      <c r="G28" s="124">
        <v>19</v>
      </c>
      <c r="H28" s="39"/>
      <c r="I28" s="56">
        <f t="shared" si="82"/>
        <v>19</v>
      </c>
      <c r="J28" s="57">
        <v>13</v>
      </c>
      <c r="K28" s="124">
        <v>32</v>
      </c>
      <c r="L28" s="39"/>
      <c r="M28" s="56">
        <f t="shared" si="83"/>
        <v>32</v>
      </c>
      <c r="N28" s="57">
        <v>16</v>
      </c>
      <c r="O28" s="66"/>
      <c r="P28" s="65">
        <f t="shared" si="84"/>
        <v>0</v>
      </c>
      <c r="Q28" s="66">
        <f t="shared" ref="Q28:R28" si="88">K28+G28+C28</f>
        <v>63</v>
      </c>
      <c r="R28" s="66">
        <f t="shared" si="88"/>
        <v>0</v>
      </c>
      <c r="S28" s="56">
        <f t="shared" si="86"/>
        <v>63</v>
      </c>
      <c r="T28" s="68">
        <f t="shared" si="87"/>
        <v>57</v>
      </c>
      <c r="V28" s="31">
        <f>256-238</f>
        <v>18</v>
      </c>
      <c r="W28" s="31" t="s">
        <v>143</v>
      </c>
      <c r="Y28" s="121">
        <v>45657</v>
      </c>
      <c r="Z28" s="177" t="s">
        <v>43</v>
      </c>
      <c r="AO28" s="31" t="s">
        <v>24</v>
      </c>
      <c r="AR28" s="31">
        <v>3</v>
      </c>
    </row>
    <row r="29" spans="1:48" ht="14.4">
      <c r="A29" s="32" t="s">
        <v>40</v>
      </c>
      <c r="B29" s="130"/>
      <c r="C29" s="39"/>
      <c r="D29" s="39"/>
      <c r="E29" s="56">
        <f t="shared" si="81"/>
        <v>0</v>
      </c>
      <c r="F29" s="57"/>
      <c r="G29" s="124"/>
      <c r="H29" s="39"/>
      <c r="I29" s="56">
        <f t="shared" si="82"/>
        <v>0</v>
      </c>
      <c r="J29" s="57"/>
      <c r="K29" s="124"/>
      <c r="L29" s="39"/>
      <c r="M29" s="56">
        <f t="shared" si="83"/>
        <v>0</v>
      </c>
      <c r="N29" s="57"/>
      <c r="O29" s="66"/>
      <c r="P29" s="65">
        <f t="shared" si="84"/>
        <v>0</v>
      </c>
      <c r="Q29" s="66">
        <f t="shared" ref="Q29:R29" si="89">K29+G29+C29</f>
        <v>0</v>
      </c>
      <c r="R29" s="66">
        <f t="shared" si="89"/>
        <v>0</v>
      </c>
      <c r="S29" s="56">
        <f t="shared" si="86"/>
        <v>0</v>
      </c>
      <c r="T29" s="68">
        <f t="shared" si="87"/>
        <v>0</v>
      </c>
      <c r="Y29" s="121">
        <v>45657</v>
      </c>
      <c r="Z29" s="177" t="s">
        <v>43</v>
      </c>
      <c r="AO29" s="31" t="s">
        <v>52</v>
      </c>
      <c r="AR29" s="31">
        <v>3</v>
      </c>
    </row>
    <row r="30" spans="1:48" ht="14.4">
      <c r="A30" s="32" t="s">
        <v>41</v>
      </c>
      <c r="B30" s="130"/>
      <c r="C30" s="39"/>
      <c r="D30" s="39"/>
      <c r="E30" s="56">
        <f t="shared" si="81"/>
        <v>0</v>
      </c>
      <c r="F30" s="57"/>
      <c r="G30" s="124"/>
      <c r="H30" s="39"/>
      <c r="I30" s="56">
        <f t="shared" si="82"/>
        <v>0</v>
      </c>
      <c r="J30" s="57"/>
      <c r="K30" s="124"/>
      <c r="L30" s="39"/>
      <c r="M30" s="56">
        <f t="shared" si="83"/>
        <v>0</v>
      </c>
      <c r="N30" s="57"/>
      <c r="O30" s="66"/>
      <c r="P30" s="65">
        <f t="shared" si="84"/>
        <v>0</v>
      </c>
      <c r="Q30" s="66">
        <f t="shared" ref="Q30:R30" si="90">K30+G30+C30</f>
        <v>0</v>
      </c>
      <c r="R30" s="66">
        <f t="shared" si="90"/>
        <v>0</v>
      </c>
      <c r="S30" s="56">
        <f t="shared" si="86"/>
        <v>0</v>
      </c>
      <c r="T30" s="68">
        <f t="shared" si="87"/>
        <v>0</v>
      </c>
      <c r="Y30" s="121">
        <v>45657</v>
      </c>
      <c r="Z30" s="177" t="s">
        <v>43</v>
      </c>
      <c r="AO30" s="31" t="s">
        <v>40</v>
      </c>
      <c r="AR30" s="31">
        <v>1</v>
      </c>
    </row>
    <row r="31" spans="1:48" ht="14.4">
      <c r="A31" s="35" t="s">
        <v>44</v>
      </c>
      <c r="B31" s="130"/>
      <c r="C31" s="78">
        <f t="shared" ref="C31:N31" si="91">SUM(C27:C30)</f>
        <v>102</v>
      </c>
      <c r="D31" s="78">
        <f t="shared" si="91"/>
        <v>0</v>
      </c>
      <c r="E31" s="78">
        <f t="shared" si="91"/>
        <v>102</v>
      </c>
      <c r="F31" s="78">
        <f t="shared" si="91"/>
        <v>183</v>
      </c>
      <c r="G31" s="78">
        <f t="shared" si="91"/>
        <v>154</v>
      </c>
      <c r="H31" s="78">
        <f t="shared" si="91"/>
        <v>0</v>
      </c>
      <c r="I31" s="78">
        <f t="shared" si="91"/>
        <v>154</v>
      </c>
      <c r="J31" s="78">
        <f t="shared" si="91"/>
        <v>128</v>
      </c>
      <c r="K31" s="78">
        <f t="shared" si="91"/>
        <v>226</v>
      </c>
      <c r="L31" s="78">
        <f t="shared" si="91"/>
        <v>0</v>
      </c>
      <c r="M31" s="78">
        <f t="shared" si="91"/>
        <v>226</v>
      </c>
      <c r="N31" s="78">
        <f t="shared" si="91"/>
        <v>126</v>
      </c>
      <c r="O31" s="66"/>
      <c r="P31" s="65">
        <f t="shared" si="84"/>
        <v>0</v>
      </c>
      <c r="Q31" s="78">
        <f t="shared" ref="Q31:T31" si="92">SUM(Q27:Q30)</f>
        <v>482</v>
      </c>
      <c r="R31" s="78">
        <f t="shared" si="92"/>
        <v>0</v>
      </c>
      <c r="S31" s="78">
        <f t="shared" si="92"/>
        <v>482</v>
      </c>
      <c r="T31" s="92">
        <f t="shared" si="92"/>
        <v>437</v>
      </c>
      <c r="Z31" s="177"/>
      <c r="AO31" s="31" t="s">
        <v>58</v>
      </c>
      <c r="AR31" s="31">
        <v>2</v>
      </c>
    </row>
    <row r="32" spans="1:48" ht="14.4">
      <c r="A32" s="32" t="s">
        <v>46</v>
      </c>
      <c r="B32" s="130"/>
      <c r="C32" s="204">
        <f>'Regs Q2'!V77</f>
        <v>0</v>
      </c>
      <c r="D32" s="66"/>
      <c r="E32" s="171">
        <f t="shared" ref="E32:E35" si="93">SUM(C32:D32)</f>
        <v>0</v>
      </c>
      <c r="F32" s="57"/>
      <c r="G32" s="223">
        <f>'Regs Q2'!V54</f>
        <v>0</v>
      </c>
      <c r="H32" s="66"/>
      <c r="I32" s="171">
        <f t="shared" ref="I32:I35" si="94">SUM(G32:H32)</f>
        <v>0</v>
      </c>
      <c r="J32" s="57"/>
      <c r="K32" s="223">
        <f>'Regs Q2'!V31</f>
        <v>0</v>
      </c>
      <c r="L32" s="66"/>
      <c r="M32" s="171">
        <f t="shared" ref="M32:M35" si="95">SUM(K32:L32)</f>
        <v>0</v>
      </c>
      <c r="N32" s="57"/>
      <c r="O32" s="66"/>
      <c r="P32" s="65">
        <f t="shared" si="84"/>
        <v>0</v>
      </c>
      <c r="Q32" s="200">
        <f t="shared" ref="Q32:R32" si="96">K32+G32+C32</f>
        <v>0</v>
      </c>
      <c r="R32" s="66">
        <f t="shared" si="96"/>
        <v>0</v>
      </c>
      <c r="S32" s="56">
        <f t="shared" ref="S32:S35" si="97">SUM(P32:R32)</f>
        <v>0</v>
      </c>
      <c r="T32" s="68">
        <f t="shared" ref="T32:T35" si="98">N32+J32+F32</f>
        <v>0</v>
      </c>
      <c r="Y32" s="121">
        <v>45656</v>
      </c>
      <c r="Z32" s="177" t="s">
        <v>56</v>
      </c>
      <c r="AR32" s="224">
        <f>SUM(AR28:AR31)</f>
        <v>9</v>
      </c>
    </row>
    <row r="33" spans="1:45" ht="14.4">
      <c r="A33" s="32" t="s">
        <v>51</v>
      </c>
      <c r="B33" s="130"/>
      <c r="C33" s="39">
        <v>24</v>
      </c>
      <c r="D33" s="66">
        <v>0</v>
      </c>
      <c r="E33" s="56">
        <f t="shared" si="93"/>
        <v>24</v>
      </c>
      <c r="F33" s="57">
        <v>33</v>
      </c>
      <c r="G33" s="124">
        <v>46</v>
      </c>
      <c r="H33" s="66">
        <v>0</v>
      </c>
      <c r="I33" s="56">
        <f t="shared" si="94"/>
        <v>46</v>
      </c>
      <c r="J33" s="57">
        <v>26</v>
      </c>
      <c r="K33" s="124">
        <v>66</v>
      </c>
      <c r="L33" s="66">
        <v>4</v>
      </c>
      <c r="M33" s="56">
        <f t="shared" si="95"/>
        <v>70</v>
      </c>
      <c r="N33" s="57">
        <v>46</v>
      </c>
      <c r="O33" s="66"/>
      <c r="P33" s="65">
        <f t="shared" si="84"/>
        <v>0</v>
      </c>
      <c r="Q33" s="66">
        <f t="shared" ref="Q33:Q34" si="99">K33+G33+O41+C33</f>
        <v>136</v>
      </c>
      <c r="R33" s="66">
        <f>L33+H33+D33</f>
        <v>4</v>
      </c>
      <c r="S33" s="56">
        <f t="shared" si="97"/>
        <v>140</v>
      </c>
      <c r="T33" s="68">
        <f t="shared" si="98"/>
        <v>105</v>
      </c>
      <c r="Y33" s="225">
        <v>45656</v>
      </c>
      <c r="Z33" s="177" t="s">
        <v>56</v>
      </c>
      <c r="AO33" s="24" t="s">
        <v>147</v>
      </c>
      <c r="AQ33" s="226">
        <v>81</v>
      </c>
      <c r="AR33" s="227">
        <f>AR22-AR32</f>
        <v>79</v>
      </c>
      <c r="AS33" s="199">
        <f>AQ33-AR33</f>
        <v>2</v>
      </c>
    </row>
    <row r="34" spans="1:45" ht="14.4">
      <c r="A34" s="32" t="s">
        <v>52</v>
      </c>
      <c r="B34" s="130"/>
      <c r="C34" s="204">
        <f>'Regs Q2'!V79</f>
        <v>0</v>
      </c>
      <c r="D34" s="66"/>
      <c r="E34" s="171">
        <f t="shared" si="93"/>
        <v>0</v>
      </c>
      <c r="F34" s="57"/>
      <c r="G34" s="223">
        <f>'Regs Q2'!V56</f>
        <v>0</v>
      </c>
      <c r="H34" s="66"/>
      <c r="I34" s="171">
        <f t="shared" si="94"/>
        <v>0</v>
      </c>
      <c r="J34" s="57"/>
      <c r="K34" s="223">
        <f>'Regs Q2'!V33</f>
        <v>0</v>
      </c>
      <c r="L34" s="66"/>
      <c r="M34" s="171">
        <f t="shared" si="95"/>
        <v>0</v>
      </c>
      <c r="N34" s="57"/>
      <c r="O34" s="66"/>
      <c r="P34" s="65">
        <f t="shared" si="84"/>
        <v>0</v>
      </c>
      <c r="Q34" s="200">
        <f t="shared" si="99"/>
        <v>0</v>
      </c>
      <c r="R34" s="66">
        <v>0</v>
      </c>
      <c r="S34" s="56">
        <f t="shared" si="97"/>
        <v>0</v>
      </c>
      <c r="T34" s="68">
        <f t="shared" si="98"/>
        <v>0</v>
      </c>
      <c r="Y34" s="121">
        <v>45656</v>
      </c>
      <c r="Z34" s="177" t="s">
        <v>56</v>
      </c>
      <c r="AD34" s="31" t="s">
        <v>148</v>
      </c>
      <c r="AS34" s="24" t="s">
        <v>149</v>
      </c>
    </row>
    <row r="35" spans="1:45" ht="14.4">
      <c r="A35" s="32" t="s">
        <v>53</v>
      </c>
      <c r="B35" s="130"/>
      <c r="C35" s="204">
        <f>'Regs Q2'!V80</f>
        <v>0</v>
      </c>
      <c r="D35" s="66"/>
      <c r="E35" s="171">
        <f t="shared" si="93"/>
        <v>0</v>
      </c>
      <c r="F35" s="57"/>
      <c r="G35" s="223">
        <f>'Regs Q2'!V57</f>
        <v>0</v>
      </c>
      <c r="H35" s="66"/>
      <c r="I35" s="171">
        <f t="shared" si="94"/>
        <v>0</v>
      </c>
      <c r="J35" s="57"/>
      <c r="K35" s="223">
        <f>'Regs Q2'!V34</f>
        <v>0</v>
      </c>
      <c r="L35" s="66"/>
      <c r="M35" s="171">
        <f t="shared" si="95"/>
        <v>0</v>
      </c>
      <c r="N35" s="57"/>
      <c r="O35" s="66"/>
      <c r="P35" s="65">
        <f t="shared" si="84"/>
        <v>0</v>
      </c>
      <c r="Q35" s="200">
        <f t="shared" ref="Q35:R35" si="100">K35+G35+C35</f>
        <v>0</v>
      </c>
      <c r="R35" s="66">
        <f t="shared" si="100"/>
        <v>0</v>
      </c>
      <c r="S35" s="56">
        <f t="shared" si="97"/>
        <v>0</v>
      </c>
      <c r="T35" s="68">
        <f t="shared" si="98"/>
        <v>0</v>
      </c>
      <c r="Y35" s="121">
        <v>45656</v>
      </c>
      <c r="Z35" s="177" t="s">
        <v>56</v>
      </c>
    </row>
    <row r="36" spans="1:45" ht="14.4">
      <c r="A36" s="35" t="s">
        <v>54</v>
      </c>
      <c r="B36" s="130"/>
      <c r="C36" s="81">
        <f t="shared" ref="C36:N36" si="101">SUM(C32:C35)</f>
        <v>24</v>
      </c>
      <c r="D36" s="78">
        <f t="shared" si="101"/>
        <v>0</v>
      </c>
      <c r="E36" s="81">
        <f t="shared" si="101"/>
        <v>24</v>
      </c>
      <c r="F36" s="78">
        <f t="shared" si="101"/>
        <v>33</v>
      </c>
      <c r="G36" s="81">
        <f t="shared" si="101"/>
        <v>46</v>
      </c>
      <c r="H36" s="78">
        <f t="shared" si="101"/>
        <v>0</v>
      </c>
      <c r="I36" s="81">
        <f t="shared" si="101"/>
        <v>46</v>
      </c>
      <c r="J36" s="78">
        <f t="shared" si="101"/>
        <v>26</v>
      </c>
      <c r="K36" s="81">
        <f t="shared" si="101"/>
        <v>66</v>
      </c>
      <c r="L36" s="78">
        <f t="shared" si="101"/>
        <v>4</v>
      </c>
      <c r="M36" s="81">
        <f t="shared" si="101"/>
        <v>70</v>
      </c>
      <c r="N36" s="78">
        <f t="shared" si="101"/>
        <v>46</v>
      </c>
      <c r="O36" s="66"/>
      <c r="P36" s="65">
        <f t="shared" si="84"/>
        <v>0</v>
      </c>
      <c r="Q36" s="81">
        <f t="shared" ref="Q36:T36" si="102">SUM(Q32:Q35)</f>
        <v>136</v>
      </c>
      <c r="R36" s="78">
        <f t="shared" si="102"/>
        <v>4</v>
      </c>
      <c r="S36" s="78">
        <f t="shared" si="102"/>
        <v>140</v>
      </c>
      <c r="T36" s="92">
        <f t="shared" si="102"/>
        <v>105</v>
      </c>
      <c r="Z36" s="177"/>
    </row>
    <row r="37" spans="1:45" ht="14.4">
      <c r="A37" s="32" t="s">
        <v>55</v>
      </c>
      <c r="B37" s="130"/>
      <c r="C37" s="39">
        <v>42</v>
      </c>
      <c r="D37" s="66">
        <v>0</v>
      </c>
      <c r="E37" s="56">
        <f t="shared" ref="E37:E39" si="103">SUM(C37:D37)</f>
        <v>42</v>
      </c>
      <c r="F37" s="57">
        <v>61</v>
      </c>
      <c r="G37" s="124">
        <v>23</v>
      </c>
      <c r="H37" s="66">
        <v>0</v>
      </c>
      <c r="I37" s="56">
        <f t="shared" ref="I37:I39" si="104">SUM(G37:H37)</f>
        <v>23</v>
      </c>
      <c r="J37" s="57">
        <v>52</v>
      </c>
      <c r="K37" s="124">
        <v>75</v>
      </c>
      <c r="L37" s="66">
        <v>0</v>
      </c>
      <c r="M37" s="56">
        <f t="shared" ref="M37:M39" si="105">SUM(K37:L37)</f>
        <v>75</v>
      </c>
      <c r="N37" s="57">
        <v>40</v>
      </c>
      <c r="O37" s="66"/>
      <c r="P37" s="65">
        <f t="shared" si="84"/>
        <v>0</v>
      </c>
      <c r="Q37" s="66">
        <f t="shared" ref="Q37:R37" si="106">K37+G37+C37</f>
        <v>140</v>
      </c>
      <c r="R37" s="66">
        <f t="shared" si="106"/>
        <v>0</v>
      </c>
      <c r="S37" s="56">
        <f t="shared" ref="S37:S39" si="107">SUM(P37:R37)</f>
        <v>140</v>
      </c>
      <c r="T37" s="68">
        <f t="shared" ref="T37:T39" si="108">N37+J37+F37</f>
        <v>153</v>
      </c>
      <c r="Y37" s="121">
        <v>45657</v>
      </c>
      <c r="Z37" s="177" t="s">
        <v>80</v>
      </c>
    </row>
    <row r="38" spans="1:45" ht="14.4">
      <c r="A38" s="32" t="s">
        <v>57</v>
      </c>
      <c r="B38" s="130"/>
      <c r="C38" s="204">
        <f>'Regs Q2'!V83</f>
        <v>0</v>
      </c>
      <c r="D38" s="66">
        <v>0</v>
      </c>
      <c r="E38" s="171">
        <f t="shared" si="103"/>
        <v>0</v>
      </c>
      <c r="F38" s="57"/>
      <c r="G38" s="124"/>
      <c r="H38" s="66">
        <v>0</v>
      </c>
      <c r="I38" s="56">
        <f t="shared" si="104"/>
        <v>0</v>
      </c>
      <c r="J38" s="57"/>
      <c r="K38" s="124"/>
      <c r="L38" s="66">
        <v>0</v>
      </c>
      <c r="M38" s="56">
        <f t="shared" si="105"/>
        <v>0</v>
      </c>
      <c r="N38" s="57"/>
      <c r="O38" s="66"/>
      <c r="P38" s="65">
        <f t="shared" si="84"/>
        <v>0</v>
      </c>
      <c r="Q38" s="200">
        <f t="shared" ref="Q38:R38" si="109">K38+G38+C38</f>
        <v>0</v>
      </c>
      <c r="R38" s="66">
        <f t="shared" si="109"/>
        <v>0</v>
      </c>
      <c r="S38" s="56">
        <f t="shared" si="107"/>
        <v>0</v>
      </c>
      <c r="T38" s="68">
        <f t="shared" si="108"/>
        <v>0</v>
      </c>
      <c r="X38" s="103"/>
      <c r="Y38" s="121">
        <v>45657</v>
      </c>
      <c r="Z38" s="177" t="s">
        <v>80</v>
      </c>
    </row>
    <row r="39" spans="1:45" ht="14.4">
      <c r="A39" s="32" t="s">
        <v>58</v>
      </c>
      <c r="B39" s="130"/>
      <c r="C39" s="204">
        <f>'Regs Q2'!V84</f>
        <v>0</v>
      </c>
      <c r="D39" s="66"/>
      <c r="E39" s="171">
        <f t="shared" si="103"/>
        <v>0</v>
      </c>
      <c r="F39" s="57"/>
      <c r="G39" s="124"/>
      <c r="H39" s="66"/>
      <c r="I39" s="56">
        <f t="shared" si="104"/>
        <v>0</v>
      </c>
      <c r="J39" s="57"/>
      <c r="K39" s="223">
        <f>'Regs Q2'!V38</f>
        <v>0</v>
      </c>
      <c r="L39" s="66"/>
      <c r="M39" s="171">
        <f t="shared" si="105"/>
        <v>0</v>
      </c>
      <c r="N39" s="57"/>
      <c r="O39" s="66"/>
      <c r="P39" s="65">
        <f t="shared" si="84"/>
        <v>0</v>
      </c>
      <c r="Q39" s="200">
        <f t="shared" ref="Q39:R39" si="110">K39+G39+C39</f>
        <v>0</v>
      </c>
      <c r="R39" s="66">
        <f t="shared" si="110"/>
        <v>0</v>
      </c>
      <c r="S39" s="56">
        <f t="shared" si="107"/>
        <v>0</v>
      </c>
      <c r="T39" s="68">
        <f t="shared" si="108"/>
        <v>0</v>
      </c>
      <c r="X39" s="103"/>
      <c r="Y39" s="121">
        <v>45657</v>
      </c>
      <c r="Z39" s="177" t="s">
        <v>80</v>
      </c>
    </row>
    <row r="40" spans="1:45" ht="14.4">
      <c r="A40" s="35"/>
      <c r="B40" s="130"/>
      <c r="C40" s="78">
        <f t="shared" ref="C40:N40" si="111">SUM(C37:C39)</f>
        <v>42</v>
      </c>
      <c r="D40" s="78">
        <f t="shared" si="111"/>
        <v>0</v>
      </c>
      <c r="E40" s="78">
        <f t="shared" si="111"/>
        <v>42</v>
      </c>
      <c r="F40" s="78">
        <f t="shared" si="111"/>
        <v>61</v>
      </c>
      <c r="G40" s="78">
        <f t="shared" si="111"/>
        <v>23</v>
      </c>
      <c r="H40" s="78">
        <f t="shared" si="111"/>
        <v>0</v>
      </c>
      <c r="I40" s="78">
        <f t="shared" si="111"/>
        <v>23</v>
      </c>
      <c r="J40" s="78">
        <f t="shared" si="111"/>
        <v>52</v>
      </c>
      <c r="K40" s="78">
        <f t="shared" si="111"/>
        <v>75</v>
      </c>
      <c r="L40" s="78">
        <f t="shared" si="111"/>
        <v>0</v>
      </c>
      <c r="M40" s="78">
        <f t="shared" si="111"/>
        <v>75</v>
      </c>
      <c r="N40" s="78">
        <f t="shared" si="111"/>
        <v>40</v>
      </c>
      <c r="O40" s="66"/>
      <c r="P40" s="65">
        <f t="shared" si="84"/>
        <v>0</v>
      </c>
      <c r="Q40" s="78">
        <f t="shared" ref="Q40:T40" si="112">SUM(Q37:Q39)</f>
        <v>140</v>
      </c>
      <c r="R40" s="78">
        <f t="shared" si="112"/>
        <v>0</v>
      </c>
      <c r="S40" s="78">
        <f t="shared" si="112"/>
        <v>140</v>
      </c>
      <c r="T40" s="92">
        <f t="shared" si="112"/>
        <v>153</v>
      </c>
      <c r="W40" s="1"/>
    </row>
    <row r="41" spans="1:45" ht="14.4">
      <c r="A41" s="35"/>
      <c r="B41" s="130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5">
        <f t="shared" si="84"/>
        <v>0</v>
      </c>
      <c r="Q41" s="66"/>
      <c r="R41" s="66"/>
      <c r="S41" s="66"/>
      <c r="T41" s="104"/>
    </row>
    <row r="42" spans="1:45" ht="14.4">
      <c r="A42" s="32"/>
      <c r="B42" s="29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104"/>
    </row>
    <row r="43" spans="1:45" ht="14.4">
      <c r="A43" s="126" t="s">
        <v>14</v>
      </c>
      <c r="B43" s="162"/>
      <c r="C43" s="97">
        <f t="shared" ref="C43:N43" si="113">C40+C36+C31</f>
        <v>168</v>
      </c>
      <c r="D43" s="97">
        <f t="shared" si="113"/>
        <v>0</v>
      </c>
      <c r="E43" s="97">
        <f t="shared" si="113"/>
        <v>168</v>
      </c>
      <c r="F43" s="97">
        <f t="shared" si="113"/>
        <v>277</v>
      </c>
      <c r="G43" s="97">
        <f t="shared" si="113"/>
        <v>223</v>
      </c>
      <c r="H43" s="97">
        <f t="shared" si="113"/>
        <v>0</v>
      </c>
      <c r="I43" s="97">
        <f t="shared" si="113"/>
        <v>223</v>
      </c>
      <c r="J43" s="97">
        <f t="shared" si="113"/>
        <v>206</v>
      </c>
      <c r="K43" s="97">
        <f t="shared" si="113"/>
        <v>367</v>
      </c>
      <c r="L43" s="97">
        <f t="shared" si="113"/>
        <v>4</v>
      </c>
      <c r="M43" s="97">
        <f t="shared" si="113"/>
        <v>371</v>
      </c>
      <c r="N43" s="97">
        <f t="shared" si="113"/>
        <v>212</v>
      </c>
      <c r="O43" s="127"/>
      <c r="P43" s="127"/>
      <c r="Q43" s="97">
        <f t="shared" ref="Q43:T43" si="114">Q40+Q36+Q31</f>
        <v>758</v>
      </c>
      <c r="R43" s="97">
        <f t="shared" si="114"/>
        <v>4</v>
      </c>
      <c r="S43" s="97">
        <f t="shared" si="114"/>
        <v>762</v>
      </c>
      <c r="T43" s="99">
        <f t="shared" si="114"/>
        <v>695</v>
      </c>
    </row>
    <row r="45" spans="1:45" ht="13.2">
      <c r="K45" s="58">
        <f>K43+K22+L22</f>
        <v>667</v>
      </c>
    </row>
  </sheetData>
  <mergeCells count="15">
    <mergeCell ref="A3:T3"/>
    <mergeCell ref="AA3:AS3"/>
    <mergeCell ref="C4:F4"/>
    <mergeCell ref="G4:J4"/>
    <mergeCell ref="K4:N4"/>
    <mergeCell ref="Q4:T4"/>
    <mergeCell ref="AC4:AE4"/>
    <mergeCell ref="AQ4:AS4"/>
    <mergeCell ref="AF4:AI4"/>
    <mergeCell ref="AJ4:AN4"/>
    <mergeCell ref="A24:T24"/>
    <mergeCell ref="C25:F25"/>
    <mergeCell ref="G25:J25"/>
    <mergeCell ref="K25:N25"/>
    <mergeCell ref="Q25:T25"/>
  </mergeCells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B3:V110"/>
  <sheetViews>
    <sheetView workbookViewId="0"/>
  </sheetViews>
  <sheetFormatPr defaultColWidth="12.6640625" defaultRowHeight="15.75" customHeight="1"/>
  <cols>
    <col min="18" max="18" width="19.44140625" customWidth="1"/>
  </cols>
  <sheetData>
    <row r="3" spans="2:16">
      <c r="C3" s="294" t="s">
        <v>135</v>
      </c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</row>
    <row r="4" spans="2:16">
      <c r="C4" s="31" t="s">
        <v>136</v>
      </c>
      <c r="D4" s="31" t="s">
        <v>137</v>
      </c>
      <c r="E4" s="31" t="s">
        <v>138</v>
      </c>
      <c r="F4" s="31" t="s">
        <v>139</v>
      </c>
      <c r="G4" s="31" t="s">
        <v>140</v>
      </c>
      <c r="H4" s="31" t="s">
        <v>141</v>
      </c>
      <c r="I4" s="31" t="s">
        <v>142</v>
      </c>
      <c r="J4" s="31"/>
      <c r="K4" s="31"/>
      <c r="L4" s="31"/>
      <c r="M4" s="31" t="s">
        <v>144</v>
      </c>
      <c r="N4" s="31" t="s">
        <v>14</v>
      </c>
      <c r="O4" s="31" t="s">
        <v>145</v>
      </c>
      <c r="P4" s="31" t="s">
        <v>146</v>
      </c>
    </row>
    <row r="6" spans="2:16">
      <c r="B6" s="31" t="s">
        <v>24</v>
      </c>
      <c r="C6" s="31">
        <v>97</v>
      </c>
      <c r="D6" s="31">
        <v>0</v>
      </c>
      <c r="E6" s="31">
        <v>41</v>
      </c>
      <c r="F6" s="31">
        <v>20</v>
      </c>
      <c r="G6" s="31">
        <v>4</v>
      </c>
      <c r="H6" s="31">
        <v>34</v>
      </c>
      <c r="I6" s="31">
        <v>2</v>
      </c>
      <c r="J6" s="31"/>
      <c r="K6" s="31"/>
      <c r="L6" s="31"/>
      <c r="M6" s="31">
        <v>1</v>
      </c>
      <c r="N6" s="24">
        <f t="shared" ref="N6:N9" si="0">SUM(C6:M6)</f>
        <v>199</v>
      </c>
      <c r="O6" s="31">
        <f>333+30</f>
        <v>363</v>
      </c>
      <c r="P6" s="24">
        <f t="shared" ref="P6:P9" si="1">SUM(N6:O6)</f>
        <v>562</v>
      </c>
    </row>
    <row r="7" spans="2:16">
      <c r="B7" s="31" t="s">
        <v>36</v>
      </c>
      <c r="C7" s="31">
        <v>58</v>
      </c>
      <c r="D7" s="31">
        <v>0</v>
      </c>
      <c r="E7" s="31">
        <v>52</v>
      </c>
      <c r="F7" s="31">
        <v>4</v>
      </c>
      <c r="G7" s="31">
        <v>3</v>
      </c>
      <c r="H7" s="31">
        <v>5</v>
      </c>
      <c r="I7" s="31">
        <v>7</v>
      </c>
      <c r="J7" s="31"/>
      <c r="K7" s="31"/>
      <c r="L7" s="31"/>
      <c r="M7" s="31">
        <v>1</v>
      </c>
      <c r="N7" s="24">
        <f t="shared" si="0"/>
        <v>130</v>
      </c>
      <c r="O7" s="31">
        <v>50</v>
      </c>
      <c r="P7" s="24">
        <f t="shared" si="1"/>
        <v>180</v>
      </c>
    </row>
    <row r="8" spans="2:16">
      <c r="B8" s="31" t="s">
        <v>40</v>
      </c>
      <c r="C8" s="31">
        <v>53</v>
      </c>
      <c r="D8" s="31">
        <v>0</v>
      </c>
      <c r="E8" s="31">
        <v>20</v>
      </c>
      <c r="F8" s="31">
        <v>14</v>
      </c>
      <c r="G8" s="31">
        <v>4</v>
      </c>
      <c r="H8" s="31">
        <v>3</v>
      </c>
      <c r="I8" s="31">
        <v>0</v>
      </c>
      <c r="J8" s="31"/>
      <c r="K8" s="31"/>
      <c r="L8" s="31"/>
      <c r="M8" s="31">
        <v>2</v>
      </c>
      <c r="N8" s="24">
        <f t="shared" si="0"/>
        <v>96</v>
      </c>
      <c r="P8" s="24">
        <f t="shared" si="1"/>
        <v>96</v>
      </c>
    </row>
    <row r="9" spans="2:16">
      <c r="B9" s="31" t="s">
        <v>41</v>
      </c>
      <c r="C9" s="31">
        <v>74</v>
      </c>
      <c r="D9" s="31">
        <v>0</v>
      </c>
      <c r="E9" s="31">
        <v>50</v>
      </c>
      <c r="F9" s="31">
        <v>18</v>
      </c>
      <c r="G9" s="31">
        <v>5</v>
      </c>
      <c r="H9" s="31">
        <v>0</v>
      </c>
      <c r="I9" s="31">
        <v>1</v>
      </c>
      <c r="J9" s="31"/>
      <c r="K9" s="31"/>
      <c r="L9" s="31"/>
      <c r="M9" s="31">
        <v>1</v>
      </c>
      <c r="N9" s="24">
        <f t="shared" si="0"/>
        <v>149</v>
      </c>
      <c r="P9" s="24">
        <f t="shared" si="1"/>
        <v>149</v>
      </c>
    </row>
    <row r="10" spans="2:16">
      <c r="B10" s="24" t="s">
        <v>44</v>
      </c>
      <c r="C10" s="24">
        <f t="shared" ref="C10:I10" si="2">SUM(C6:C9)</f>
        <v>282</v>
      </c>
      <c r="D10" s="24">
        <f t="shared" si="2"/>
        <v>0</v>
      </c>
      <c r="E10" s="24">
        <f t="shared" si="2"/>
        <v>163</v>
      </c>
      <c r="F10" s="24">
        <f t="shared" si="2"/>
        <v>56</v>
      </c>
      <c r="G10" s="24">
        <f t="shared" si="2"/>
        <v>16</v>
      </c>
      <c r="H10" s="24">
        <f t="shared" si="2"/>
        <v>42</v>
      </c>
      <c r="I10" s="24">
        <f t="shared" si="2"/>
        <v>10</v>
      </c>
      <c r="J10" s="24"/>
      <c r="K10" s="24"/>
      <c r="L10" s="24"/>
      <c r="M10" s="24">
        <f t="shared" ref="M10:P10" si="3">SUM(M6:M9)</f>
        <v>5</v>
      </c>
      <c r="N10" s="24">
        <f t="shared" si="3"/>
        <v>574</v>
      </c>
      <c r="O10" s="24">
        <f t="shared" si="3"/>
        <v>413</v>
      </c>
      <c r="P10" s="24">
        <f t="shared" si="3"/>
        <v>987</v>
      </c>
    </row>
    <row r="11" spans="2:16">
      <c r="B11" s="31" t="s">
        <v>46</v>
      </c>
      <c r="C11" s="31">
        <v>116</v>
      </c>
      <c r="D11" s="31">
        <v>0</v>
      </c>
      <c r="E11" s="31">
        <v>14</v>
      </c>
      <c r="F11" s="31">
        <v>7</v>
      </c>
      <c r="G11" s="31">
        <v>4</v>
      </c>
      <c r="H11" s="31">
        <v>1</v>
      </c>
      <c r="I11" s="31">
        <v>1</v>
      </c>
      <c r="J11" s="31"/>
      <c r="K11" s="31"/>
      <c r="L11" s="31"/>
      <c r="M11" s="31">
        <v>1</v>
      </c>
      <c r="N11" s="24">
        <f t="shared" ref="N11:N14" si="4">SUM(C11:M11)</f>
        <v>144</v>
      </c>
      <c r="O11" s="31">
        <v>1</v>
      </c>
      <c r="P11" s="24">
        <f t="shared" ref="P11:P14" si="5">SUM(N11:O11)</f>
        <v>145</v>
      </c>
    </row>
    <row r="12" spans="2:16">
      <c r="B12" s="31" t="s">
        <v>51</v>
      </c>
      <c r="C12" s="31">
        <v>74</v>
      </c>
      <c r="D12" s="31">
        <v>0</v>
      </c>
      <c r="E12" s="31">
        <v>22</v>
      </c>
      <c r="F12" s="31">
        <v>13</v>
      </c>
      <c r="G12" s="31">
        <v>8</v>
      </c>
      <c r="H12" s="31">
        <v>2</v>
      </c>
      <c r="I12" s="31">
        <v>6</v>
      </c>
      <c r="J12" s="31"/>
      <c r="K12" s="31"/>
      <c r="L12" s="31"/>
      <c r="M12" s="31">
        <v>1</v>
      </c>
      <c r="N12" s="24">
        <f t="shared" si="4"/>
        <v>126</v>
      </c>
      <c r="O12" s="31">
        <v>134</v>
      </c>
      <c r="P12" s="24">
        <f t="shared" si="5"/>
        <v>260</v>
      </c>
    </row>
    <row r="13" spans="2:16">
      <c r="B13" s="31" t="s">
        <v>52</v>
      </c>
      <c r="C13" s="31">
        <v>77</v>
      </c>
      <c r="D13" s="31">
        <v>0</v>
      </c>
      <c r="E13" s="31">
        <v>22</v>
      </c>
      <c r="F13" s="31">
        <v>3</v>
      </c>
      <c r="G13" s="31">
        <v>5</v>
      </c>
      <c r="H13" s="31">
        <v>1</v>
      </c>
      <c r="I13" s="31">
        <v>0</v>
      </c>
      <c r="J13" s="31"/>
      <c r="K13" s="31"/>
      <c r="L13" s="31"/>
      <c r="M13" s="31">
        <v>0</v>
      </c>
      <c r="N13" s="24">
        <f t="shared" si="4"/>
        <v>108</v>
      </c>
      <c r="P13" s="24">
        <f t="shared" si="5"/>
        <v>108</v>
      </c>
    </row>
    <row r="14" spans="2:16">
      <c r="B14" s="31" t="s">
        <v>53</v>
      </c>
      <c r="C14" s="31">
        <v>105</v>
      </c>
      <c r="D14" s="31">
        <v>0</v>
      </c>
      <c r="E14" s="31">
        <v>44</v>
      </c>
      <c r="F14" s="31">
        <v>3</v>
      </c>
      <c r="G14" s="31">
        <v>8</v>
      </c>
      <c r="H14" s="31">
        <v>1</v>
      </c>
      <c r="I14" s="31">
        <v>0</v>
      </c>
      <c r="J14" s="31"/>
      <c r="K14" s="31"/>
      <c r="L14" s="31"/>
      <c r="M14" s="31">
        <v>0</v>
      </c>
      <c r="N14" s="24">
        <f t="shared" si="4"/>
        <v>161</v>
      </c>
      <c r="P14" s="24">
        <f t="shared" si="5"/>
        <v>161</v>
      </c>
    </row>
    <row r="15" spans="2:16">
      <c r="B15" s="24" t="s">
        <v>54</v>
      </c>
      <c r="C15" s="24">
        <f t="shared" ref="C15:I15" si="6">SUM(C11:C14)</f>
        <v>372</v>
      </c>
      <c r="D15" s="24">
        <f t="shared" si="6"/>
        <v>0</v>
      </c>
      <c r="E15" s="24">
        <f t="shared" si="6"/>
        <v>102</v>
      </c>
      <c r="F15" s="24">
        <f t="shared" si="6"/>
        <v>26</v>
      </c>
      <c r="G15" s="24">
        <f t="shared" si="6"/>
        <v>25</v>
      </c>
      <c r="H15" s="24">
        <f t="shared" si="6"/>
        <v>5</v>
      </c>
      <c r="I15" s="24">
        <f t="shared" si="6"/>
        <v>7</v>
      </c>
      <c r="J15" s="24"/>
      <c r="K15" s="24"/>
      <c r="L15" s="24"/>
      <c r="M15" s="24">
        <f t="shared" ref="M15:P15" si="7">SUM(M11:M14)</f>
        <v>2</v>
      </c>
      <c r="N15" s="24">
        <f t="shared" si="7"/>
        <v>539</v>
      </c>
      <c r="O15" s="24">
        <f t="shared" si="7"/>
        <v>135</v>
      </c>
      <c r="P15" s="24">
        <f t="shared" si="7"/>
        <v>674</v>
      </c>
    </row>
    <row r="16" spans="2:16">
      <c r="B16" s="31" t="s">
        <v>55</v>
      </c>
      <c r="C16" s="31">
        <v>51</v>
      </c>
      <c r="D16" s="31">
        <v>0</v>
      </c>
      <c r="E16" s="31">
        <v>32</v>
      </c>
      <c r="F16" s="31">
        <v>4</v>
      </c>
      <c r="G16" s="31">
        <v>5</v>
      </c>
      <c r="H16" s="31">
        <v>35</v>
      </c>
      <c r="I16" s="31">
        <v>0</v>
      </c>
      <c r="J16" s="31"/>
      <c r="K16" s="31"/>
      <c r="L16" s="31"/>
      <c r="M16" s="31">
        <v>4</v>
      </c>
      <c r="N16" s="24">
        <f t="shared" ref="N16:N18" si="8">SUM(C16:M16)</f>
        <v>131</v>
      </c>
      <c r="O16" s="31">
        <v>180</v>
      </c>
      <c r="P16" s="24">
        <f t="shared" ref="P16:P18" si="9">SUM(N16:O16)</f>
        <v>311</v>
      </c>
    </row>
    <row r="17" spans="2:18">
      <c r="B17" s="31" t="s">
        <v>57</v>
      </c>
      <c r="C17" s="31">
        <v>55</v>
      </c>
      <c r="D17" s="31">
        <v>1</v>
      </c>
      <c r="E17" s="31">
        <v>38</v>
      </c>
      <c r="F17" s="31">
        <v>15</v>
      </c>
      <c r="G17" s="31">
        <v>3</v>
      </c>
      <c r="H17" s="31">
        <v>0</v>
      </c>
      <c r="I17" s="31">
        <v>0</v>
      </c>
      <c r="J17" s="31"/>
      <c r="K17" s="31"/>
      <c r="L17" s="31"/>
      <c r="M17" s="31">
        <v>1</v>
      </c>
      <c r="N17" s="24">
        <f t="shared" si="8"/>
        <v>113</v>
      </c>
      <c r="P17" s="24">
        <f t="shared" si="9"/>
        <v>113</v>
      </c>
    </row>
    <row r="18" spans="2:18">
      <c r="B18" s="31" t="s">
        <v>58</v>
      </c>
      <c r="C18" s="31">
        <v>28</v>
      </c>
      <c r="D18" s="31">
        <v>0</v>
      </c>
      <c r="E18" s="31">
        <v>8</v>
      </c>
      <c r="F18" s="31">
        <v>2</v>
      </c>
      <c r="G18" s="31">
        <v>5</v>
      </c>
      <c r="H18" s="31">
        <v>0</v>
      </c>
      <c r="I18" s="31">
        <v>0</v>
      </c>
      <c r="J18" s="31"/>
      <c r="K18" s="31"/>
      <c r="L18" s="31"/>
      <c r="M18" s="31">
        <v>3</v>
      </c>
      <c r="N18" s="24">
        <f t="shared" si="8"/>
        <v>46</v>
      </c>
      <c r="O18" s="31">
        <v>3</v>
      </c>
      <c r="P18" s="24">
        <f t="shared" si="9"/>
        <v>49</v>
      </c>
    </row>
    <row r="19" spans="2:18">
      <c r="B19" s="24" t="s">
        <v>59</v>
      </c>
      <c r="C19" s="24">
        <f t="shared" ref="C19:I19" si="10">SUM(C16:C18)</f>
        <v>134</v>
      </c>
      <c r="D19" s="24">
        <f t="shared" si="10"/>
        <v>1</v>
      </c>
      <c r="E19" s="24">
        <f t="shared" si="10"/>
        <v>78</v>
      </c>
      <c r="F19" s="24">
        <f t="shared" si="10"/>
        <v>21</v>
      </c>
      <c r="G19" s="24">
        <f t="shared" si="10"/>
        <v>13</v>
      </c>
      <c r="H19" s="24">
        <f t="shared" si="10"/>
        <v>35</v>
      </c>
      <c r="I19" s="24">
        <f t="shared" si="10"/>
        <v>0</v>
      </c>
      <c r="J19" s="24"/>
      <c r="K19" s="24"/>
      <c r="L19" s="24"/>
      <c r="M19" s="24">
        <f t="shared" ref="M19:P19" si="11">SUM(M16:M18)</f>
        <v>8</v>
      </c>
      <c r="N19" s="24">
        <f t="shared" si="11"/>
        <v>290</v>
      </c>
      <c r="O19" s="24">
        <f t="shared" si="11"/>
        <v>183</v>
      </c>
      <c r="P19" s="24">
        <f t="shared" si="11"/>
        <v>473</v>
      </c>
    </row>
    <row r="20" spans="2:18">
      <c r="N20" s="24"/>
    </row>
    <row r="21" spans="2:18">
      <c r="N21" s="24"/>
    </row>
    <row r="22" spans="2:18">
      <c r="B22" s="24" t="s">
        <v>14</v>
      </c>
      <c r="C22" s="24">
        <f t="shared" ref="C22:I22" si="12">C19+C15+C10</f>
        <v>788</v>
      </c>
      <c r="D22" s="24">
        <f t="shared" si="12"/>
        <v>1</v>
      </c>
      <c r="E22" s="24">
        <f t="shared" si="12"/>
        <v>343</v>
      </c>
      <c r="F22" s="24">
        <f t="shared" si="12"/>
        <v>103</v>
      </c>
      <c r="G22" s="24">
        <f t="shared" si="12"/>
        <v>54</v>
      </c>
      <c r="H22" s="24">
        <f t="shared" si="12"/>
        <v>82</v>
      </c>
      <c r="I22" s="24">
        <f t="shared" si="12"/>
        <v>17</v>
      </c>
      <c r="J22" s="24"/>
      <c r="K22" s="24"/>
      <c r="L22" s="24"/>
      <c r="M22" s="24">
        <f t="shared" ref="M22:P22" si="13">M19+M15+M10</f>
        <v>15</v>
      </c>
      <c r="N22" s="24">
        <f t="shared" si="13"/>
        <v>1403</v>
      </c>
      <c r="O22" s="24">
        <f t="shared" si="13"/>
        <v>731</v>
      </c>
      <c r="P22" s="24">
        <f t="shared" si="13"/>
        <v>2134</v>
      </c>
      <c r="R22" s="31">
        <v>834</v>
      </c>
    </row>
    <row r="25" spans="2:18">
      <c r="C25" s="294" t="s">
        <v>150</v>
      </c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285"/>
    </row>
    <row r="26" spans="2:18">
      <c r="C26" s="31" t="s">
        <v>136</v>
      </c>
      <c r="D26" s="31" t="s">
        <v>137</v>
      </c>
      <c r="E26" s="31" t="s">
        <v>138</v>
      </c>
      <c r="F26" s="31" t="s">
        <v>139</v>
      </c>
      <c r="G26" s="31" t="s">
        <v>140</v>
      </c>
      <c r="H26" s="31" t="s">
        <v>141</v>
      </c>
      <c r="I26" s="31" t="s">
        <v>142</v>
      </c>
      <c r="J26" s="31"/>
      <c r="K26" s="31"/>
      <c r="L26" s="31"/>
      <c r="M26" s="31" t="s">
        <v>144</v>
      </c>
      <c r="N26" s="31" t="s">
        <v>14</v>
      </c>
      <c r="O26" s="31" t="s">
        <v>145</v>
      </c>
      <c r="P26" s="31" t="s">
        <v>146</v>
      </c>
    </row>
    <row r="28" spans="2:18">
      <c r="B28" s="31" t="s">
        <v>24</v>
      </c>
      <c r="C28" s="31">
        <v>92</v>
      </c>
      <c r="E28" s="31">
        <v>36</v>
      </c>
      <c r="F28" s="31">
        <v>16</v>
      </c>
      <c r="G28" s="31">
        <v>6</v>
      </c>
      <c r="H28" s="31">
        <v>5</v>
      </c>
      <c r="J28" s="31"/>
      <c r="K28" s="31"/>
      <c r="L28" s="31"/>
      <c r="M28" s="31">
        <v>2</v>
      </c>
      <c r="N28" s="24">
        <f t="shared" ref="N28:N31" si="14">SUM(C28:M28)</f>
        <v>157</v>
      </c>
      <c r="O28" s="31">
        <v>303</v>
      </c>
      <c r="P28" s="24">
        <f t="shared" ref="P28:P31" si="15">SUM(N28:O28)</f>
        <v>460</v>
      </c>
    </row>
    <row r="29" spans="2:18">
      <c r="B29" s="31" t="s">
        <v>36</v>
      </c>
      <c r="C29" s="31">
        <v>73</v>
      </c>
      <c r="E29" s="31">
        <v>26</v>
      </c>
      <c r="F29" s="31">
        <v>8</v>
      </c>
      <c r="G29" s="31">
        <v>3</v>
      </c>
      <c r="H29" s="31">
        <v>3</v>
      </c>
      <c r="I29" s="31">
        <v>2</v>
      </c>
      <c r="N29" s="24">
        <f t="shared" si="14"/>
        <v>115</v>
      </c>
      <c r="O29" s="31">
        <v>39</v>
      </c>
      <c r="P29" s="24">
        <f t="shared" si="15"/>
        <v>154</v>
      </c>
    </row>
    <row r="30" spans="2:18">
      <c r="B30" s="31" t="s">
        <v>40</v>
      </c>
      <c r="C30" s="31">
        <v>63</v>
      </c>
      <c r="E30" s="31">
        <v>15</v>
      </c>
      <c r="F30" s="31">
        <v>7</v>
      </c>
      <c r="G30" s="31">
        <v>5</v>
      </c>
      <c r="H30" s="31">
        <v>1</v>
      </c>
      <c r="J30" s="31"/>
      <c r="K30" s="31"/>
      <c r="L30" s="31"/>
      <c r="M30" s="31">
        <v>1</v>
      </c>
      <c r="N30" s="24">
        <f t="shared" si="14"/>
        <v>92</v>
      </c>
      <c r="P30" s="24">
        <f t="shared" si="15"/>
        <v>92</v>
      </c>
    </row>
    <row r="31" spans="2:18">
      <c r="B31" s="31" t="s">
        <v>41</v>
      </c>
      <c r="C31" s="31">
        <v>71</v>
      </c>
      <c r="E31" s="31">
        <v>32</v>
      </c>
      <c r="F31" s="31">
        <v>8</v>
      </c>
      <c r="G31" s="31">
        <v>2</v>
      </c>
      <c r="H31" s="31">
        <v>1</v>
      </c>
      <c r="N31" s="24">
        <f t="shared" si="14"/>
        <v>114</v>
      </c>
      <c r="P31" s="24">
        <f t="shared" si="15"/>
        <v>114</v>
      </c>
    </row>
    <row r="32" spans="2:18">
      <c r="B32" s="24" t="s">
        <v>44</v>
      </c>
      <c r="C32" s="24">
        <f t="shared" ref="C32:I32" si="16">SUM(C28:C31)</f>
        <v>299</v>
      </c>
      <c r="D32" s="24">
        <f t="shared" si="16"/>
        <v>0</v>
      </c>
      <c r="E32" s="24">
        <f t="shared" si="16"/>
        <v>109</v>
      </c>
      <c r="F32" s="24">
        <f t="shared" si="16"/>
        <v>39</v>
      </c>
      <c r="G32" s="24">
        <f t="shared" si="16"/>
        <v>16</v>
      </c>
      <c r="H32" s="24">
        <f t="shared" si="16"/>
        <v>10</v>
      </c>
      <c r="I32" s="24">
        <f t="shared" si="16"/>
        <v>2</v>
      </c>
      <c r="J32" s="24"/>
      <c r="K32" s="24"/>
      <c r="L32" s="24"/>
      <c r="M32" s="24">
        <f t="shared" ref="M32:P32" si="17">SUM(M28:M31)</f>
        <v>3</v>
      </c>
      <c r="N32" s="24">
        <f t="shared" si="17"/>
        <v>478</v>
      </c>
      <c r="O32" s="24">
        <f t="shared" si="17"/>
        <v>342</v>
      </c>
      <c r="P32" s="24">
        <f t="shared" si="17"/>
        <v>820</v>
      </c>
    </row>
    <row r="33" spans="2:18">
      <c r="B33" s="31" t="s">
        <v>46</v>
      </c>
      <c r="C33" s="31">
        <v>86</v>
      </c>
      <c r="E33" s="31">
        <v>12</v>
      </c>
      <c r="F33" s="31">
        <v>1</v>
      </c>
      <c r="G33" s="31">
        <v>5</v>
      </c>
      <c r="H33" s="31">
        <v>1</v>
      </c>
      <c r="J33" s="31"/>
      <c r="K33" s="31"/>
      <c r="L33" s="31"/>
      <c r="M33" s="31">
        <v>2</v>
      </c>
      <c r="N33" s="24">
        <f t="shared" ref="N33:N36" si="18">SUM(C33:M33)</f>
        <v>107</v>
      </c>
      <c r="P33" s="24">
        <f t="shared" ref="P33:P36" si="19">SUM(N33:O33)</f>
        <v>107</v>
      </c>
    </row>
    <row r="34" spans="2:18">
      <c r="B34" s="31" t="s">
        <v>51</v>
      </c>
      <c r="C34" s="31">
        <v>73</v>
      </c>
      <c r="E34" s="31">
        <v>24</v>
      </c>
      <c r="F34" s="31">
        <v>11</v>
      </c>
      <c r="G34" s="31">
        <v>2</v>
      </c>
      <c r="H34" s="31">
        <v>3</v>
      </c>
      <c r="N34" s="24">
        <f t="shared" si="18"/>
        <v>113</v>
      </c>
      <c r="O34" s="31">
        <v>73</v>
      </c>
      <c r="P34" s="24">
        <f t="shared" si="19"/>
        <v>186</v>
      </c>
    </row>
    <row r="35" spans="2:18">
      <c r="B35" s="31" t="s">
        <v>52</v>
      </c>
      <c r="C35" s="31">
        <v>81</v>
      </c>
      <c r="E35" s="31">
        <v>22</v>
      </c>
      <c r="F35" s="31">
        <v>6</v>
      </c>
      <c r="G35" s="31">
        <v>4</v>
      </c>
      <c r="H35" s="31">
        <v>1</v>
      </c>
      <c r="N35" s="24">
        <f t="shared" si="18"/>
        <v>114</v>
      </c>
      <c r="P35" s="24">
        <f t="shared" si="19"/>
        <v>114</v>
      </c>
    </row>
    <row r="36" spans="2:18">
      <c r="B36" s="31" t="s">
        <v>53</v>
      </c>
      <c r="C36" s="31">
        <v>117</v>
      </c>
      <c r="E36" s="31">
        <v>26</v>
      </c>
      <c r="F36" s="31">
        <v>8</v>
      </c>
      <c r="G36" s="31">
        <v>3</v>
      </c>
      <c r="J36" s="31"/>
      <c r="K36" s="31"/>
      <c r="L36" s="31"/>
      <c r="M36" s="31">
        <v>2</v>
      </c>
      <c r="N36" s="24">
        <f t="shared" si="18"/>
        <v>156</v>
      </c>
      <c r="P36" s="24">
        <f t="shared" si="19"/>
        <v>156</v>
      </c>
    </row>
    <row r="37" spans="2:18">
      <c r="B37" s="24" t="s">
        <v>54</v>
      </c>
      <c r="C37" s="24">
        <f t="shared" ref="C37:I37" si="20">SUM(C33:C36)</f>
        <v>357</v>
      </c>
      <c r="D37" s="24">
        <f t="shared" si="20"/>
        <v>0</v>
      </c>
      <c r="E37" s="24">
        <f t="shared" si="20"/>
        <v>84</v>
      </c>
      <c r="F37" s="24">
        <f t="shared" si="20"/>
        <v>26</v>
      </c>
      <c r="G37" s="24">
        <f t="shared" si="20"/>
        <v>14</v>
      </c>
      <c r="H37" s="24">
        <f t="shared" si="20"/>
        <v>5</v>
      </c>
      <c r="I37" s="24">
        <f t="shared" si="20"/>
        <v>0</v>
      </c>
      <c r="J37" s="24"/>
      <c r="K37" s="24"/>
      <c r="L37" s="24"/>
      <c r="M37" s="24">
        <f t="shared" ref="M37:P37" si="21">SUM(M33:M36)</f>
        <v>4</v>
      </c>
      <c r="N37" s="24">
        <f t="shared" si="21"/>
        <v>490</v>
      </c>
      <c r="O37" s="24">
        <f t="shared" si="21"/>
        <v>73</v>
      </c>
      <c r="P37" s="24">
        <f t="shared" si="21"/>
        <v>563</v>
      </c>
    </row>
    <row r="38" spans="2:18">
      <c r="B38" s="31" t="s">
        <v>55</v>
      </c>
      <c r="C38" s="31">
        <v>52</v>
      </c>
      <c r="E38" s="31">
        <v>24</v>
      </c>
      <c r="F38" s="31">
        <v>4</v>
      </c>
      <c r="G38" s="31">
        <v>6</v>
      </c>
      <c r="H38" s="31">
        <v>39</v>
      </c>
      <c r="J38" s="31"/>
      <c r="K38" s="31"/>
      <c r="L38" s="31"/>
      <c r="M38" s="31">
        <v>2</v>
      </c>
      <c r="N38" s="24">
        <f t="shared" ref="N38:N40" si="22">SUM(C38:M38)</f>
        <v>127</v>
      </c>
      <c r="O38" s="31">
        <v>139</v>
      </c>
      <c r="P38" s="24">
        <f t="shared" ref="P38:P40" si="23">SUM(N38:O38)</f>
        <v>266</v>
      </c>
    </row>
    <row r="39" spans="2:18">
      <c r="B39" s="31" t="s">
        <v>57</v>
      </c>
      <c r="C39" s="31">
        <v>62</v>
      </c>
      <c r="E39" s="31">
        <v>28</v>
      </c>
      <c r="F39" s="31">
        <v>11</v>
      </c>
      <c r="G39" s="31">
        <v>8</v>
      </c>
      <c r="H39" s="31">
        <v>1</v>
      </c>
      <c r="J39" s="31"/>
      <c r="K39" s="31"/>
      <c r="L39" s="31"/>
      <c r="M39" s="31">
        <v>2</v>
      </c>
      <c r="N39" s="24">
        <f t="shared" si="22"/>
        <v>112</v>
      </c>
      <c r="P39" s="24">
        <f t="shared" si="23"/>
        <v>112</v>
      </c>
    </row>
    <row r="40" spans="2:18">
      <c r="B40" s="31" t="s">
        <v>58</v>
      </c>
      <c r="C40" s="31">
        <v>38</v>
      </c>
      <c r="E40" s="31">
        <v>4</v>
      </c>
      <c r="F40" s="31">
        <v>3</v>
      </c>
      <c r="G40" s="31">
        <v>1</v>
      </c>
      <c r="J40" s="31"/>
      <c r="K40" s="31"/>
      <c r="L40" s="31"/>
      <c r="M40" s="31">
        <v>1</v>
      </c>
      <c r="N40" s="24">
        <f t="shared" si="22"/>
        <v>47</v>
      </c>
      <c r="O40" s="31">
        <v>1</v>
      </c>
      <c r="P40" s="24">
        <f t="shared" si="23"/>
        <v>48</v>
      </c>
    </row>
    <row r="41" spans="2:18">
      <c r="B41" s="24" t="s">
        <v>59</v>
      </c>
      <c r="C41" s="24">
        <f t="shared" ref="C41:I41" si="24">SUM(C38:C40)</f>
        <v>152</v>
      </c>
      <c r="D41" s="24">
        <f t="shared" si="24"/>
        <v>0</v>
      </c>
      <c r="E41" s="24">
        <f t="shared" si="24"/>
        <v>56</v>
      </c>
      <c r="F41" s="24">
        <f t="shared" si="24"/>
        <v>18</v>
      </c>
      <c r="G41" s="24">
        <f t="shared" si="24"/>
        <v>15</v>
      </c>
      <c r="H41" s="24">
        <f t="shared" si="24"/>
        <v>40</v>
      </c>
      <c r="I41" s="24">
        <f t="shared" si="24"/>
        <v>0</v>
      </c>
      <c r="J41" s="24"/>
      <c r="K41" s="24"/>
      <c r="L41" s="24"/>
      <c r="M41" s="24">
        <f t="shared" ref="M41:P41" si="25">SUM(M38:M40)</f>
        <v>5</v>
      </c>
      <c r="N41" s="24">
        <f t="shared" si="25"/>
        <v>286</v>
      </c>
      <c r="O41" s="24">
        <f t="shared" si="25"/>
        <v>140</v>
      </c>
      <c r="P41" s="24">
        <f t="shared" si="25"/>
        <v>426</v>
      </c>
    </row>
    <row r="42" spans="2:18">
      <c r="N42" s="24"/>
    </row>
    <row r="43" spans="2:18">
      <c r="N43" s="24"/>
    </row>
    <row r="44" spans="2:18">
      <c r="B44" s="24" t="s">
        <v>14</v>
      </c>
      <c r="C44" s="24">
        <f t="shared" ref="C44:I44" si="26">C41+C37+C32</f>
        <v>808</v>
      </c>
      <c r="D44" s="24">
        <f t="shared" si="26"/>
        <v>0</v>
      </c>
      <c r="E44" s="24">
        <f t="shared" si="26"/>
        <v>249</v>
      </c>
      <c r="F44" s="24">
        <f t="shared" si="26"/>
        <v>83</v>
      </c>
      <c r="G44" s="24">
        <f t="shared" si="26"/>
        <v>45</v>
      </c>
      <c r="H44" s="24">
        <f t="shared" si="26"/>
        <v>55</v>
      </c>
      <c r="I44" s="24">
        <f t="shared" si="26"/>
        <v>2</v>
      </c>
      <c r="J44" s="24"/>
      <c r="K44" s="24"/>
      <c r="L44" s="24"/>
      <c r="M44" s="24">
        <f t="shared" ref="M44:P44" si="27">M41+M37+M32</f>
        <v>12</v>
      </c>
      <c r="N44" s="24">
        <f t="shared" si="27"/>
        <v>1254</v>
      </c>
      <c r="O44" s="24">
        <f t="shared" si="27"/>
        <v>555</v>
      </c>
      <c r="P44" s="24">
        <f t="shared" si="27"/>
        <v>1809</v>
      </c>
      <c r="R44" s="31">
        <v>618</v>
      </c>
    </row>
    <row r="47" spans="2:18">
      <c r="C47" s="294" t="s">
        <v>152</v>
      </c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</row>
    <row r="48" spans="2:18">
      <c r="C48" s="31" t="s">
        <v>136</v>
      </c>
      <c r="D48" s="31" t="s">
        <v>137</v>
      </c>
      <c r="E48" s="31" t="s">
        <v>138</v>
      </c>
      <c r="F48" s="31" t="s">
        <v>139</v>
      </c>
      <c r="G48" s="31" t="s">
        <v>140</v>
      </c>
      <c r="H48" s="31" t="s">
        <v>141</v>
      </c>
      <c r="I48" s="31" t="s">
        <v>142</v>
      </c>
      <c r="J48" s="31"/>
      <c r="K48" s="31"/>
      <c r="L48" s="31"/>
      <c r="M48" s="31" t="s">
        <v>144</v>
      </c>
      <c r="N48" s="31" t="s">
        <v>14</v>
      </c>
      <c r="O48" s="31" t="s">
        <v>145</v>
      </c>
      <c r="P48" s="31" t="s">
        <v>146</v>
      </c>
    </row>
    <row r="50" spans="2:18">
      <c r="B50" s="31" t="s">
        <v>24</v>
      </c>
      <c r="C50" s="31">
        <v>89</v>
      </c>
      <c r="E50" s="31">
        <v>47</v>
      </c>
      <c r="F50" s="31">
        <v>25</v>
      </c>
      <c r="G50" s="31">
        <v>8</v>
      </c>
      <c r="H50" s="31">
        <v>2</v>
      </c>
      <c r="I50" s="31">
        <v>1</v>
      </c>
      <c r="J50" s="31"/>
      <c r="K50" s="31"/>
      <c r="L50" s="31"/>
      <c r="M50" s="31">
        <v>1</v>
      </c>
      <c r="N50" s="24">
        <f t="shared" ref="N50:N53" si="28">SUM(C50:M50)</f>
        <v>173</v>
      </c>
      <c r="O50" s="31">
        <v>503</v>
      </c>
      <c r="P50" s="24">
        <f t="shared" ref="P50:P53" si="29">SUM(N50:O50)</f>
        <v>676</v>
      </c>
    </row>
    <row r="51" spans="2:18">
      <c r="B51" s="31" t="s">
        <v>36</v>
      </c>
      <c r="C51" s="31">
        <v>49</v>
      </c>
      <c r="D51" s="31">
        <v>1</v>
      </c>
      <c r="E51" s="31">
        <v>30</v>
      </c>
      <c r="F51" s="31">
        <v>2</v>
      </c>
      <c r="G51" s="31">
        <v>5</v>
      </c>
      <c r="H51" s="31">
        <v>5</v>
      </c>
      <c r="I51" s="31">
        <v>1</v>
      </c>
      <c r="J51" s="31"/>
      <c r="K51" s="31"/>
      <c r="L51" s="31"/>
      <c r="M51" s="31">
        <v>1</v>
      </c>
      <c r="N51" s="24">
        <f t="shared" si="28"/>
        <v>94</v>
      </c>
      <c r="O51" s="31">
        <v>56</v>
      </c>
      <c r="P51" s="24">
        <f t="shared" si="29"/>
        <v>150</v>
      </c>
    </row>
    <row r="52" spans="2:18">
      <c r="B52" s="31" t="s">
        <v>40</v>
      </c>
      <c r="C52" s="31">
        <v>74</v>
      </c>
      <c r="E52" s="31">
        <v>17</v>
      </c>
      <c r="F52" s="31">
        <v>11</v>
      </c>
      <c r="G52" s="31">
        <v>5</v>
      </c>
      <c r="N52" s="24">
        <f t="shared" si="28"/>
        <v>107</v>
      </c>
      <c r="P52" s="24">
        <f t="shared" si="29"/>
        <v>107</v>
      </c>
    </row>
    <row r="53" spans="2:18">
      <c r="B53" s="31" t="s">
        <v>41</v>
      </c>
      <c r="C53" s="31">
        <v>80</v>
      </c>
      <c r="E53" s="31">
        <v>41</v>
      </c>
      <c r="F53" s="31">
        <v>14</v>
      </c>
      <c r="G53" s="31">
        <v>8</v>
      </c>
      <c r="J53" s="31"/>
      <c r="K53" s="31"/>
      <c r="L53" s="31"/>
      <c r="M53" s="31">
        <v>1</v>
      </c>
      <c r="N53" s="24">
        <f t="shared" si="28"/>
        <v>144</v>
      </c>
      <c r="P53" s="24">
        <f t="shared" si="29"/>
        <v>144</v>
      </c>
      <c r="R53" s="31" t="s">
        <v>153</v>
      </c>
    </row>
    <row r="54" spans="2:18">
      <c r="B54" s="24" t="s">
        <v>44</v>
      </c>
      <c r="C54" s="24">
        <f t="shared" ref="C54:I54" si="30">SUM(C50:C53)</f>
        <v>292</v>
      </c>
      <c r="D54" s="24">
        <f t="shared" si="30"/>
        <v>1</v>
      </c>
      <c r="E54" s="24">
        <f t="shared" si="30"/>
        <v>135</v>
      </c>
      <c r="F54" s="24">
        <f t="shared" si="30"/>
        <v>52</v>
      </c>
      <c r="G54" s="24">
        <f t="shared" si="30"/>
        <v>26</v>
      </c>
      <c r="H54" s="24">
        <f t="shared" si="30"/>
        <v>7</v>
      </c>
      <c r="I54" s="24">
        <f t="shared" si="30"/>
        <v>2</v>
      </c>
      <c r="J54" s="24"/>
      <c r="K54" s="24"/>
      <c r="L54" s="24"/>
      <c r="M54" s="24">
        <f t="shared" ref="M54:P54" si="31">SUM(M50:M53)</f>
        <v>3</v>
      </c>
      <c r="N54" s="24">
        <f t="shared" si="31"/>
        <v>518</v>
      </c>
      <c r="O54" s="24">
        <f t="shared" si="31"/>
        <v>559</v>
      </c>
      <c r="P54" s="24">
        <f t="shared" si="31"/>
        <v>1077</v>
      </c>
    </row>
    <row r="55" spans="2:18">
      <c r="B55" s="31" t="s">
        <v>46</v>
      </c>
      <c r="C55" s="31">
        <v>97</v>
      </c>
      <c r="E55" s="31">
        <v>16</v>
      </c>
      <c r="F55" s="31">
        <v>4</v>
      </c>
      <c r="G55" s="31">
        <v>6</v>
      </c>
      <c r="H55" s="31">
        <v>1</v>
      </c>
      <c r="N55" s="24">
        <f t="shared" ref="N55:N58" si="32">SUM(C55:M55)</f>
        <v>124</v>
      </c>
      <c r="P55" s="24">
        <f t="shared" ref="P55:P58" si="33">SUM(N55:O55)</f>
        <v>124</v>
      </c>
    </row>
    <row r="56" spans="2:18">
      <c r="B56" s="31" t="s">
        <v>51</v>
      </c>
      <c r="C56" s="31">
        <v>67</v>
      </c>
      <c r="E56" s="31">
        <v>22</v>
      </c>
      <c r="F56" s="31">
        <v>18</v>
      </c>
      <c r="G56" s="31">
        <v>3</v>
      </c>
      <c r="H56" s="31">
        <v>1</v>
      </c>
      <c r="N56" s="24">
        <f t="shared" si="32"/>
        <v>111</v>
      </c>
      <c r="O56" s="31">
        <v>89</v>
      </c>
      <c r="P56" s="24">
        <f t="shared" si="33"/>
        <v>200</v>
      </c>
    </row>
    <row r="57" spans="2:18">
      <c r="B57" s="31" t="s">
        <v>52</v>
      </c>
      <c r="C57" s="31">
        <v>58</v>
      </c>
      <c r="E57" s="31">
        <v>20</v>
      </c>
      <c r="F57" s="31">
        <v>4</v>
      </c>
      <c r="G57" s="31">
        <v>6</v>
      </c>
      <c r="H57" s="31">
        <v>1</v>
      </c>
      <c r="N57" s="24">
        <f t="shared" si="32"/>
        <v>89</v>
      </c>
      <c r="P57" s="24">
        <f t="shared" si="33"/>
        <v>89</v>
      </c>
    </row>
    <row r="58" spans="2:18">
      <c r="B58" s="31" t="s">
        <v>53</v>
      </c>
      <c r="C58" s="31">
        <v>100</v>
      </c>
      <c r="E58" s="31">
        <v>49</v>
      </c>
      <c r="F58" s="31">
        <v>9</v>
      </c>
      <c r="G58" s="31">
        <v>11</v>
      </c>
      <c r="J58" s="31"/>
      <c r="K58" s="31"/>
      <c r="L58" s="31"/>
      <c r="M58" s="31">
        <v>9</v>
      </c>
      <c r="N58" s="24">
        <f t="shared" si="32"/>
        <v>178</v>
      </c>
      <c r="P58" s="24">
        <f t="shared" si="33"/>
        <v>178</v>
      </c>
    </row>
    <row r="59" spans="2:18">
      <c r="B59" s="24" t="s">
        <v>54</v>
      </c>
      <c r="C59" s="24">
        <f t="shared" ref="C59:I59" si="34">SUM(C55:C58)</f>
        <v>322</v>
      </c>
      <c r="D59" s="24">
        <f t="shared" si="34"/>
        <v>0</v>
      </c>
      <c r="E59" s="24">
        <f t="shared" si="34"/>
        <v>107</v>
      </c>
      <c r="F59" s="24">
        <f t="shared" si="34"/>
        <v>35</v>
      </c>
      <c r="G59" s="24">
        <f t="shared" si="34"/>
        <v>26</v>
      </c>
      <c r="H59" s="24">
        <f t="shared" si="34"/>
        <v>3</v>
      </c>
      <c r="I59" s="24">
        <f t="shared" si="34"/>
        <v>0</v>
      </c>
      <c r="J59" s="24"/>
      <c r="K59" s="24"/>
      <c r="L59" s="24"/>
      <c r="M59" s="24">
        <f t="shared" ref="M59:P59" si="35">SUM(M55:M58)</f>
        <v>9</v>
      </c>
      <c r="N59" s="24">
        <f t="shared" si="35"/>
        <v>502</v>
      </c>
      <c r="O59" s="24">
        <f t="shared" si="35"/>
        <v>89</v>
      </c>
      <c r="P59" s="24">
        <f t="shared" si="35"/>
        <v>591</v>
      </c>
    </row>
    <row r="60" spans="2:18">
      <c r="B60" s="31" t="s">
        <v>55</v>
      </c>
      <c r="C60" s="31">
        <v>48</v>
      </c>
      <c r="E60" s="31">
        <v>40</v>
      </c>
      <c r="F60" s="31">
        <v>4</v>
      </c>
      <c r="G60" s="31">
        <v>7</v>
      </c>
      <c r="H60" s="31">
        <v>18</v>
      </c>
      <c r="J60" s="31"/>
      <c r="K60" s="31"/>
      <c r="L60" s="31"/>
      <c r="M60" s="31">
        <v>1</v>
      </c>
      <c r="N60" s="24">
        <f t="shared" ref="N60:N62" si="36">SUM(C60:M60)</f>
        <v>118</v>
      </c>
      <c r="O60" s="31">
        <v>231</v>
      </c>
      <c r="P60" s="24">
        <f t="shared" ref="P60:P62" si="37">SUM(N60:O60)</f>
        <v>349</v>
      </c>
    </row>
    <row r="61" spans="2:18">
      <c r="B61" s="31" t="s">
        <v>57</v>
      </c>
      <c r="C61" s="31">
        <v>85</v>
      </c>
      <c r="E61" s="31">
        <v>25</v>
      </c>
      <c r="F61" s="31">
        <v>6</v>
      </c>
      <c r="G61" s="31">
        <v>9</v>
      </c>
      <c r="H61" s="31">
        <v>8</v>
      </c>
      <c r="I61" s="31">
        <v>1</v>
      </c>
      <c r="N61" s="24">
        <f t="shared" si="36"/>
        <v>134</v>
      </c>
      <c r="P61" s="24">
        <f t="shared" si="37"/>
        <v>134</v>
      </c>
    </row>
    <row r="62" spans="2:18">
      <c r="B62" s="31" t="s">
        <v>58</v>
      </c>
      <c r="C62" s="31">
        <v>37</v>
      </c>
      <c r="E62" s="31">
        <v>3</v>
      </c>
      <c r="F62" s="31">
        <v>2</v>
      </c>
      <c r="G62" s="31">
        <v>3</v>
      </c>
      <c r="N62" s="24">
        <f t="shared" si="36"/>
        <v>45</v>
      </c>
      <c r="P62" s="24">
        <f t="shared" si="37"/>
        <v>45</v>
      </c>
    </row>
    <row r="63" spans="2:18">
      <c r="B63" s="24" t="s">
        <v>59</v>
      </c>
      <c r="C63" s="24">
        <f t="shared" ref="C63:I63" si="38">SUM(C60:C62)</f>
        <v>170</v>
      </c>
      <c r="D63" s="24">
        <f t="shared" si="38"/>
        <v>0</v>
      </c>
      <c r="E63" s="24">
        <f t="shared" si="38"/>
        <v>68</v>
      </c>
      <c r="F63" s="24">
        <f t="shared" si="38"/>
        <v>12</v>
      </c>
      <c r="G63" s="24">
        <f t="shared" si="38"/>
        <v>19</v>
      </c>
      <c r="H63" s="24">
        <f t="shared" si="38"/>
        <v>26</v>
      </c>
      <c r="I63" s="24">
        <f t="shared" si="38"/>
        <v>1</v>
      </c>
      <c r="J63" s="24"/>
      <c r="K63" s="24"/>
      <c r="L63" s="24"/>
      <c r="M63" s="24">
        <f t="shared" ref="M63:P63" si="39">SUM(M60:M62)</f>
        <v>1</v>
      </c>
      <c r="N63" s="24">
        <f t="shared" si="39"/>
        <v>297</v>
      </c>
      <c r="O63" s="24">
        <f t="shared" si="39"/>
        <v>231</v>
      </c>
      <c r="P63" s="24">
        <f t="shared" si="39"/>
        <v>528</v>
      </c>
    </row>
    <row r="64" spans="2:18">
      <c r="N64" s="24"/>
    </row>
    <row r="65" spans="2:22">
      <c r="N65" s="24"/>
    </row>
    <row r="66" spans="2:22">
      <c r="B66" s="24" t="s">
        <v>14</v>
      </c>
      <c r="C66" s="24">
        <f t="shared" ref="C66:I66" si="40">C63+C59+C54</f>
        <v>784</v>
      </c>
      <c r="D66" s="24">
        <f t="shared" si="40"/>
        <v>1</v>
      </c>
      <c r="E66" s="24">
        <f t="shared" si="40"/>
        <v>310</v>
      </c>
      <c r="F66" s="24">
        <f t="shared" si="40"/>
        <v>99</v>
      </c>
      <c r="G66" s="24">
        <f t="shared" si="40"/>
        <v>71</v>
      </c>
      <c r="H66" s="24">
        <f t="shared" si="40"/>
        <v>36</v>
      </c>
      <c r="I66" s="24">
        <f t="shared" si="40"/>
        <v>3</v>
      </c>
      <c r="J66" s="24"/>
      <c r="K66" s="24"/>
      <c r="L66" s="24"/>
      <c r="M66" s="24">
        <f t="shared" ref="M66:P66" si="41">M63+M59+M54</f>
        <v>13</v>
      </c>
      <c r="N66" s="24">
        <f t="shared" si="41"/>
        <v>1317</v>
      </c>
      <c r="O66" s="24">
        <f t="shared" si="41"/>
        <v>879</v>
      </c>
      <c r="P66" s="24">
        <f t="shared" si="41"/>
        <v>2196</v>
      </c>
      <c r="Q66" s="31">
        <f>E66/N66</f>
        <v>0.23538344722854973</v>
      </c>
      <c r="R66" s="31">
        <v>885</v>
      </c>
      <c r="S66" s="31">
        <f>R66+R44+R22</f>
        <v>2337</v>
      </c>
      <c r="T66" s="31">
        <f>O66+O44+O22</f>
        <v>2165</v>
      </c>
      <c r="U66" s="31">
        <f>S66/T66</f>
        <v>1.079445727482679</v>
      </c>
    </row>
    <row r="69" spans="2:22">
      <c r="C69" s="294" t="s">
        <v>154</v>
      </c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5"/>
    </row>
    <row r="70" spans="2:22">
      <c r="C70" s="31" t="s">
        <v>136</v>
      </c>
      <c r="D70" s="31" t="s">
        <v>137</v>
      </c>
      <c r="E70" s="31" t="s">
        <v>138</v>
      </c>
      <c r="F70" s="31" t="s">
        <v>139</v>
      </c>
      <c r="G70" s="31" t="s">
        <v>140</v>
      </c>
      <c r="H70" s="31" t="s">
        <v>141</v>
      </c>
      <c r="I70" s="31" t="s">
        <v>142</v>
      </c>
      <c r="J70" s="31" t="s">
        <v>155</v>
      </c>
      <c r="K70" s="31" t="s">
        <v>156</v>
      </c>
      <c r="L70" s="31" t="s">
        <v>157</v>
      </c>
      <c r="M70" s="31" t="s">
        <v>144</v>
      </c>
      <c r="N70" s="31" t="s">
        <v>14</v>
      </c>
      <c r="O70" s="31" t="s">
        <v>145</v>
      </c>
      <c r="P70" s="31" t="s">
        <v>146</v>
      </c>
      <c r="R70" s="31" t="s">
        <v>89</v>
      </c>
      <c r="S70" s="31" t="s">
        <v>90</v>
      </c>
      <c r="T70" s="31" t="s">
        <v>91</v>
      </c>
    </row>
    <row r="72" spans="2:22">
      <c r="B72" s="228" t="s">
        <v>24</v>
      </c>
      <c r="C72" s="31">
        <v>70</v>
      </c>
      <c r="D72" s="31">
        <v>1</v>
      </c>
      <c r="E72" s="31">
        <v>22</v>
      </c>
      <c r="F72" s="31">
        <v>20</v>
      </c>
      <c r="G72" s="31">
        <v>4</v>
      </c>
      <c r="H72" s="31">
        <v>1</v>
      </c>
      <c r="J72" s="31">
        <v>6</v>
      </c>
      <c r="K72" s="31">
        <v>5</v>
      </c>
      <c r="L72" s="31">
        <v>1</v>
      </c>
      <c r="M72" s="31">
        <v>5</v>
      </c>
      <c r="N72" s="24">
        <f t="shared" ref="N72:N75" si="42">SUM(C72:M72)</f>
        <v>135</v>
      </c>
      <c r="P72" s="24">
        <f t="shared" ref="P72:P75" si="43">SUM(N72:O72)</f>
        <v>135</v>
      </c>
      <c r="R72" s="31">
        <v>63</v>
      </c>
      <c r="S72" s="31">
        <v>41</v>
      </c>
      <c r="T72" s="31">
        <v>31</v>
      </c>
      <c r="U72" s="31">
        <f t="shared" ref="U72:U75" si="44">SUM(R72:T72)</f>
        <v>135</v>
      </c>
      <c r="V72" s="31">
        <f t="shared" ref="V72:V75" si="45">U72-P72</f>
        <v>0</v>
      </c>
    </row>
    <row r="73" spans="2:22">
      <c r="B73" s="228" t="s">
        <v>36</v>
      </c>
      <c r="C73" s="31">
        <v>47</v>
      </c>
      <c r="E73" s="31">
        <v>18</v>
      </c>
      <c r="F73" s="31">
        <v>4</v>
      </c>
      <c r="G73" s="31">
        <v>1</v>
      </c>
      <c r="H73" s="31">
        <v>2</v>
      </c>
      <c r="I73" s="31">
        <v>1</v>
      </c>
      <c r="J73" s="31">
        <v>2</v>
      </c>
      <c r="N73" s="24">
        <f t="shared" si="42"/>
        <v>75</v>
      </c>
      <c r="P73" s="24">
        <f t="shared" si="43"/>
        <v>75</v>
      </c>
      <c r="R73" s="31">
        <v>30</v>
      </c>
      <c r="S73" s="31">
        <v>19</v>
      </c>
      <c r="T73" s="31">
        <v>26</v>
      </c>
      <c r="U73" s="31">
        <f t="shared" si="44"/>
        <v>75</v>
      </c>
      <c r="V73" s="31">
        <f t="shared" si="45"/>
        <v>0</v>
      </c>
    </row>
    <row r="74" spans="2:22">
      <c r="B74" s="228" t="s">
        <v>40</v>
      </c>
      <c r="C74" s="31">
        <v>56</v>
      </c>
      <c r="E74" s="31">
        <v>4</v>
      </c>
      <c r="F74" s="31">
        <v>6</v>
      </c>
      <c r="G74" s="31">
        <v>2</v>
      </c>
      <c r="J74" s="31">
        <v>3</v>
      </c>
      <c r="K74" s="31"/>
      <c r="L74" s="31"/>
      <c r="M74" s="31">
        <v>3</v>
      </c>
      <c r="N74" s="24">
        <f t="shared" si="42"/>
        <v>74</v>
      </c>
      <c r="P74" s="24">
        <f t="shared" si="43"/>
        <v>74</v>
      </c>
      <c r="R74" s="31">
        <v>27</v>
      </c>
      <c r="S74" s="31">
        <v>31</v>
      </c>
      <c r="T74" s="31">
        <v>16</v>
      </c>
      <c r="U74" s="31">
        <f t="shared" si="44"/>
        <v>74</v>
      </c>
      <c r="V74" s="31">
        <f t="shared" si="45"/>
        <v>0</v>
      </c>
    </row>
    <row r="75" spans="2:22">
      <c r="B75" s="228" t="s">
        <v>41</v>
      </c>
      <c r="C75" s="31">
        <v>61</v>
      </c>
      <c r="E75" s="31">
        <v>17</v>
      </c>
      <c r="F75" s="31">
        <v>8</v>
      </c>
      <c r="G75" s="31">
        <v>4</v>
      </c>
      <c r="J75" s="31">
        <v>6</v>
      </c>
      <c r="K75" s="31"/>
      <c r="L75" s="31"/>
      <c r="M75" s="31">
        <v>1</v>
      </c>
      <c r="N75" s="24">
        <f t="shared" si="42"/>
        <v>97</v>
      </c>
      <c r="P75" s="24">
        <f t="shared" si="43"/>
        <v>97</v>
      </c>
      <c r="R75" s="31">
        <v>39</v>
      </c>
      <c r="S75" s="31">
        <v>34</v>
      </c>
      <c r="T75" s="31">
        <v>24</v>
      </c>
      <c r="U75" s="31">
        <f t="shared" si="44"/>
        <v>97</v>
      </c>
      <c r="V75" s="31">
        <f t="shared" si="45"/>
        <v>0</v>
      </c>
    </row>
    <row r="76" spans="2:22">
      <c r="B76" s="24" t="s">
        <v>44</v>
      </c>
      <c r="C76" s="24">
        <f t="shared" ref="C76:P76" si="46">SUM(C72:C75)</f>
        <v>234</v>
      </c>
      <c r="D76" s="24">
        <f t="shared" si="46"/>
        <v>1</v>
      </c>
      <c r="E76" s="24">
        <f t="shared" si="46"/>
        <v>61</v>
      </c>
      <c r="F76" s="24">
        <f t="shared" si="46"/>
        <v>38</v>
      </c>
      <c r="G76" s="24">
        <f t="shared" si="46"/>
        <v>11</v>
      </c>
      <c r="H76" s="24">
        <f t="shared" si="46"/>
        <v>3</v>
      </c>
      <c r="I76" s="24">
        <f t="shared" si="46"/>
        <v>1</v>
      </c>
      <c r="J76" s="24">
        <f t="shared" si="46"/>
        <v>17</v>
      </c>
      <c r="K76" s="24">
        <f t="shared" si="46"/>
        <v>5</v>
      </c>
      <c r="L76" s="24">
        <f t="shared" si="46"/>
        <v>1</v>
      </c>
      <c r="M76" s="24">
        <f t="shared" si="46"/>
        <v>9</v>
      </c>
      <c r="N76" s="24">
        <f t="shared" si="46"/>
        <v>381</v>
      </c>
      <c r="O76" s="24">
        <f t="shared" si="46"/>
        <v>0</v>
      </c>
      <c r="P76" s="24">
        <f t="shared" si="46"/>
        <v>381</v>
      </c>
    </row>
    <row r="77" spans="2:22">
      <c r="B77" s="31" t="s">
        <v>46</v>
      </c>
      <c r="C77" s="31">
        <v>52</v>
      </c>
      <c r="D77" s="31">
        <v>1</v>
      </c>
      <c r="E77" s="31">
        <v>4</v>
      </c>
      <c r="F77" s="31">
        <v>1</v>
      </c>
      <c r="G77" s="31">
        <v>5</v>
      </c>
      <c r="J77" s="31">
        <v>3</v>
      </c>
      <c r="N77" s="24">
        <f t="shared" ref="N77:N80" si="47">SUM(C77:M77)</f>
        <v>66</v>
      </c>
      <c r="P77" s="24">
        <f t="shared" ref="P77:P80" si="48">SUM(N77:O77)</f>
        <v>66</v>
      </c>
      <c r="R77" s="31">
        <v>41</v>
      </c>
      <c r="S77" s="31">
        <v>25</v>
      </c>
      <c r="U77" s="31">
        <f t="shared" ref="U77:U80" si="49">SUM(R77:T77)</f>
        <v>66</v>
      </c>
      <c r="V77" s="31">
        <f t="shared" ref="V77:V80" si="50">U77-P77</f>
        <v>0</v>
      </c>
    </row>
    <row r="78" spans="2:22">
      <c r="B78" s="31" t="s">
        <v>51</v>
      </c>
      <c r="C78" s="31">
        <v>44</v>
      </c>
      <c r="D78" s="31">
        <v>1</v>
      </c>
      <c r="E78" s="31">
        <v>12</v>
      </c>
      <c r="F78" s="31">
        <v>9</v>
      </c>
      <c r="G78" s="31">
        <v>2</v>
      </c>
      <c r="H78" s="31">
        <v>1</v>
      </c>
      <c r="N78" s="24">
        <f t="shared" si="47"/>
        <v>69</v>
      </c>
      <c r="P78" s="24">
        <f t="shared" si="48"/>
        <v>69</v>
      </c>
      <c r="R78" s="31">
        <v>33</v>
      </c>
      <c r="S78" s="31">
        <v>36</v>
      </c>
      <c r="U78" s="31">
        <f t="shared" si="49"/>
        <v>69</v>
      </c>
      <c r="V78" s="31">
        <f t="shared" si="50"/>
        <v>0</v>
      </c>
    </row>
    <row r="79" spans="2:22">
      <c r="B79" s="31" t="s">
        <v>52</v>
      </c>
      <c r="C79" s="31">
        <v>37</v>
      </c>
      <c r="D79" s="31">
        <v>1</v>
      </c>
      <c r="E79" s="31">
        <v>11</v>
      </c>
      <c r="F79" s="31">
        <v>5</v>
      </c>
      <c r="G79" s="31">
        <v>1</v>
      </c>
      <c r="J79" s="31">
        <v>3</v>
      </c>
      <c r="N79" s="24">
        <f t="shared" si="47"/>
        <v>58</v>
      </c>
      <c r="P79" s="24">
        <f t="shared" si="48"/>
        <v>58</v>
      </c>
      <c r="R79" s="31">
        <v>35</v>
      </c>
      <c r="S79" s="31">
        <v>23</v>
      </c>
      <c r="U79" s="31">
        <f t="shared" si="49"/>
        <v>58</v>
      </c>
      <c r="V79" s="31">
        <f t="shared" si="50"/>
        <v>0</v>
      </c>
    </row>
    <row r="80" spans="2:22">
      <c r="B80" s="31" t="s">
        <v>53</v>
      </c>
      <c r="C80" s="31">
        <v>79</v>
      </c>
      <c r="E80" s="31">
        <v>14</v>
      </c>
      <c r="F80" s="31">
        <v>3</v>
      </c>
      <c r="G80" s="31">
        <v>2</v>
      </c>
      <c r="J80" s="31">
        <v>3</v>
      </c>
      <c r="N80" s="24">
        <f t="shared" si="47"/>
        <v>101</v>
      </c>
      <c r="P80" s="24">
        <f t="shared" si="48"/>
        <v>101</v>
      </c>
      <c r="R80" s="31">
        <v>54</v>
      </c>
      <c r="S80" s="31">
        <v>47</v>
      </c>
      <c r="U80" s="31">
        <f t="shared" si="49"/>
        <v>101</v>
      </c>
      <c r="V80" s="31">
        <f t="shared" si="50"/>
        <v>0</v>
      </c>
    </row>
    <row r="81" spans="2:22">
      <c r="B81" s="24" t="s">
        <v>54</v>
      </c>
      <c r="C81" s="24">
        <f t="shared" ref="C81:P81" si="51">SUM(C77:C80)</f>
        <v>212</v>
      </c>
      <c r="D81" s="24">
        <f t="shared" si="51"/>
        <v>3</v>
      </c>
      <c r="E81" s="24">
        <f t="shared" si="51"/>
        <v>41</v>
      </c>
      <c r="F81" s="24">
        <f t="shared" si="51"/>
        <v>18</v>
      </c>
      <c r="G81" s="24">
        <f t="shared" si="51"/>
        <v>10</v>
      </c>
      <c r="H81" s="24">
        <f t="shared" si="51"/>
        <v>1</v>
      </c>
      <c r="I81" s="24">
        <f t="shared" si="51"/>
        <v>0</v>
      </c>
      <c r="J81" s="24">
        <f t="shared" si="51"/>
        <v>9</v>
      </c>
      <c r="K81" s="24">
        <f t="shared" si="51"/>
        <v>0</v>
      </c>
      <c r="L81" s="24">
        <f t="shared" si="51"/>
        <v>0</v>
      </c>
      <c r="M81" s="24">
        <f t="shared" si="51"/>
        <v>0</v>
      </c>
      <c r="N81" s="24">
        <f t="shared" si="51"/>
        <v>294</v>
      </c>
      <c r="O81" s="24">
        <f t="shared" si="51"/>
        <v>0</v>
      </c>
      <c r="P81" s="24">
        <f t="shared" si="51"/>
        <v>294</v>
      </c>
    </row>
    <row r="82" spans="2:22">
      <c r="B82" s="31" t="s">
        <v>55</v>
      </c>
      <c r="C82" s="31">
        <v>29</v>
      </c>
      <c r="E82" s="31">
        <v>17</v>
      </c>
      <c r="F82" s="31">
        <v>1</v>
      </c>
      <c r="G82" s="31">
        <v>4</v>
      </c>
      <c r="H82" s="31">
        <v>9</v>
      </c>
      <c r="J82" s="31">
        <v>2</v>
      </c>
      <c r="K82" s="31">
        <v>1</v>
      </c>
      <c r="N82" s="24">
        <f t="shared" ref="N82:N84" si="52">SUM(C82:M82)</f>
        <v>63</v>
      </c>
      <c r="P82" s="24">
        <f t="shared" ref="P82:P84" si="53">SUM(N82:O82)</f>
        <v>63</v>
      </c>
      <c r="R82" s="31">
        <v>34</v>
      </c>
      <c r="S82" s="31">
        <v>29</v>
      </c>
      <c r="U82" s="31">
        <f t="shared" ref="U82:U84" si="54">SUM(R82:T82)</f>
        <v>63</v>
      </c>
      <c r="V82" s="31">
        <f t="shared" ref="V82:V84" si="55">U82-P82</f>
        <v>0</v>
      </c>
    </row>
    <row r="83" spans="2:22">
      <c r="B83" s="31" t="s">
        <v>57</v>
      </c>
      <c r="C83" s="31">
        <v>53</v>
      </c>
      <c r="D83" s="31">
        <v>2</v>
      </c>
      <c r="E83" s="31">
        <v>6</v>
      </c>
      <c r="F83" s="31">
        <v>4</v>
      </c>
      <c r="G83" s="31">
        <v>5</v>
      </c>
      <c r="H83" s="31">
        <v>4</v>
      </c>
      <c r="J83" s="31">
        <v>6</v>
      </c>
      <c r="N83" s="24">
        <f t="shared" si="52"/>
        <v>80</v>
      </c>
      <c r="P83" s="24">
        <f t="shared" si="53"/>
        <v>80</v>
      </c>
      <c r="R83" s="31">
        <v>43</v>
      </c>
      <c r="S83" s="31">
        <v>37</v>
      </c>
      <c r="U83" s="31">
        <f t="shared" si="54"/>
        <v>80</v>
      </c>
      <c r="V83" s="31">
        <f t="shared" si="55"/>
        <v>0</v>
      </c>
    </row>
    <row r="84" spans="2:22">
      <c r="B84" s="31" t="s">
        <v>58</v>
      </c>
      <c r="C84" s="31">
        <v>22</v>
      </c>
      <c r="E84" s="31">
        <v>5</v>
      </c>
      <c r="F84" s="31">
        <v>1</v>
      </c>
      <c r="G84" s="31">
        <v>1</v>
      </c>
      <c r="J84" s="31">
        <v>1</v>
      </c>
      <c r="N84" s="24">
        <f t="shared" si="52"/>
        <v>30</v>
      </c>
      <c r="P84" s="24">
        <f t="shared" si="53"/>
        <v>30</v>
      </c>
      <c r="R84" s="31">
        <v>16</v>
      </c>
      <c r="S84" s="31">
        <v>14</v>
      </c>
      <c r="U84" s="31">
        <f t="shared" si="54"/>
        <v>30</v>
      </c>
      <c r="V84" s="31">
        <f t="shared" si="55"/>
        <v>0</v>
      </c>
    </row>
    <row r="85" spans="2:22">
      <c r="B85" s="24" t="s">
        <v>59</v>
      </c>
      <c r="C85" s="24">
        <f t="shared" ref="C85:P85" si="56">SUM(C82:C84)</f>
        <v>104</v>
      </c>
      <c r="D85" s="24">
        <f t="shared" si="56"/>
        <v>2</v>
      </c>
      <c r="E85" s="24">
        <f t="shared" si="56"/>
        <v>28</v>
      </c>
      <c r="F85" s="24">
        <f t="shared" si="56"/>
        <v>6</v>
      </c>
      <c r="G85" s="24">
        <f t="shared" si="56"/>
        <v>10</v>
      </c>
      <c r="H85" s="24">
        <f t="shared" si="56"/>
        <v>13</v>
      </c>
      <c r="I85" s="24">
        <f t="shared" si="56"/>
        <v>0</v>
      </c>
      <c r="J85" s="24">
        <f t="shared" si="56"/>
        <v>9</v>
      </c>
      <c r="K85" s="24">
        <f t="shared" si="56"/>
        <v>1</v>
      </c>
      <c r="L85" s="24">
        <f t="shared" si="56"/>
        <v>0</v>
      </c>
      <c r="M85" s="24">
        <f t="shared" si="56"/>
        <v>0</v>
      </c>
      <c r="N85" s="24">
        <f t="shared" si="56"/>
        <v>173</v>
      </c>
      <c r="O85" s="24">
        <f t="shared" si="56"/>
        <v>0</v>
      </c>
      <c r="P85" s="24">
        <f t="shared" si="56"/>
        <v>173</v>
      </c>
    </row>
    <row r="86" spans="2:22">
      <c r="N86" s="24"/>
    </row>
    <row r="87" spans="2:22">
      <c r="N87" s="24"/>
    </row>
    <row r="88" spans="2:22">
      <c r="B88" s="24" t="s">
        <v>14</v>
      </c>
      <c r="C88" s="24">
        <f t="shared" ref="C88:P88" si="57">C85+C81+C76</f>
        <v>550</v>
      </c>
      <c r="D88" s="24">
        <f t="shared" si="57"/>
        <v>6</v>
      </c>
      <c r="E88" s="24">
        <f t="shared" si="57"/>
        <v>130</v>
      </c>
      <c r="F88" s="24">
        <f t="shared" si="57"/>
        <v>62</v>
      </c>
      <c r="G88" s="24">
        <f t="shared" si="57"/>
        <v>31</v>
      </c>
      <c r="H88" s="24">
        <f t="shared" si="57"/>
        <v>17</v>
      </c>
      <c r="I88" s="24">
        <f t="shared" si="57"/>
        <v>1</v>
      </c>
      <c r="J88" s="24">
        <f t="shared" si="57"/>
        <v>35</v>
      </c>
      <c r="K88" s="24">
        <f t="shared" si="57"/>
        <v>6</v>
      </c>
      <c r="L88" s="24">
        <f t="shared" si="57"/>
        <v>1</v>
      </c>
      <c r="M88" s="24">
        <f t="shared" si="57"/>
        <v>9</v>
      </c>
      <c r="N88" s="24">
        <f t="shared" si="57"/>
        <v>848</v>
      </c>
      <c r="O88" s="24">
        <f t="shared" si="57"/>
        <v>0</v>
      </c>
      <c r="P88" s="24">
        <f t="shared" si="57"/>
        <v>848</v>
      </c>
      <c r="Q88" s="31">
        <f>E88/N88</f>
        <v>0.15330188679245282</v>
      </c>
      <c r="R88" s="31">
        <f t="shared" ref="R88:T88" si="58">SUM(R71:R87)</f>
        <v>415</v>
      </c>
      <c r="S88" s="31">
        <f t="shared" si="58"/>
        <v>336</v>
      </c>
      <c r="T88" s="31">
        <f t="shared" si="58"/>
        <v>97</v>
      </c>
      <c r="U88" s="31">
        <f>SUM(R88:T88)</f>
        <v>848</v>
      </c>
      <c r="V88" s="31">
        <f>U88-P88</f>
        <v>0</v>
      </c>
    </row>
    <row r="91" spans="2:22">
      <c r="C91" s="294" t="s">
        <v>158</v>
      </c>
      <c r="D91" s="285"/>
      <c r="E91" s="285"/>
      <c r="F91" s="285"/>
      <c r="G91" s="285"/>
      <c r="H91" s="285"/>
      <c r="I91" s="285"/>
      <c r="J91" s="285"/>
      <c r="K91" s="285"/>
      <c r="L91" s="285"/>
      <c r="M91" s="285"/>
      <c r="N91" s="285"/>
    </row>
    <row r="92" spans="2:22">
      <c r="C92" s="31" t="s">
        <v>136</v>
      </c>
      <c r="D92" s="31" t="s">
        <v>137</v>
      </c>
      <c r="E92" s="31" t="s">
        <v>138</v>
      </c>
      <c r="F92" s="31" t="s">
        <v>139</v>
      </c>
      <c r="G92" s="31" t="s">
        <v>140</v>
      </c>
      <c r="H92" s="31" t="s">
        <v>141</v>
      </c>
      <c r="I92" s="31" t="s">
        <v>142</v>
      </c>
      <c r="J92" s="31" t="s">
        <v>155</v>
      </c>
      <c r="K92" s="31" t="s">
        <v>156</v>
      </c>
      <c r="L92" s="31" t="s">
        <v>159</v>
      </c>
      <c r="M92" s="31" t="s">
        <v>144</v>
      </c>
      <c r="N92" s="31" t="s">
        <v>14</v>
      </c>
      <c r="O92" s="31" t="s">
        <v>145</v>
      </c>
      <c r="P92" s="31" t="s">
        <v>146</v>
      </c>
    </row>
    <row r="94" spans="2:22">
      <c r="B94" s="31" t="s">
        <v>24</v>
      </c>
      <c r="C94" s="31">
        <f t="shared" ref="C94:M94" si="59">C72+C50+C28+C6</f>
        <v>348</v>
      </c>
      <c r="D94" s="31">
        <f t="shared" si="59"/>
        <v>1</v>
      </c>
      <c r="E94" s="31">
        <f t="shared" si="59"/>
        <v>146</v>
      </c>
      <c r="F94" s="31">
        <f t="shared" si="59"/>
        <v>81</v>
      </c>
      <c r="G94" s="31">
        <f t="shared" si="59"/>
        <v>22</v>
      </c>
      <c r="H94" s="31">
        <f t="shared" si="59"/>
        <v>42</v>
      </c>
      <c r="I94" s="31">
        <f t="shared" si="59"/>
        <v>3</v>
      </c>
      <c r="J94" s="31">
        <f t="shared" si="59"/>
        <v>6</v>
      </c>
      <c r="K94" s="31">
        <f t="shared" si="59"/>
        <v>5</v>
      </c>
      <c r="L94" s="31">
        <f t="shared" si="59"/>
        <v>1</v>
      </c>
      <c r="M94" s="31">
        <f t="shared" si="59"/>
        <v>9</v>
      </c>
      <c r="N94" s="24">
        <f t="shared" ref="N94:N97" si="60">SUM(C94:M94)</f>
        <v>664</v>
      </c>
      <c r="O94" s="31">
        <f t="shared" ref="O94:O97" si="61">O72+O50+O28+O6</f>
        <v>1169</v>
      </c>
      <c r="P94" s="24">
        <f t="shared" ref="P94:P97" si="62">SUM(N94:O94)</f>
        <v>1833</v>
      </c>
    </row>
    <row r="95" spans="2:22">
      <c r="B95" s="31" t="s">
        <v>36</v>
      </c>
      <c r="C95" s="31">
        <f t="shared" ref="C95:M95" si="63">C73+C51+C29+C7</f>
        <v>227</v>
      </c>
      <c r="D95" s="31">
        <f t="shared" si="63"/>
        <v>1</v>
      </c>
      <c r="E95" s="31">
        <f t="shared" si="63"/>
        <v>126</v>
      </c>
      <c r="F95" s="31">
        <f t="shared" si="63"/>
        <v>18</v>
      </c>
      <c r="G95" s="31">
        <f t="shared" si="63"/>
        <v>12</v>
      </c>
      <c r="H95" s="31">
        <f t="shared" si="63"/>
        <v>15</v>
      </c>
      <c r="I95" s="31">
        <f t="shared" si="63"/>
        <v>11</v>
      </c>
      <c r="J95" s="31">
        <f t="shared" si="63"/>
        <v>2</v>
      </c>
      <c r="K95" s="31">
        <f t="shared" si="63"/>
        <v>0</v>
      </c>
      <c r="L95" s="31">
        <f t="shared" si="63"/>
        <v>0</v>
      </c>
      <c r="M95" s="31">
        <f t="shared" si="63"/>
        <v>2</v>
      </c>
      <c r="N95" s="24">
        <f t="shared" si="60"/>
        <v>414</v>
      </c>
      <c r="O95" s="31">
        <f t="shared" si="61"/>
        <v>145</v>
      </c>
      <c r="P95" s="24">
        <f t="shared" si="62"/>
        <v>559</v>
      </c>
    </row>
    <row r="96" spans="2:22">
      <c r="B96" s="31" t="s">
        <v>40</v>
      </c>
      <c r="C96" s="31">
        <f t="shared" ref="C96:M96" si="64">C74+C52+C30+C8</f>
        <v>246</v>
      </c>
      <c r="D96" s="31">
        <f t="shared" si="64"/>
        <v>0</v>
      </c>
      <c r="E96" s="31">
        <f t="shared" si="64"/>
        <v>56</v>
      </c>
      <c r="F96" s="31">
        <f t="shared" si="64"/>
        <v>38</v>
      </c>
      <c r="G96" s="31">
        <f t="shared" si="64"/>
        <v>16</v>
      </c>
      <c r="H96" s="31">
        <f t="shared" si="64"/>
        <v>4</v>
      </c>
      <c r="I96" s="31">
        <f t="shared" si="64"/>
        <v>0</v>
      </c>
      <c r="J96" s="31">
        <f t="shared" si="64"/>
        <v>3</v>
      </c>
      <c r="K96" s="31">
        <f t="shared" si="64"/>
        <v>0</v>
      </c>
      <c r="L96" s="31">
        <f t="shared" si="64"/>
        <v>0</v>
      </c>
      <c r="M96" s="31">
        <f t="shared" si="64"/>
        <v>6</v>
      </c>
      <c r="N96" s="24">
        <f t="shared" si="60"/>
        <v>369</v>
      </c>
      <c r="O96" s="31">
        <f t="shared" si="61"/>
        <v>0</v>
      </c>
      <c r="P96" s="24">
        <f t="shared" si="62"/>
        <v>369</v>
      </c>
    </row>
    <row r="97" spans="2:17">
      <c r="B97" s="31" t="s">
        <v>41</v>
      </c>
      <c r="C97" s="31">
        <f t="shared" ref="C97:M97" si="65">C75+C53+C31+C9</f>
        <v>286</v>
      </c>
      <c r="D97" s="31">
        <f t="shared" si="65"/>
        <v>0</v>
      </c>
      <c r="E97" s="31">
        <f t="shared" si="65"/>
        <v>140</v>
      </c>
      <c r="F97" s="31">
        <f t="shared" si="65"/>
        <v>48</v>
      </c>
      <c r="G97" s="31">
        <f t="shared" si="65"/>
        <v>19</v>
      </c>
      <c r="H97" s="31">
        <f t="shared" si="65"/>
        <v>1</v>
      </c>
      <c r="I97" s="31">
        <f t="shared" si="65"/>
        <v>1</v>
      </c>
      <c r="J97" s="31">
        <f t="shared" si="65"/>
        <v>6</v>
      </c>
      <c r="K97" s="31">
        <f t="shared" si="65"/>
        <v>0</v>
      </c>
      <c r="L97" s="31">
        <f t="shared" si="65"/>
        <v>0</v>
      </c>
      <c r="M97" s="31">
        <f t="shared" si="65"/>
        <v>3</v>
      </c>
      <c r="N97" s="24">
        <f t="shared" si="60"/>
        <v>504</v>
      </c>
      <c r="O97" s="31">
        <f t="shared" si="61"/>
        <v>0</v>
      </c>
      <c r="P97" s="24">
        <f t="shared" si="62"/>
        <v>504</v>
      </c>
    </row>
    <row r="98" spans="2:17">
      <c r="B98" s="24" t="s">
        <v>44</v>
      </c>
      <c r="C98" s="24">
        <f t="shared" ref="C98:P98" si="66">SUM(C94:C97)</f>
        <v>1107</v>
      </c>
      <c r="D98" s="24">
        <f t="shared" si="66"/>
        <v>2</v>
      </c>
      <c r="E98" s="24">
        <f t="shared" si="66"/>
        <v>468</v>
      </c>
      <c r="F98" s="24">
        <f t="shared" si="66"/>
        <v>185</v>
      </c>
      <c r="G98" s="24">
        <f t="shared" si="66"/>
        <v>69</v>
      </c>
      <c r="H98" s="24">
        <f t="shared" si="66"/>
        <v>62</v>
      </c>
      <c r="I98" s="24">
        <f t="shared" si="66"/>
        <v>15</v>
      </c>
      <c r="J98" s="24">
        <f t="shared" si="66"/>
        <v>17</v>
      </c>
      <c r="K98" s="24">
        <f t="shared" si="66"/>
        <v>5</v>
      </c>
      <c r="L98" s="24">
        <f t="shared" si="66"/>
        <v>1</v>
      </c>
      <c r="M98" s="24">
        <f t="shared" si="66"/>
        <v>20</v>
      </c>
      <c r="N98" s="24">
        <f t="shared" si="66"/>
        <v>1951</v>
      </c>
      <c r="O98" s="24">
        <f t="shared" si="66"/>
        <v>1314</v>
      </c>
      <c r="P98" s="24">
        <f t="shared" si="66"/>
        <v>3265</v>
      </c>
    </row>
    <row r="99" spans="2:17">
      <c r="B99" s="31" t="s">
        <v>46</v>
      </c>
      <c r="C99" s="31">
        <f t="shared" ref="C99:M99" si="67">C77+C55+C33+C11</f>
        <v>351</v>
      </c>
      <c r="D99" s="31">
        <f t="shared" si="67"/>
        <v>1</v>
      </c>
      <c r="E99" s="31">
        <f t="shared" si="67"/>
        <v>46</v>
      </c>
      <c r="F99" s="31">
        <f t="shared" si="67"/>
        <v>13</v>
      </c>
      <c r="G99" s="31">
        <f t="shared" si="67"/>
        <v>20</v>
      </c>
      <c r="H99" s="31">
        <f t="shared" si="67"/>
        <v>3</v>
      </c>
      <c r="I99" s="31">
        <f t="shared" si="67"/>
        <v>1</v>
      </c>
      <c r="J99" s="31">
        <f t="shared" si="67"/>
        <v>3</v>
      </c>
      <c r="K99" s="31">
        <f t="shared" si="67"/>
        <v>0</v>
      </c>
      <c r="L99" s="31">
        <f t="shared" si="67"/>
        <v>0</v>
      </c>
      <c r="M99" s="31">
        <f t="shared" si="67"/>
        <v>3</v>
      </c>
      <c r="N99" s="24">
        <f t="shared" ref="N99:N102" si="68">SUM(C99:M99)</f>
        <v>441</v>
      </c>
      <c r="O99" s="31">
        <f t="shared" ref="O99:O102" si="69">O77+O55+O33+O11</f>
        <v>1</v>
      </c>
      <c r="P99" s="24">
        <f t="shared" ref="P99:P102" si="70">SUM(N99:O99)</f>
        <v>442</v>
      </c>
    </row>
    <row r="100" spans="2:17">
      <c r="B100" s="31" t="s">
        <v>51</v>
      </c>
      <c r="C100" s="31">
        <f t="shared" ref="C100:M100" si="71">C78+C56+C34+C12</f>
        <v>258</v>
      </c>
      <c r="D100" s="31">
        <f t="shared" si="71"/>
        <v>1</v>
      </c>
      <c r="E100" s="31">
        <f t="shared" si="71"/>
        <v>80</v>
      </c>
      <c r="F100" s="31">
        <f t="shared" si="71"/>
        <v>51</v>
      </c>
      <c r="G100" s="31">
        <f t="shared" si="71"/>
        <v>15</v>
      </c>
      <c r="H100" s="31">
        <f t="shared" si="71"/>
        <v>7</v>
      </c>
      <c r="I100" s="31">
        <f t="shared" si="71"/>
        <v>6</v>
      </c>
      <c r="J100" s="31">
        <f t="shared" si="71"/>
        <v>0</v>
      </c>
      <c r="K100" s="31">
        <f t="shared" si="71"/>
        <v>0</v>
      </c>
      <c r="L100" s="31">
        <f t="shared" si="71"/>
        <v>0</v>
      </c>
      <c r="M100" s="31">
        <f t="shared" si="71"/>
        <v>1</v>
      </c>
      <c r="N100" s="24">
        <f t="shared" si="68"/>
        <v>419</v>
      </c>
      <c r="O100" s="31">
        <f t="shared" si="69"/>
        <v>296</v>
      </c>
      <c r="P100" s="24">
        <f t="shared" si="70"/>
        <v>715</v>
      </c>
    </row>
    <row r="101" spans="2:17">
      <c r="B101" s="31" t="s">
        <v>52</v>
      </c>
      <c r="C101" s="31">
        <f t="shared" ref="C101:M101" si="72">C79+C57+C35+C13</f>
        <v>253</v>
      </c>
      <c r="D101" s="31">
        <f t="shared" si="72"/>
        <v>1</v>
      </c>
      <c r="E101" s="31">
        <f t="shared" si="72"/>
        <v>75</v>
      </c>
      <c r="F101" s="31">
        <f t="shared" si="72"/>
        <v>18</v>
      </c>
      <c r="G101" s="31">
        <f t="shared" si="72"/>
        <v>16</v>
      </c>
      <c r="H101" s="31">
        <f t="shared" si="72"/>
        <v>3</v>
      </c>
      <c r="I101" s="31">
        <f t="shared" si="72"/>
        <v>0</v>
      </c>
      <c r="J101" s="31">
        <f t="shared" si="72"/>
        <v>3</v>
      </c>
      <c r="K101" s="31">
        <f t="shared" si="72"/>
        <v>0</v>
      </c>
      <c r="L101" s="31">
        <f t="shared" si="72"/>
        <v>0</v>
      </c>
      <c r="M101" s="31">
        <f t="shared" si="72"/>
        <v>0</v>
      </c>
      <c r="N101" s="24">
        <f t="shared" si="68"/>
        <v>369</v>
      </c>
      <c r="O101" s="31">
        <f t="shared" si="69"/>
        <v>0</v>
      </c>
      <c r="P101" s="24">
        <f t="shared" si="70"/>
        <v>369</v>
      </c>
    </row>
    <row r="102" spans="2:17">
      <c r="B102" s="31" t="s">
        <v>53</v>
      </c>
      <c r="C102" s="31">
        <f t="shared" ref="C102:M102" si="73">C80+C58+C36+C14</f>
        <v>401</v>
      </c>
      <c r="D102" s="31">
        <f t="shared" si="73"/>
        <v>0</v>
      </c>
      <c r="E102" s="31">
        <f t="shared" si="73"/>
        <v>133</v>
      </c>
      <c r="F102" s="31">
        <f t="shared" si="73"/>
        <v>23</v>
      </c>
      <c r="G102" s="31">
        <f t="shared" si="73"/>
        <v>24</v>
      </c>
      <c r="H102" s="31">
        <f t="shared" si="73"/>
        <v>1</v>
      </c>
      <c r="I102" s="31">
        <f t="shared" si="73"/>
        <v>0</v>
      </c>
      <c r="J102" s="31">
        <f t="shared" si="73"/>
        <v>3</v>
      </c>
      <c r="K102" s="31">
        <f t="shared" si="73"/>
        <v>0</v>
      </c>
      <c r="L102" s="31">
        <f t="shared" si="73"/>
        <v>0</v>
      </c>
      <c r="M102" s="31">
        <f t="shared" si="73"/>
        <v>11</v>
      </c>
      <c r="N102" s="24">
        <f t="shared" si="68"/>
        <v>596</v>
      </c>
      <c r="O102" s="31">
        <f t="shared" si="69"/>
        <v>0</v>
      </c>
      <c r="P102" s="24">
        <f t="shared" si="70"/>
        <v>596</v>
      </c>
    </row>
    <row r="103" spans="2:17">
      <c r="B103" s="24" t="s">
        <v>54</v>
      </c>
      <c r="C103" s="24">
        <f t="shared" ref="C103:P103" si="74">SUM(C99:C102)</f>
        <v>1263</v>
      </c>
      <c r="D103" s="24">
        <f t="shared" si="74"/>
        <v>3</v>
      </c>
      <c r="E103" s="24">
        <f t="shared" si="74"/>
        <v>334</v>
      </c>
      <c r="F103" s="24">
        <f t="shared" si="74"/>
        <v>105</v>
      </c>
      <c r="G103" s="24">
        <f t="shared" si="74"/>
        <v>75</v>
      </c>
      <c r="H103" s="24">
        <f t="shared" si="74"/>
        <v>14</v>
      </c>
      <c r="I103" s="24">
        <f t="shared" si="74"/>
        <v>7</v>
      </c>
      <c r="J103" s="24">
        <f t="shared" si="74"/>
        <v>9</v>
      </c>
      <c r="K103" s="24">
        <f t="shared" si="74"/>
        <v>0</v>
      </c>
      <c r="L103" s="24">
        <f t="shared" si="74"/>
        <v>0</v>
      </c>
      <c r="M103" s="24">
        <f t="shared" si="74"/>
        <v>15</v>
      </c>
      <c r="N103" s="24">
        <f t="shared" si="74"/>
        <v>1825</v>
      </c>
      <c r="O103" s="24">
        <f t="shared" si="74"/>
        <v>297</v>
      </c>
      <c r="P103" s="24">
        <f t="shared" si="74"/>
        <v>2122</v>
      </c>
    </row>
    <row r="104" spans="2:17">
      <c r="B104" s="31" t="s">
        <v>55</v>
      </c>
      <c r="C104" s="31">
        <f t="shared" ref="C104:M104" si="75">C82+C60+C38+C16</f>
        <v>180</v>
      </c>
      <c r="D104" s="31">
        <f t="shared" si="75"/>
        <v>0</v>
      </c>
      <c r="E104" s="31">
        <f t="shared" si="75"/>
        <v>113</v>
      </c>
      <c r="F104" s="31">
        <f t="shared" si="75"/>
        <v>13</v>
      </c>
      <c r="G104" s="31">
        <f t="shared" si="75"/>
        <v>22</v>
      </c>
      <c r="H104" s="31">
        <f t="shared" si="75"/>
        <v>101</v>
      </c>
      <c r="I104" s="31">
        <f t="shared" si="75"/>
        <v>0</v>
      </c>
      <c r="J104" s="31">
        <f t="shared" si="75"/>
        <v>2</v>
      </c>
      <c r="K104" s="31">
        <f t="shared" si="75"/>
        <v>1</v>
      </c>
      <c r="L104" s="31">
        <f t="shared" si="75"/>
        <v>0</v>
      </c>
      <c r="M104" s="31">
        <f t="shared" si="75"/>
        <v>7</v>
      </c>
      <c r="N104" s="24">
        <f t="shared" ref="N104:N106" si="76">SUM(C104:M104)</f>
        <v>439</v>
      </c>
      <c r="O104" s="31">
        <f t="shared" ref="O104:O106" si="77">O82+O60+O38+O16</f>
        <v>550</v>
      </c>
      <c r="P104" s="24">
        <f t="shared" ref="P104:P106" si="78">SUM(N104:O104)</f>
        <v>989</v>
      </c>
    </row>
    <row r="105" spans="2:17">
      <c r="B105" s="31" t="s">
        <v>57</v>
      </c>
      <c r="C105" s="31">
        <f t="shared" ref="C105:M105" si="79">C83+C61+C39+C17</f>
        <v>255</v>
      </c>
      <c r="D105" s="31">
        <f t="shared" si="79"/>
        <v>3</v>
      </c>
      <c r="E105" s="31">
        <f t="shared" si="79"/>
        <v>97</v>
      </c>
      <c r="F105" s="31">
        <f t="shared" si="79"/>
        <v>36</v>
      </c>
      <c r="G105" s="31">
        <f t="shared" si="79"/>
        <v>25</v>
      </c>
      <c r="H105" s="31">
        <f t="shared" si="79"/>
        <v>13</v>
      </c>
      <c r="I105" s="31">
        <f t="shared" si="79"/>
        <v>1</v>
      </c>
      <c r="J105" s="31">
        <f t="shared" si="79"/>
        <v>6</v>
      </c>
      <c r="K105" s="31">
        <f t="shared" si="79"/>
        <v>0</v>
      </c>
      <c r="L105" s="31">
        <f t="shared" si="79"/>
        <v>0</v>
      </c>
      <c r="M105" s="31">
        <f t="shared" si="79"/>
        <v>3</v>
      </c>
      <c r="N105" s="24">
        <f t="shared" si="76"/>
        <v>439</v>
      </c>
      <c r="O105" s="31">
        <f t="shared" si="77"/>
        <v>0</v>
      </c>
      <c r="P105" s="24">
        <f t="shared" si="78"/>
        <v>439</v>
      </c>
    </row>
    <row r="106" spans="2:17">
      <c r="B106" s="31" t="s">
        <v>58</v>
      </c>
      <c r="C106" s="31">
        <f t="shared" ref="C106:M106" si="80">C84+C62+C40+C18</f>
        <v>125</v>
      </c>
      <c r="D106" s="31">
        <f t="shared" si="80"/>
        <v>0</v>
      </c>
      <c r="E106" s="31">
        <f t="shared" si="80"/>
        <v>20</v>
      </c>
      <c r="F106" s="31">
        <f t="shared" si="80"/>
        <v>8</v>
      </c>
      <c r="G106" s="31">
        <f t="shared" si="80"/>
        <v>10</v>
      </c>
      <c r="H106" s="31">
        <f t="shared" si="80"/>
        <v>0</v>
      </c>
      <c r="I106" s="31">
        <f t="shared" si="80"/>
        <v>0</v>
      </c>
      <c r="J106" s="31">
        <f t="shared" si="80"/>
        <v>1</v>
      </c>
      <c r="K106" s="31">
        <f t="shared" si="80"/>
        <v>0</v>
      </c>
      <c r="L106" s="31">
        <f t="shared" si="80"/>
        <v>0</v>
      </c>
      <c r="M106" s="31">
        <f t="shared" si="80"/>
        <v>4</v>
      </c>
      <c r="N106" s="24">
        <f t="shared" si="76"/>
        <v>168</v>
      </c>
      <c r="O106" s="31">
        <f t="shared" si="77"/>
        <v>4</v>
      </c>
      <c r="P106" s="24">
        <f t="shared" si="78"/>
        <v>172</v>
      </c>
    </row>
    <row r="107" spans="2:17">
      <c r="B107" s="24" t="s">
        <v>59</v>
      </c>
      <c r="C107" s="24">
        <f t="shared" ref="C107:P107" si="81">SUM(C104:C106)</f>
        <v>560</v>
      </c>
      <c r="D107" s="24">
        <f t="shared" si="81"/>
        <v>3</v>
      </c>
      <c r="E107" s="24">
        <f t="shared" si="81"/>
        <v>230</v>
      </c>
      <c r="F107" s="24">
        <f t="shared" si="81"/>
        <v>57</v>
      </c>
      <c r="G107" s="24">
        <f t="shared" si="81"/>
        <v>57</v>
      </c>
      <c r="H107" s="24">
        <f t="shared" si="81"/>
        <v>114</v>
      </c>
      <c r="I107" s="24">
        <f t="shared" si="81"/>
        <v>1</v>
      </c>
      <c r="J107" s="24">
        <f t="shared" si="81"/>
        <v>9</v>
      </c>
      <c r="K107" s="24">
        <f t="shared" si="81"/>
        <v>1</v>
      </c>
      <c r="L107" s="24">
        <f t="shared" si="81"/>
        <v>0</v>
      </c>
      <c r="M107" s="24">
        <f t="shared" si="81"/>
        <v>14</v>
      </c>
      <c r="N107" s="24">
        <f t="shared" si="81"/>
        <v>1046</v>
      </c>
      <c r="O107" s="24">
        <f t="shared" si="81"/>
        <v>554</v>
      </c>
      <c r="P107" s="24">
        <f t="shared" si="81"/>
        <v>1600</v>
      </c>
    </row>
    <row r="108" spans="2:17">
      <c r="N108" s="24"/>
    </row>
    <row r="109" spans="2:17">
      <c r="N109" s="24"/>
    </row>
    <row r="110" spans="2:17">
      <c r="B110" s="24" t="s">
        <v>14</v>
      </c>
      <c r="C110" s="24">
        <f t="shared" ref="C110:P110" si="82">C107+C103+C98</f>
        <v>2930</v>
      </c>
      <c r="D110" s="24">
        <f t="shared" si="82"/>
        <v>8</v>
      </c>
      <c r="E110" s="24">
        <f t="shared" si="82"/>
        <v>1032</v>
      </c>
      <c r="F110" s="24">
        <f t="shared" si="82"/>
        <v>347</v>
      </c>
      <c r="G110" s="24">
        <f t="shared" si="82"/>
        <v>201</v>
      </c>
      <c r="H110" s="24">
        <f t="shared" si="82"/>
        <v>190</v>
      </c>
      <c r="I110" s="24">
        <f t="shared" si="82"/>
        <v>23</v>
      </c>
      <c r="J110" s="24">
        <f t="shared" si="82"/>
        <v>35</v>
      </c>
      <c r="K110" s="24">
        <f t="shared" si="82"/>
        <v>6</v>
      </c>
      <c r="L110" s="24">
        <f t="shared" si="82"/>
        <v>1</v>
      </c>
      <c r="M110" s="24">
        <f t="shared" si="82"/>
        <v>49</v>
      </c>
      <c r="N110" s="24">
        <f t="shared" si="82"/>
        <v>4822</v>
      </c>
      <c r="O110" s="24">
        <f t="shared" si="82"/>
        <v>2165</v>
      </c>
      <c r="P110" s="24">
        <f t="shared" si="82"/>
        <v>6987</v>
      </c>
      <c r="Q110" s="31">
        <f>E110/N110</f>
        <v>0.21401907922024058</v>
      </c>
    </row>
  </sheetData>
  <mergeCells count="5">
    <mergeCell ref="C3:N3"/>
    <mergeCell ref="C25:N25"/>
    <mergeCell ref="C47:N47"/>
    <mergeCell ref="C69:N69"/>
    <mergeCell ref="C91:N9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AS65"/>
  <sheetViews>
    <sheetView workbookViewId="0"/>
  </sheetViews>
  <sheetFormatPr defaultColWidth="12.6640625" defaultRowHeight="15.75" customHeight="1"/>
  <cols>
    <col min="2" max="2" width="7.109375" customWidth="1"/>
    <col min="3" max="3" width="9" customWidth="1"/>
    <col min="4" max="4" width="8.88671875" customWidth="1"/>
    <col min="5" max="6" width="7.109375" customWidth="1"/>
    <col min="7" max="7" width="9.44140625" customWidth="1"/>
    <col min="8" max="8" width="10.33203125" customWidth="1"/>
    <col min="9" max="10" width="7.109375" customWidth="1"/>
    <col min="11" max="11" width="9.33203125" customWidth="1"/>
    <col min="12" max="12" width="9.77734375" customWidth="1"/>
    <col min="13" max="16" width="7.109375" customWidth="1"/>
    <col min="17" max="17" width="10.109375" customWidth="1"/>
    <col min="18" max="18" width="9" customWidth="1"/>
    <col min="19" max="21" width="7.109375" customWidth="1"/>
    <col min="28" max="30" width="8.77734375" customWidth="1"/>
    <col min="31" max="31" width="10.44140625" customWidth="1"/>
    <col min="32" max="43" width="8.77734375" customWidth="1"/>
  </cols>
  <sheetData>
    <row r="1" spans="1:45">
      <c r="Y1" s="3"/>
    </row>
    <row r="3" spans="1:45" ht="15.75" customHeight="1">
      <c r="A3" s="292" t="s">
        <v>1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6"/>
      <c r="U3" s="4"/>
      <c r="V3" s="188"/>
      <c r="W3" s="189"/>
      <c r="X3" s="190"/>
      <c r="Y3" s="15" t="s">
        <v>2</v>
      </c>
      <c r="Z3" s="120" t="s">
        <v>3</v>
      </c>
      <c r="AA3" s="292" t="s">
        <v>111</v>
      </c>
      <c r="AB3" s="275"/>
      <c r="AC3" s="275"/>
      <c r="AD3" s="275"/>
      <c r="AE3" s="275"/>
      <c r="AF3" s="275"/>
      <c r="AG3" s="275"/>
      <c r="AH3" s="275"/>
      <c r="AI3" s="275"/>
      <c r="AJ3" s="275"/>
      <c r="AK3" s="275"/>
      <c r="AL3" s="275"/>
      <c r="AM3" s="275"/>
      <c r="AN3" s="275"/>
      <c r="AO3" s="275"/>
      <c r="AP3" s="276"/>
      <c r="AQ3" s="182"/>
      <c r="AR3" s="15" t="s">
        <v>2</v>
      </c>
      <c r="AS3" s="120" t="s">
        <v>3</v>
      </c>
    </row>
    <row r="4" spans="1:45" ht="15.75" customHeight="1">
      <c r="A4" s="32"/>
      <c r="B4" s="130"/>
      <c r="C4" s="277" t="s">
        <v>160</v>
      </c>
      <c r="D4" s="278"/>
      <c r="E4" s="278"/>
      <c r="F4" s="278"/>
      <c r="G4" s="277" t="s">
        <v>161</v>
      </c>
      <c r="H4" s="278"/>
      <c r="I4" s="278"/>
      <c r="J4" s="278"/>
      <c r="K4" s="277" t="s">
        <v>162</v>
      </c>
      <c r="L4" s="278"/>
      <c r="M4" s="278"/>
      <c r="N4" s="278"/>
      <c r="O4" s="29"/>
      <c r="P4" s="130"/>
      <c r="Q4" s="277" t="s">
        <v>14</v>
      </c>
      <c r="R4" s="278"/>
      <c r="S4" s="278"/>
      <c r="T4" s="279"/>
      <c r="U4" s="25"/>
      <c r="V4" s="25"/>
      <c r="X4" s="33"/>
      <c r="Z4" s="29"/>
      <c r="AA4" s="32"/>
      <c r="AB4" s="130"/>
      <c r="AC4" s="277" t="s">
        <v>115</v>
      </c>
      <c r="AD4" s="278"/>
      <c r="AE4" s="278"/>
      <c r="AF4" s="277" t="s">
        <v>81</v>
      </c>
      <c r="AG4" s="278"/>
      <c r="AH4" s="278"/>
      <c r="AI4" s="277" t="s">
        <v>77</v>
      </c>
      <c r="AJ4" s="278"/>
      <c r="AK4" s="278"/>
      <c r="AL4" s="29"/>
      <c r="AM4" s="130"/>
      <c r="AN4" s="277" t="s">
        <v>14</v>
      </c>
      <c r="AO4" s="278"/>
      <c r="AP4" s="279"/>
      <c r="AQ4" s="34"/>
    </row>
    <row r="5" spans="1:45" ht="15.75" customHeight="1">
      <c r="A5" s="35"/>
      <c r="B5" s="132" t="s">
        <v>13</v>
      </c>
      <c r="C5" s="132" t="s">
        <v>26</v>
      </c>
      <c r="D5" s="132" t="s">
        <v>27</v>
      </c>
      <c r="E5" s="132" t="s">
        <v>28</v>
      </c>
      <c r="F5" s="132" t="s">
        <v>29</v>
      </c>
      <c r="G5" s="132" t="s">
        <v>26</v>
      </c>
      <c r="H5" s="132" t="s">
        <v>27</v>
      </c>
      <c r="I5" s="132" t="s">
        <v>28</v>
      </c>
      <c r="J5" s="132" t="s">
        <v>29</v>
      </c>
      <c r="K5" s="132" t="s">
        <v>26</v>
      </c>
      <c r="L5" s="132" t="s">
        <v>27</v>
      </c>
      <c r="M5" s="132" t="s">
        <v>28</v>
      </c>
      <c r="N5" s="132" t="s">
        <v>29</v>
      </c>
      <c r="O5" s="38"/>
      <c r="P5" s="132" t="s">
        <v>13</v>
      </c>
      <c r="Q5" s="132" t="s">
        <v>26</v>
      </c>
      <c r="R5" s="132" t="s">
        <v>27</v>
      </c>
      <c r="S5" s="132" t="s">
        <v>28</v>
      </c>
      <c r="T5" s="135" t="s">
        <v>29</v>
      </c>
      <c r="U5" s="136" t="s">
        <v>32</v>
      </c>
      <c r="V5" s="48" t="s">
        <v>34</v>
      </c>
      <c r="W5" s="24" t="s">
        <v>15</v>
      </c>
      <c r="X5" s="27" t="s">
        <v>35</v>
      </c>
      <c r="Z5" s="177"/>
      <c r="AA5" s="35"/>
      <c r="AB5" s="132" t="s">
        <v>13</v>
      </c>
      <c r="AC5" s="132" t="s">
        <v>120</v>
      </c>
      <c r="AD5" s="132" t="s">
        <v>28</v>
      </c>
      <c r="AE5" s="132" t="s">
        <v>29</v>
      </c>
      <c r="AF5" s="132" t="s">
        <v>120</v>
      </c>
      <c r="AG5" s="132" t="s">
        <v>28</v>
      </c>
      <c r="AH5" s="132" t="s">
        <v>29</v>
      </c>
      <c r="AI5" s="132" t="s">
        <v>120</v>
      </c>
      <c r="AJ5" s="132" t="s">
        <v>28</v>
      </c>
      <c r="AK5" s="132" t="s">
        <v>29</v>
      </c>
      <c r="AL5" s="38"/>
      <c r="AM5" s="132" t="s">
        <v>13</v>
      </c>
      <c r="AN5" s="132" t="s">
        <v>120</v>
      </c>
      <c r="AO5" s="132" t="s">
        <v>28</v>
      </c>
      <c r="AP5" s="135" t="s">
        <v>29</v>
      </c>
      <c r="AQ5" s="183" t="s">
        <v>32</v>
      </c>
      <c r="AS5" s="177"/>
    </row>
    <row r="6" spans="1:45" ht="15.75" customHeight="1">
      <c r="A6" s="37" t="s">
        <v>24</v>
      </c>
      <c r="B6" s="169">
        <f>-'2024 - Q2'!U6</f>
        <v>80</v>
      </c>
      <c r="C6" s="39">
        <v>39</v>
      </c>
      <c r="D6" s="39">
        <v>2</v>
      </c>
      <c r="E6" s="56">
        <f t="shared" ref="E6:E9" si="0">SUM(C6:D6)</f>
        <v>41</v>
      </c>
      <c r="F6" s="192">
        <f>Targets!B30</f>
        <v>42</v>
      </c>
      <c r="G6" s="193">
        <v>24</v>
      </c>
      <c r="H6" s="39"/>
      <c r="I6" s="56">
        <f t="shared" ref="I6:I9" si="1">SUM(G6:H6)</f>
        <v>24</v>
      </c>
      <c r="J6" s="192">
        <f>Targets!C30</f>
        <v>21</v>
      </c>
      <c r="K6" s="193">
        <v>107</v>
      </c>
      <c r="L6" s="39">
        <v>1</v>
      </c>
      <c r="M6" s="56">
        <f t="shared" ref="M6:M9" si="2">SUM(K6:L6)</f>
        <v>108</v>
      </c>
      <c r="N6" s="192">
        <f>Targets!D30</f>
        <v>120</v>
      </c>
      <c r="O6" s="66"/>
      <c r="P6" s="170">
        <f t="shared" ref="P6:P9" si="3">B6</f>
        <v>80</v>
      </c>
      <c r="Q6" s="66">
        <f t="shared" ref="Q6:R6" si="4">K6+G6+C6</f>
        <v>170</v>
      </c>
      <c r="R6" s="66">
        <f t="shared" si="4"/>
        <v>3</v>
      </c>
      <c r="S6" s="171">
        <f t="shared" ref="S6:S9" si="5">SUM(P6:R6)</f>
        <v>253</v>
      </c>
      <c r="T6" s="198">
        <f t="shared" ref="T6:T9" si="6">N6+J6+F6</f>
        <v>183</v>
      </c>
      <c r="U6" s="172">
        <f t="shared" ref="U6:U9" si="7">T6-S6</f>
        <v>-70</v>
      </c>
      <c r="V6" s="37">
        <f t="shared" ref="V6:V9" si="8">R6+Q6</f>
        <v>173</v>
      </c>
      <c r="W6" s="200">
        <f t="shared" ref="W6:W9" si="9">T6</f>
        <v>183</v>
      </c>
      <c r="X6" s="201">
        <f t="shared" ref="X6:X9" si="10">(Q6+R6)/T6</f>
        <v>0.94535519125683065</v>
      </c>
      <c r="Y6" s="3">
        <v>45565</v>
      </c>
      <c r="Z6" s="177" t="s">
        <v>43</v>
      </c>
      <c r="AA6" s="32" t="s">
        <v>24</v>
      </c>
      <c r="AB6" s="169">
        <f>Targets!AC30</f>
        <v>5</v>
      </c>
      <c r="AC6" s="39">
        <f t="shared" ref="AC6:AC9" si="11">AG47</f>
        <v>1</v>
      </c>
      <c r="AD6" s="56">
        <f t="shared" ref="AD6:AD9" si="12">SUM(AC6)</f>
        <v>1</v>
      </c>
      <c r="AE6" s="57">
        <f>Targets!T43+Targets!U43</f>
        <v>8</v>
      </c>
      <c r="AF6" s="193">
        <v>3</v>
      </c>
      <c r="AG6" s="56">
        <f t="shared" ref="AG6:AG9" si="13">SUM(AF6)</f>
        <v>3</v>
      </c>
      <c r="AH6" s="57">
        <f>Targets!V43</f>
        <v>1</v>
      </c>
      <c r="AI6" s="193">
        <v>0</v>
      </c>
      <c r="AJ6" s="56">
        <f t="shared" ref="AJ6:AJ9" si="14">SUM(AI6)</f>
        <v>0</v>
      </c>
      <c r="AK6" s="57">
        <f>Targets!W43</f>
        <v>0</v>
      </c>
      <c r="AL6" s="66"/>
      <c r="AM6" s="170">
        <f t="shared" ref="AM6:AM9" si="15">AB6</f>
        <v>5</v>
      </c>
      <c r="AN6" s="66">
        <f t="shared" ref="AN6:AN9" si="16">AI6+AF6+AC6</f>
        <v>4</v>
      </c>
      <c r="AO6" s="171">
        <f t="shared" ref="AO6:AO9" si="17">AN6+AM6</f>
        <v>9</v>
      </c>
      <c r="AP6" s="68">
        <f t="shared" ref="AP6:AP9" si="18">AK6+AH6+AE6</f>
        <v>9</v>
      </c>
      <c r="AQ6" s="202">
        <f t="shared" ref="AQ6:AQ9" si="19">AP6-AO6</f>
        <v>0</v>
      </c>
      <c r="AR6" s="3">
        <v>45565</v>
      </c>
      <c r="AS6" s="177" t="s">
        <v>43</v>
      </c>
    </row>
    <row r="7" spans="1:45" ht="15.75" customHeight="1">
      <c r="A7" s="37" t="s">
        <v>36</v>
      </c>
      <c r="B7" s="169">
        <f>-'2024 - Q2'!U7</f>
        <v>-20</v>
      </c>
      <c r="C7" s="39">
        <v>28</v>
      </c>
      <c r="D7" s="39">
        <v>3</v>
      </c>
      <c r="E7" s="56">
        <f t="shared" si="0"/>
        <v>31</v>
      </c>
      <c r="F7" s="192">
        <f>Targets!B27</f>
        <v>37</v>
      </c>
      <c r="G7" s="193">
        <v>4</v>
      </c>
      <c r="H7" s="39"/>
      <c r="I7" s="56">
        <f t="shared" si="1"/>
        <v>4</v>
      </c>
      <c r="J7" s="192">
        <f>Targets!C27</f>
        <v>16</v>
      </c>
      <c r="K7" s="193">
        <v>56</v>
      </c>
      <c r="L7" s="39">
        <v>3</v>
      </c>
      <c r="M7" s="56">
        <f t="shared" si="2"/>
        <v>59</v>
      </c>
      <c r="N7" s="192">
        <f>Targets!D27</f>
        <v>115</v>
      </c>
      <c r="O7" s="66"/>
      <c r="P7" s="170">
        <f t="shared" si="3"/>
        <v>-20</v>
      </c>
      <c r="Q7" s="66">
        <f t="shared" ref="Q7:R7" si="20">K7+G7+C7</f>
        <v>88</v>
      </c>
      <c r="R7" s="66">
        <f t="shared" si="20"/>
        <v>6</v>
      </c>
      <c r="S7" s="171">
        <f t="shared" si="5"/>
        <v>74</v>
      </c>
      <c r="T7" s="198">
        <f t="shared" si="6"/>
        <v>168</v>
      </c>
      <c r="U7" s="172">
        <f t="shared" si="7"/>
        <v>94</v>
      </c>
      <c r="V7" s="37">
        <f t="shared" si="8"/>
        <v>94</v>
      </c>
      <c r="W7" s="200">
        <f t="shared" si="9"/>
        <v>168</v>
      </c>
      <c r="X7" s="201">
        <f t="shared" si="10"/>
        <v>0.55952380952380953</v>
      </c>
      <c r="Y7" s="3">
        <v>45565</v>
      </c>
      <c r="Z7" s="177" t="s">
        <v>43</v>
      </c>
      <c r="AA7" s="32" t="s">
        <v>36</v>
      </c>
      <c r="AB7" s="169">
        <f>Targets!AC27</f>
        <v>3</v>
      </c>
      <c r="AC7" s="39">
        <f t="shared" si="11"/>
        <v>0</v>
      </c>
      <c r="AD7" s="56">
        <f t="shared" si="12"/>
        <v>0</v>
      </c>
      <c r="AE7" s="57">
        <f>Targets!T44+Targets!U44</f>
        <v>7</v>
      </c>
      <c r="AF7" s="193">
        <v>2</v>
      </c>
      <c r="AG7" s="56">
        <f t="shared" si="13"/>
        <v>2</v>
      </c>
      <c r="AH7" s="57">
        <f>Targets!V44</f>
        <v>1</v>
      </c>
      <c r="AI7" s="193">
        <v>0</v>
      </c>
      <c r="AJ7" s="56">
        <f t="shared" si="14"/>
        <v>0</v>
      </c>
      <c r="AK7" s="57">
        <f>Targets!W44</f>
        <v>0</v>
      </c>
      <c r="AL7" s="66"/>
      <c r="AM7" s="170">
        <f t="shared" si="15"/>
        <v>3</v>
      </c>
      <c r="AN7" s="66">
        <f t="shared" si="16"/>
        <v>2</v>
      </c>
      <c r="AO7" s="171">
        <f t="shared" si="17"/>
        <v>5</v>
      </c>
      <c r="AP7" s="68">
        <f t="shared" si="18"/>
        <v>8</v>
      </c>
      <c r="AQ7" s="202">
        <f t="shared" si="19"/>
        <v>3</v>
      </c>
      <c r="AR7" s="3">
        <v>45565</v>
      </c>
      <c r="AS7" s="177" t="s">
        <v>43</v>
      </c>
    </row>
    <row r="8" spans="1:45" ht="15.75" customHeight="1">
      <c r="A8" s="37" t="s">
        <v>40</v>
      </c>
      <c r="B8" s="169">
        <f>-'2024 - Q2'!U8</f>
        <v>17</v>
      </c>
      <c r="C8" s="39">
        <v>27</v>
      </c>
      <c r="D8" s="66"/>
      <c r="E8" s="56">
        <f t="shared" si="0"/>
        <v>27</v>
      </c>
      <c r="F8" s="192">
        <f>Targets!B28</f>
        <v>26</v>
      </c>
      <c r="G8" s="193">
        <v>16</v>
      </c>
      <c r="H8" s="39"/>
      <c r="I8" s="56">
        <f t="shared" si="1"/>
        <v>16</v>
      </c>
      <c r="J8" s="192">
        <f>Targets!C28</f>
        <v>13</v>
      </c>
      <c r="K8" s="193">
        <v>64</v>
      </c>
      <c r="L8" s="39"/>
      <c r="M8" s="56">
        <f t="shared" si="2"/>
        <v>64</v>
      </c>
      <c r="N8" s="192">
        <f>Targets!D28</f>
        <v>79</v>
      </c>
      <c r="O8" s="66"/>
      <c r="P8" s="170">
        <f t="shared" si="3"/>
        <v>17</v>
      </c>
      <c r="Q8" s="66">
        <f t="shared" ref="Q8:R8" si="21">K8+G8+C8</f>
        <v>107</v>
      </c>
      <c r="R8" s="66">
        <f t="shared" si="21"/>
        <v>0</v>
      </c>
      <c r="S8" s="171">
        <f t="shared" si="5"/>
        <v>124</v>
      </c>
      <c r="T8" s="198">
        <f t="shared" si="6"/>
        <v>118</v>
      </c>
      <c r="U8" s="172">
        <f t="shared" si="7"/>
        <v>-6</v>
      </c>
      <c r="V8" s="37">
        <f t="shared" si="8"/>
        <v>107</v>
      </c>
      <c r="W8" s="200">
        <f t="shared" si="9"/>
        <v>118</v>
      </c>
      <c r="X8" s="201">
        <f t="shared" si="10"/>
        <v>0.90677966101694918</v>
      </c>
      <c r="Y8" s="3">
        <v>45565</v>
      </c>
      <c r="Z8" s="177" t="s">
        <v>43</v>
      </c>
      <c r="AA8" s="32" t="s">
        <v>40</v>
      </c>
      <c r="AB8" s="169">
        <f>Targets!AC28</f>
        <v>8</v>
      </c>
      <c r="AC8" s="39">
        <f t="shared" si="11"/>
        <v>0</v>
      </c>
      <c r="AD8" s="56">
        <f t="shared" si="12"/>
        <v>0</v>
      </c>
      <c r="AE8" s="57">
        <f>Targets!T45+Targets!U45</f>
        <v>5</v>
      </c>
      <c r="AF8" s="193">
        <v>2</v>
      </c>
      <c r="AG8" s="56">
        <f t="shared" si="13"/>
        <v>2</v>
      </c>
      <c r="AH8" s="57">
        <f>Targets!V45</f>
        <v>1</v>
      </c>
      <c r="AI8" s="193">
        <v>0</v>
      </c>
      <c r="AJ8" s="56">
        <f t="shared" si="14"/>
        <v>0</v>
      </c>
      <c r="AK8" s="57">
        <f>Targets!W45</f>
        <v>0</v>
      </c>
      <c r="AL8" s="66"/>
      <c r="AM8" s="170">
        <f t="shared" si="15"/>
        <v>8</v>
      </c>
      <c r="AN8" s="66">
        <f t="shared" si="16"/>
        <v>2</v>
      </c>
      <c r="AO8" s="171">
        <f t="shared" si="17"/>
        <v>10</v>
      </c>
      <c r="AP8" s="68">
        <f t="shared" si="18"/>
        <v>6</v>
      </c>
      <c r="AQ8" s="202">
        <f t="shared" si="19"/>
        <v>-4</v>
      </c>
      <c r="AR8" s="3">
        <v>45565</v>
      </c>
      <c r="AS8" s="177" t="s">
        <v>43</v>
      </c>
    </row>
    <row r="9" spans="1:45" ht="15.75" customHeight="1">
      <c r="A9" s="37" t="s">
        <v>41</v>
      </c>
      <c r="B9" s="169">
        <f>-'2024 - Q2'!U9</f>
        <v>25</v>
      </c>
      <c r="C9" s="70">
        <v>45</v>
      </c>
      <c r="D9" s="86"/>
      <c r="E9" s="56">
        <f t="shared" si="0"/>
        <v>45</v>
      </c>
      <c r="F9" s="192">
        <f>Targets!B29</f>
        <v>35</v>
      </c>
      <c r="G9" s="193">
        <v>15</v>
      </c>
      <c r="H9" s="39"/>
      <c r="I9" s="56">
        <f t="shared" si="1"/>
        <v>15</v>
      </c>
      <c r="J9" s="192">
        <f>Targets!C29</f>
        <v>17</v>
      </c>
      <c r="K9" s="193">
        <v>84</v>
      </c>
      <c r="L9" s="39"/>
      <c r="M9" s="56">
        <f t="shared" si="2"/>
        <v>84</v>
      </c>
      <c r="N9" s="192">
        <f>Targets!D29</f>
        <v>96</v>
      </c>
      <c r="O9" s="66"/>
      <c r="P9" s="170">
        <f t="shared" si="3"/>
        <v>25</v>
      </c>
      <c r="Q9" s="66">
        <f t="shared" ref="Q9:R9" si="22">K9+G9+C9</f>
        <v>144</v>
      </c>
      <c r="R9" s="66">
        <f t="shared" si="22"/>
        <v>0</v>
      </c>
      <c r="S9" s="171">
        <f t="shared" si="5"/>
        <v>169</v>
      </c>
      <c r="T9" s="198">
        <f t="shared" si="6"/>
        <v>148</v>
      </c>
      <c r="U9" s="172">
        <f t="shared" si="7"/>
        <v>-21</v>
      </c>
      <c r="V9" s="37">
        <f t="shared" si="8"/>
        <v>144</v>
      </c>
      <c r="W9" s="200">
        <f t="shared" si="9"/>
        <v>148</v>
      </c>
      <c r="X9" s="201">
        <f t="shared" si="10"/>
        <v>0.97297297297297303</v>
      </c>
      <c r="Y9" s="3">
        <v>45565</v>
      </c>
      <c r="Z9" s="177" t="s">
        <v>43</v>
      </c>
      <c r="AA9" s="32" t="s">
        <v>41</v>
      </c>
      <c r="AB9" s="169">
        <f>Targets!AC29</f>
        <v>1</v>
      </c>
      <c r="AC9" s="39">
        <f t="shared" si="11"/>
        <v>1</v>
      </c>
      <c r="AD9" s="56">
        <f t="shared" si="12"/>
        <v>1</v>
      </c>
      <c r="AE9" s="57">
        <f>Targets!T46+Targets!U46</f>
        <v>6</v>
      </c>
      <c r="AF9" s="193">
        <v>1</v>
      </c>
      <c r="AG9" s="56">
        <f t="shared" si="13"/>
        <v>1</v>
      </c>
      <c r="AH9" s="57">
        <f>Targets!V46</f>
        <v>1</v>
      </c>
      <c r="AI9" s="193">
        <v>0</v>
      </c>
      <c r="AJ9" s="56">
        <f t="shared" si="14"/>
        <v>0</v>
      </c>
      <c r="AK9" s="57">
        <f>Targets!W46</f>
        <v>0</v>
      </c>
      <c r="AL9" s="66"/>
      <c r="AM9" s="170">
        <f t="shared" si="15"/>
        <v>1</v>
      </c>
      <c r="AN9" s="66">
        <f t="shared" si="16"/>
        <v>2</v>
      </c>
      <c r="AO9" s="171">
        <f t="shared" si="17"/>
        <v>3</v>
      </c>
      <c r="AP9" s="68">
        <f t="shared" si="18"/>
        <v>7</v>
      </c>
      <c r="AQ9" s="202">
        <f t="shared" si="19"/>
        <v>4</v>
      </c>
      <c r="AR9" s="3">
        <v>45565</v>
      </c>
      <c r="AS9" s="177" t="s">
        <v>43</v>
      </c>
    </row>
    <row r="10" spans="1:45" ht="15.75" customHeight="1">
      <c r="A10" s="76" t="s">
        <v>44</v>
      </c>
      <c r="B10" s="81">
        <f t="shared" ref="B10:N10" si="23">SUM(B6:B9)</f>
        <v>102</v>
      </c>
      <c r="C10" s="78">
        <f t="shared" si="23"/>
        <v>139</v>
      </c>
      <c r="D10" s="78">
        <f t="shared" si="23"/>
        <v>5</v>
      </c>
      <c r="E10" s="78">
        <f t="shared" si="23"/>
        <v>144</v>
      </c>
      <c r="F10" s="81">
        <f t="shared" si="23"/>
        <v>140</v>
      </c>
      <c r="G10" s="78">
        <f t="shared" si="23"/>
        <v>59</v>
      </c>
      <c r="H10" s="78">
        <f t="shared" si="23"/>
        <v>0</v>
      </c>
      <c r="I10" s="78">
        <f t="shared" si="23"/>
        <v>59</v>
      </c>
      <c r="J10" s="81">
        <f t="shared" si="23"/>
        <v>67</v>
      </c>
      <c r="K10" s="78">
        <f t="shared" si="23"/>
        <v>311</v>
      </c>
      <c r="L10" s="78">
        <f t="shared" si="23"/>
        <v>4</v>
      </c>
      <c r="M10" s="78">
        <f t="shared" si="23"/>
        <v>315</v>
      </c>
      <c r="N10" s="81">
        <f t="shared" si="23"/>
        <v>410</v>
      </c>
      <c r="O10" s="66"/>
      <c r="P10" s="81">
        <f t="shared" ref="P10:W10" si="24">SUM(P6:P9)</f>
        <v>102</v>
      </c>
      <c r="Q10" s="78">
        <f t="shared" si="24"/>
        <v>509</v>
      </c>
      <c r="R10" s="78">
        <f t="shared" si="24"/>
        <v>9</v>
      </c>
      <c r="S10" s="81">
        <f t="shared" si="24"/>
        <v>620</v>
      </c>
      <c r="T10" s="82">
        <f t="shared" si="24"/>
        <v>617</v>
      </c>
      <c r="U10" s="174">
        <f t="shared" si="24"/>
        <v>-3</v>
      </c>
      <c r="V10" s="93">
        <f t="shared" si="24"/>
        <v>518</v>
      </c>
      <c r="W10" s="81">
        <f t="shared" si="24"/>
        <v>617</v>
      </c>
      <c r="X10" s="218"/>
      <c r="Z10" s="177"/>
      <c r="AA10" s="35" t="s">
        <v>44</v>
      </c>
      <c r="AB10" s="81">
        <f t="shared" ref="AB10:AK10" si="25">SUM(AB6:AB9)</f>
        <v>17</v>
      </c>
      <c r="AC10" s="78">
        <f t="shared" si="25"/>
        <v>2</v>
      </c>
      <c r="AD10" s="78">
        <f t="shared" si="25"/>
        <v>2</v>
      </c>
      <c r="AE10" s="78">
        <f t="shared" si="25"/>
        <v>26</v>
      </c>
      <c r="AF10" s="78">
        <f t="shared" si="25"/>
        <v>8</v>
      </c>
      <c r="AG10" s="78">
        <f t="shared" si="25"/>
        <v>8</v>
      </c>
      <c r="AH10" s="78">
        <f t="shared" si="25"/>
        <v>4</v>
      </c>
      <c r="AI10" s="78">
        <f t="shared" si="25"/>
        <v>0</v>
      </c>
      <c r="AJ10" s="78">
        <f t="shared" si="25"/>
        <v>0</v>
      </c>
      <c r="AK10" s="78">
        <f t="shared" si="25"/>
        <v>0</v>
      </c>
      <c r="AL10" s="66"/>
      <c r="AM10" s="81">
        <f t="shared" ref="AM10:AQ10" si="26">SUM(AM6:AM9)</f>
        <v>17</v>
      </c>
      <c r="AN10" s="78">
        <f t="shared" si="26"/>
        <v>10</v>
      </c>
      <c r="AO10" s="81">
        <f t="shared" si="26"/>
        <v>27</v>
      </c>
      <c r="AP10" s="92">
        <f t="shared" si="26"/>
        <v>30</v>
      </c>
      <c r="AQ10" s="206">
        <f t="shared" si="26"/>
        <v>3</v>
      </c>
    </row>
    <row r="11" spans="1:45" ht="15.75" customHeight="1">
      <c r="A11" s="37" t="s">
        <v>46</v>
      </c>
      <c r="B11" s="169">
        <f>-'2024 - Q2'!U11</f>
        <v>31</v>
      </c>
      <c r="C11" s="66">
        <v>28</v>
      </c>
      <c r="D11" s="66"/>
      <c r="E11" s="56">
        <f t="shared" ref="E11:E14" si="27">SUM(C11:D11)</f>
        <v>28</v>
      </c>
      <c r="F11" s="192">
        <f>Targets!B33</f>
        <v>34</v>
      </c>
      <c r="G11" s="193">
        <v>11</v>
      </c>
      <c r="H11" s="39"/>
      <c r="I11" s="56">
        <f t="shared" ref="I11:I14" si="28">SUM(G11:H11)</f>
        <v>11</v>
      </c>
      <c r="J11" s="192">
        <f>Targets!C33</f>
        <v>16</v>
      </c>
      <c r="K11" s="193">
        <v>85</v>
      </c>
      <c r="L11" s="39"/>
      <c r="M11" s="56">
        <f t="shared" ref="M11:M14" si="29">SUM(K11:L11)</f>
        <v>85</v>
      </c>
      <c r="N11" s="192">
        <f>Targets!D33</f>
        <v>89</v>
      </c>
      <c r="O11" s="66"/>
      <c r="P11" s="170">
        <f t="shared" ref="P11:P14" si="30">B11</f>
        <v>31</v>
      </c>
      <c r="Q11" s="66">
        <f t="shared" ref="Q11:R11" si="31">K11+G11+C11</f>
        <v>124</v>
      </c>
      <c r="R11" s="66">
        <f t="shared" si="31"/>
        <v>0</v>
      </c>
      <c r="S11" s="171">
        <f t="shared" ref="S11:S14" si="32">SUM(P11:R11)</f>
        <v>155</v>
      </c>
      <c r="T11" s="198">
        <f t="shared" ref="T11:T14" si="33">N11+J11+F11</f>
        <v>139</v>
      </c>
      <c r="U11" s="172">
        <f t="shared" ref="U11:U14" si="34">T11-S11</f>
        <v>-16</v>
      </c>
      <c r="V11" s="37">
        <f t="shared" ref="V11:V14" si="35">R11+Q11</f>
        <v>124</v>
      </c>
      <c r="W11" s="200">
        <f t="shared" ref="W11:W14" si="36">T11</f>
        <v>139</v>
      </c>
      <c r="X11" s="201">
        <f t="shared" ref="X11:X14" si="37">(Q11+R11)/T11</f>
        <v>0.8920863309352518</v>
      </c>
      <c r="Y11" s="3">
        <v>45565</v>
      </c>
      <c r="Z11" s="177" t="s">
        <v>56</v>
      </c>
      <c r="AA11" s="32" t="s">
        <v>46</v>
      </c>
      <c r="AB11" s="169">
        <f>Targets!AC33</f>
        <v>6</v>
      </c>
      <c r="AC11" s="39">
        <f t="shared" ref="AC11:AC14" si="38">AG52</f>
        <v>0</v>
      </c>
      <c r="AD11" s="56">
        <f t="shared" ref="AD11:AD14" si="39">SUM(AC11)</f>
        <v>0</v>
      </c>
      <c r="AE11" s="57">
        <f>Targets!T48+Targets!U48</f>
        <v>7</v>
      </c>
      <c r="AF11" s="66">
        <v>1</v>
      </c>
      <c r="AG11" s="56">
        <f t="shared" ref="AG11:AG14" si="40">SUM(AF11)</f>
        <v>1</v>
      </c>
      <c r="AH11" s="57">
        <f>Targets!V48</f>
        <v>1</v>
      </c>
      <c r="AI11" s="66">
        <v>0</v>
      </c>
      <c r="AJ11" s="56">
        <v>0</v>
      </c>
      <c r="AK11" s="57">
        <f>Targets!W48</f>
        <v>0</v>
      </c>
      <c r="AL11" s="66"/>
      <c r="AM11" s="170">
        <f t="shared" ref="AM11:AM14" si="41">AB11</f>
        <v>6</v>
      </c>
      <c r="AN11" s="66">
        <f>AI11+AF11+AC11</f>
        <v>1</v>
      </c>
      <c r="AO11" s="171">
        <f t="shared" ref="AO11:AO14" si="42">AN11+AM11</f>
        <v>7</v>
      </c>
      <c r="AP11" s="68">
        <f t="shared" ref="AP11:AP14" si="43">AK11+AH11+AE11</f>
        <v>8</v>
      </c>
      <c r="AQ11" s="202">
        <f t="shared" ref="AQ11:AQ14" si="44">AP11-AO11</f>
        <v>1</v>
      </c>
      <c r="AR11" s="3">
        <v>45565</v>
      </c>
      <c r="AS11" s="31" t="s">
        <v>56</v>
      </c>
    </row>
    <row r="12" spans="1:45" ht="15.75" customHeight="1">
      <c r="A12" s="37" t="s">
        <v>51</v>
      </c>
      <c r="B12" s="169">
        <f>-'2024 - Q2'!U12</f>
        <v>20</v>
      </c>
      <c r="C12" s="66">
        <v>36</v>
      </c>
      <c r="D12" s="66"/>
      <c r="E12" s="56">
        <f t="shared" si="27"/>
        <v>36</v>
      </c>
      <c r="F12" s="192">
        <f>Targets!B32</f>
        <v>31</v>
      </c>
      <c r="G12" s="193">
        <v>21</v>
      </c>
      <c r="H12" s="39"/>
      <c r="I12" s="56">
        <f t="shared" si="28"/>
        <v>21</v>
      </c>
      <c r="J12" s="192">
        <f>Targets!C32</f>
        <v>14</v>
      </c>
      <c r="K12" s="193">
        <v>53</v>
      </c>
      <c r="L12" s="39">
        <v>1</v>
      </c>
      <c r="M12" s="56">
        <f t="shared" si="29"/>
        <v>54</v>
      </c>
      <c r="N12" s="192">
        <f>Targets!D32</f>
        <v>82</v>
      </c>
      <c r="O12" s="66"/>
      <c r="P12" s="170">
        <f t="shared" si="30"/>
        <v>20</v>
      </c>
      <c r="Q12" s="66">
        <f t="shared" ref="Q12:Q13" si="45">K12+G12+O20+C12</f>
        <v>110</v>
      </c>
      <c r="R12" s="66">
        <f t="shared" ref="R12:R13" si="46">L12+H12+D12</f>
        <v>1</v>
      </c>
      <c r="S12" s="171">
        <f t="shared" si="32"/>
        <v>131</v>
      </c>
      <c r="T12" s="198">
        <f t="shared" si="33"/>
        <v>127</v>
      </c>
      <c r="U12" s="172">
        <f t="shared" si="34"/>
        <v>-4</v>
      </c>
      <c r="V12" s="37">
        <f t="shared" si="35"/>
        <v>111</v>
      </c>
      <c r="W12" s="200">
        <f t="shared" si="36"/>
        <v>127</v>
      </c>
      <c r="X12" s="201">
        <f t="shared" si="37"/>
        <v>0.87401574803149606</v>
      </c>
      <c r="Y12" s="3">
        <v>45565</v>
      </c>
      <c r="Z12" s="177" t="s">
        <v>56</v>
      </c>
      <c r="AA12" s="32" t="s">
        <v>51</v>
      </c>
      <c r="AB12" s="169">
        <f>Targets!AC32</f>
        <v>2</v>
      </c>
      <c r="AC12" s="39">
        <f t="shared" si="38"/>
        <v>0</v>
      </c>
      <c r="AD12" s="56">
        <f t="shared" si="39"/>
        <v>0</v>
      </c>
      <c r="AE12" s="57">
        <f>Targets!T49+Targets!U49</f>
        <v>7</v>
      </c>
      <c r="AF12" s="66">
        <v>1</v>
      </c>
      <c r="AG12" s="56">
        <f t="shared" si="40"/>
        <v>1</v>
      </c>
      <c r="AH12" s="57">
        <f>Targets!V49</f>
        <v>1</v>
      </c>
      <c r="AI12" s="66"/>
      <c r="AJ12" s="56">
        <f t="shared" ref="AJ12:AJ14" si="47">SUM(AI12)</f>
        <v>0</v>
      </c>
      <c r="AK12" s="57">
        <f>Targets!W49</f>
        <v>0</v>
      </c>
      <c r="AL12" s="66"/>
      <c r="AM12" s="170">
        <f t="shared" si="41"/>
        <v>2</v>
      </c>
      <c r="AN12" s="66">
        <v>2</v>
      </c>
      <c r="AO12" s="171">
        <f t="shared" si="42"/>
        <v>4</v>
      </c>
      <c r="AP12" s="68">
        <f t="shared" si="43"/>
        <v>8</v>
      </c>
      <c r="AQ12" s="202">
        <f t="shared" si="44"/>
        <v>4</v>
      </c>
      <c r="AR12" s="3">
        <v>45565</v>
      </c>
      <c r="AS12" s="31" t="s">
        <v>56</v>
      </c>
    </row>
    <row r="13" spans="1:45" ht="15.75" customHeight="1">
      <c r="A13" s="37" t="s">
        <v>52</v>
      </c>
      <c r="B13" s="169">
        <f>-'2024 - Q2'!U13</f>
        <v>47</v>
      </c>
      <c r="C13" s="66">
        <v>23</v>
      </c>
      <c r="D13" s="66">
        <v>1</v>
      </c>
      <c r="E13" s="56">
        <f t="shared" si="27"/>
        <v>24</v>
      </c>
      <c r="F13" s="192">
        <f>Targets!B31</f>
        <v>26</v>
      </c>
      <c r="G13" s="193">
        <v>22</v>
      </c>
      <c r="H13" s="39"/>
      <c r="I13" s="56">
        <f t="shared" si="28"/>
        <v>22</v>
      </c>
      <c r="J13" s="192">
        <f>Targets!C31</f>
        <v>11</v>
      </c>
      <c r="K13" s="193">
        <v>43</v>
      </c>
      <c r="L13" s="39"/>
      <c r="M13" s="56">
        <f t="shared" si="29"/>
        <v>43</v>
      </c>
      <c r="N13" s="192">
        <f>Targets!D31</f>
        <v>70</v>
      </c>
      <c r="O13" s="66"/>
      <c r="P13" s="170">
        <f t="shared" si="30"/>
        <v>47</v>
      </c>
      <c r="Q13" s="66">
        <f t="shared" si="45"/>
        <v>88</v>
      </c>
      <c r="R13" s="66">
        <f t="shared" si="46"/>
        <v>1</v>
      </c>
      <c r="S13" s="171">
        <f t="shared" si="32"/>
        <v>136</v>
      </c>
      <c r="T13" s="198">
        <f t="shared" si="33"/>
        <v>107</v>
      </c>
      <c r="U13" s="172">
        <f t="shared" si="34"/>
        <v>-29</v>
      </c>
      <c r="V13" s="37">
        <f t="shared" si="35"/>
        <v>89</v>
      </c>
      <c r="W13" s="200">
        <f t="shared" si="36"/>
        <v>107</v>
      </c>
      <c r="X13" s="201">
        <f t="shared" si="37"/>
        <v>0.83177570093457942</v>
      </c>
      <c r="Y13" s="3">
        <v>45565</v>
      </c>
      <c r="Z13" s="177" t="s">
        <v>56</v>
      </c>
      <c r="AA13" s="32" t="s">
        <v>52</v>
      </c>
      <c r="AB13" s="169">
        <f>Targets!AC31</f>
        <v>2</v>
      </c>
      <c r="AC13" s="39">
        <f t="shared" si="38"/>
        <v>1</v>
      </c>
      <c r="AD13" s="56">
        <f t="shared" si="39"/>
        <v>1</v>
      </c>
      <c r="AE13" s="57">
        <f>Targets!T50+Targets!U50</f>
        <v>5</v>
      </c>
      <c r="AF13" s="66">
        <v>3</v>
      </c>
      <c r="AG13" s="56">
        <f t="shared" si="40"/>
        <v>3</v>
      </c>
      <c r="AH13" s="57">
        <f>Targets!V50</f>
        <v>1</v>
      </c>
      <c r="AI13" s="66"/>
      <c r="AJ13" s="56">
        <f t="shared" si="47"/>
        <v>0</v>
      </c>
      <c r="AK13" s="57">
        <f>Targets!W50</f>
        <v>0</v>
      </c>
      <c r="AL13" s="66"/>
      <c r="AM13" s="170">
        <f t="shared" si="41"/>
        <v>2</v>
      </c>
      <c r="AN13" s="66">
        <v>7</v>
      </c>
      <c r="AO13" s="171">
        <f t="shared" si="42"/>
        <v>9</v>
      </c>
      <c r="AP13" s="68">
        <f t="shared" si="43"/>
        <v>6</v>
      </c>
      <c r="AQ13" s="202">
        <f t="shared" si="44"/>
        <v>-3</v>
      </c>
      <c r="AR13" s="3">
        <v>45565</v>
      </c>
      <c r="AS13" s="31" t="s">
        <v>56</v>
      </c>
    </row>
    <row r="14" spans="1:45" ht="15.75" customHeight="1">
      <c r="A14" s="37" t="s">
        <v>53</v>
      </c>
      <c r="B14" s="169">
        <f>-'2024 - Q2'!U14</f>
        <v>9</v>
      </c>
      <c r="C14" s="66">
        <v>66</v>
      </c>
      <c r="D14" s="66"/>
      <c r="E14" s="56">
        <f t="shared" si="27"/>
        <v>66</v>
      </c>
      <c r="F14" s="192">
        <f>Targets!B34</f>
        <v>45</v>
      </c>
      <c r="G14" s="193">
        <v>19</v>
      </c>
      <c r="H14" s="39"/>
      <c r="I14" s="56">
        <f t="shared" si="28"/>
        <v>19</v>
      </c>
      <c r="J14" s="192">
        <f>Targets!C34</f>
        <v>21</v>
      </c>
      <c r="K14" s="193">
        <v>93</v>
      </c>
      <c r="L14" s="39"/>
      <c r="M14" s="56">
        <f t="shared" si="29"/>
        <v>93</v>
      </c>
      <c r="N14" s="192">
        <f>Targets!D34</f>
        <v>120</v>
      </c>
      <c r="O14" s="66"/>
      <c r="P14" s="170">
        <f t="shared" si="30"/>
        <v>9</v>
      </c>
      <c r="Q14" s="66">
        <f t="shared" ref="Q14:R14" si="48">K14+G14+C14</f>
        <v>178</v>
      </c>
      <c r="R14" s="66">
        <f t="shared" si="48"/>
        <v>0</v>
      </c>
      <c r="S14" s="171">
        <f t="shared" si="32"/>
        <v>187</v>
      </c>
      <c r="T14" s="198">
        <f t="shared" si="33"/>
        <v>186</v>
      </c>
      <c r="U14" s="172">
        <f t="shared" si="34"/>
        <v>-1</v>
      </c>
      <c r="V14" s="37">
        <f t="shared" si="35"/>
        <v>178</v>
      </c>
      <c r="W14" s="200">
        <f t="shared" si="36"/>
        <v>186</v>
      </c>
      <c r="X14" s="201">
        <f t="shared" si="37"/>
        <v>0.956989247311828</v>
      </c>
      <c r="Y14" s="3">
        <v>45565</v>
      </c>
      <c r="Z14" s="177" t="s">
        <v>56</v>
      </c>
      <c r="AA14" s="32" t="s">
        <v>53</v>
      </c>
      <c r="AB14" s="169">
        <f>Targets!AC34</f>
        <v>7</v>
      </c>
      <c r="AC14" s="39">
        <f t="shared" si="38"/>
        <v>1</v>
      </c>
      <c r="AD14" s="56">
        <f t="shared" si="39"/>
        <v>1</v>
      </c>
      <c r="AE14" s="57">
        <f>Targets!T51+Targets!U51</f>
        <v>9</v>
      </c>
      <c r="AF14" s="66">
        <v>1</v>
      </c>
      <c r="AG14" s="56">
        <f t="shared" si="40"/>
        <v>1</v>
      </c>
      <c r="AH14" s="57">
        <f>Targets!V51</f>
        <v>2</v>
      </c>
      <c r="AI14" s="66"/>
      <c r="AJ14" s="56">
        <f t="shared" si="47"/>
        <v>0</v>
      </c>
      <c r="AK14" s="57">
        <f>Targets!W51</f>
        <v>0</v>
      </c>
      <c r="AL14" s="66"/>
      <c r="AM14" s="170">
        <f t="shared" si="41"/>
        <v>7</v>
      </c>
      <c r="AN14" s="66">
        <f>AI14+AF14+AC14</f>
        <v>2</v>
      </c>
      <c r="AO14" s="171">
        <f t="shared" si="42"/>
        <v>9</v>
      </c>
      <c r="AP14" s="68">
        <f t="shared" si="43"/>
        <v>11</v>
      </c>
      <c r="AQ14" s="202">
        <f t="shared" si="44"/>
        <v>2</v>
      </c>
      <c r="AR14" s="3">
        <v>45565</v>
      </c>
      <c r="AS14" s="31" t="s">
        <v>56</v>
      </c>
    </row>
    <row r="15" spans="1:45" ht="15.75" customHeight="1">
      <c r="A15" s="76" t="s">
        <v>54</v>
      </c>
      <c r="B15" s="81">
        <f t="shared" ref="B15:N15" si="49">SUM(B11:B14)</f>
        <v>107</v>
      </c>
      <c r="C15" s="78">
        <f t="shared" si="49"/>
        <v>153</v>
      </c>
      <c r="D15" s="78">
        <f t="shared" si="49"/>
        <v>1</v>
      </c>
      <c r="E15" s="78">
        <f t="shared" si="49"/>
        <v>154</v>
      </c>
      <c r="F15" s="81">
        <f t="shared" si="49"/>
        <v>136</v>
      </c>
      <c r="G15" s="78">
        <f t="shared" si="49"/>
        <v>73</v>
      </c>
      <c r="H15" s="78">
        <f t="shared" si="49"/>
        <v>0</v>
      </c>
      <c r="I15" s="78">
        <f t="shared" si="49"/>
        <v>73</v>
      </c>
      <c r="J15" s="81">
        <f t="shared" si="49"/>
        <v>62</v>
      </c>
      <c r="K15" s="78">
        <f t="shared" si="49"/>
        <v>274</v>
      </c>
      <c r="L15" s="78">
        <f t="shared" si="49"/>
        <v>1</v>
      </c>
      <c r="M15" s="78">
        <f t="shared" si="49"/>
        <v>275</v>
      </c>
      <c r="N15" s="81">
        <f t="shared" si="49"/>
        <v>361</v>
      </c>
      <c r="O15" s="66"/>
      <c r="P15" s="81">
        <f t="shared" ref="P15:W15" si="50">SUM(P11:P14)</f>
        <v>107</v>
      </c>
      <c r="Q15" s="78">
        <f t="shared" si="50"/>
        <v>500</v>
      </c>
      <c r="R15" s="78">
        <f t="shared" si="50"/>
        <v>2</v>
      </c>
      <c r="S15" s="81">
        <f t="shared" si="50"/>
        <v>609</v>
      </c>
      <c r="T15" s="82">
        <f t="shared" si="50"/>
        <v>559</v>
      </c>
      <c r="U15" s="174">
        <f t="shared" si="50"/>
        <v>-50</v>
      </c>
      <c r="V15" s="93">
        <f t="shared" si="50"/>
        <v>502</v>
      </c>
      <c r="W15" s="81">
        <f t="shared" si="50"/>
        <v>559</v>
      </c>
      <c r="X15" s="218"/>
      <c r="Z15" s="177"/>
      <c r="AA15" s="35" t="s">
        <v>54</v>
      </c>
      <c r="AB15" s="81">
        <f t="shared" ref="AB15:AK15" si="51">SUM(AB11:AB14)</f>
        <v>17</v>
      </c>
      <c r="AC15" s="78">
        <f t="shared" si="51"/>
        <v>2</v>
      </c>
      <c r="AD15" s="78">
        <f t="shared" si="51"/>
        <v>2</v>
      </c>
      <c r="AE15" s="78">
        <f t="shared" si="51"/>
        <v>28</v>
      </c>
      <c r="AF15" s="78">
        <f t="shared" si="51"/>
        <v>6</v>
      </c>
      <c r="AG15" s="78">
        <f t="shared" si="51"/>
        <v>6</v>
      </c>
      <c r="AH15" s="78">
        <f t="shared" si="51"/>
        <v>5</v>
      </c>
      <c r="AI15" s="78">
        <f t="shared" si="51"/>
        <v>0</v>
      </c>
      <c r="AJ15" s="78">
        <f t="shared" si="51"/>
        <v>0</v>
      </c>
      <c r="AK15" s="78">
        <f t="shared" si="51"/>
        <v>0</v>
      </c>
      <c r="AL15" s="66"/>
      <c r="AM15" s="81">
        <f t="shared" ref="AM15:AQ15" si="52">SUM(AM11:AM14)</f>
        <v>17</v>
      </c>
      <c r="AN15" s="78">
        <f t="shared" si="52"/>
        <v>12</v>
      </c>
      <c r="AO15" s="81">
        <f t="shared" si="52"/>
        <v>29</v>
      </c>
      <c r="AP15" s="92">
        <f t="shared" si="52"/>
        <v>33</v>
      </c>
      <c r="AQ15" s="206">
        <f t="shared" si="52"/>
        <v>4</v>
      </c>
    </row>
    <row r="16" spans="1:45" ht="15.75" customHeight="1">
      <c r="A16" s="37" t="s">
        <v>55</v>
      </c>
      <c r="B16" s="169">
        <f>-'2024 - Q2'!U16</f>
        <v>20</v>
      </c>
      <c r="C16" s="66">
        <v>24</v>
      </c>
      <c r="D16" s="66">
        <v>6</v>
      </c>
      <c r="E16" s="56">
        <f t="shared" ref="E16:E18" si="53">SUM(C16:D16)</f>
        <v>30</v>
      </c>
      <c r="F16" s="192">
        <f>Targets!B35</f>
        <v>30</v>
      </c>
      <c r="G16" s="193">
        <v>13</v>
      </c>
      <c r="H16" s="39">
        <v>3</v>
      </c>
      <c r="I16" s="56">
        <f t="shared" ref="I16:I18" si="54">SUM(G16:H16)</f>
        <v>16</v>
      </c>
      <c r="J16" s="192">
        <f>Targets!C35</f>
        <v>14</v>
      </c>
      <c r="K16" s="193">
        <v>63</v>
      </c>
      <c r="L16" s="39">
        <v>9</v>
      </c>
      <c r="M16" s="56">
        <f t="shared" ref="M16:M18" si="55">SUM(K16:L16)</f>
        <v>72</v>
      </c>
      <c r="N16" s="192">
        <f>Targets!D35</f>
        <v>82</v>
      </c>
      <c r="O16" s="66"/>
      <c r="P16" s="170">
        <f t="shared" ref="P16:P18" si="56">B16</f>
        <v>20</v>
      </c>
      <c r="Q16" s="66">
        <f t="shared" ref="Q16:R16" si="57">K16+G16+C16</f>
        <v>100</v>
      </c>
      <c r="R16" s="66">
        <f t="shared" si="57"/>
        <v>18</v>
      </c>
      <c r="S16" s="171">
        <f t="shared" ref="S16:S18" si="58">SUM(P16:R16)</f>
        <v>138</v>
      </c>
      <c r="T16" s="198">
        <f t="shared" ref="T16:T18" si="59">N16+J16+F16</f>
        <v>126</v>
      </c>
      <c r="U16" s="172">
        <f t="shared" ref="U16:U18" si="60">T16-S16</f>
        <v>-12</v>
      </c>
      <c r="V16" s="37">
        <f t="shared" ref="V16:V18" si="61">R16+Q16</f>
        <v>118</v>
      </c>
      <c r="W16" s="200">
        <f t="shared" ref="W16:W18" si="62">T16</f>
        <v>126</v>
      </c>
      <c r="X16" s="201">
        <f t="shared" ref="X16:X18" si="63">(Q16+R16)/T16</f>
        <v>0.93650793650793651</v>
      </c>
      <c r="Y16" s="3">
        <v>45565</v>
      </c>
      <c r="Z16" s="177" t="s">
        <v>80</v>
      </c>
      <c r="AA16" s="32" t="s">
        <v>55</v>
      </c>
      <c r="AB16" s="169">
        <f>Targets!AC35</f>
        <v>3</v>
      </c>
      <c r="AC16" s="39">
        <f t="shared" ref="AC16:AC18" si="64">AG57</f>
        <v>0</v>
      </c>
      <c r="AD16" s="56">
        <f t="shared" ref="AD16:AD18" si="65">SUM(AC16)</f>
        <v>0</v>
      </c>
      <c r="AE16" s="57">
        <f>Targets!T53+Targets!U53</f>
        <v>6</v>
      </c>
      <c r="AF16" s="66">
        <v>0</v>
      </c>
      <c r="AG16" s="56">
        <f t="shared" ref="AG16:AG18" si="66">SUM(AF16)</f>
        <v>0</v>
      </c>
      <c r="AH16" s="57">
        <f>Targets!V53</f>
        <v>1</v>
      </c>
      <c r="AI16" s="66">
        <v>0</v>
      </c>
      <c r="AJ16" s="56">
        <f t="shared" ref="AJ16:AJ18" si="67">SUM(AI16)</f>
        <v>0</v>
      </c>
      <c r="AK16" s="57">
        <f>Targets!W53</f>
        <v>0</v>
      </c>
      <c r="AL16" s="66"/>
      <c r="AM16" s="170">
        <f t="shared" ref="AM16:AM18" si="68">AB16</f>
        <v>3</v>
      </c>
      <c r="AN16" s="66">
        <f t="shared" ref="AN16:AN18" si="69">AI16+AF16+AC16</f>
        <v>0</v>
      </c>
      <c r="AO16" s="171">
        <f t="shared" ref="AO16:AO18" si="70">AN16+AM16</f>
        <v>3</v>
      </c>
      <c r="AP16" s="68">
        <f t="shared" ref="AP16:AP18" si="71">AK16+AH16+AE16</f>
        <v>7</v>
      </c>
      <c r="AQ16" s="202">
        <f t="shared" ref="AQ16:AQ18" si="72">AP16-AO16</f>
        <v>4</v>
      </c>
      <c r="AR16" s="3">
        <v>45565</v>
      </c>
      <c r="AS16" s="31" t="s">
        <v>80</v>
      </c>
    </row>
    <row r="17" spans="1:45" ht="15.75" customHeight="1">
      <c r="A17" s="37" t="s">
        <v>57</v>
      </c>
      <c r="B17" s="169">
        <f>-'2024 - Q2'!U17</f>
        <v>0</v>
      </c>
      <c r="C17" s="66">
        <v>34</v>
      </c>
      <c r="D17" s="66">
        <v>1</v>
      </c>
      <c r="E17" s="56">
        <f t="shared" si="53"/>
        <v>35</v>
      </c>
      <c r="F17" s="192">
        <f>Targets!B36</f>
        <v>36</v>
      </c>
      <c r="G17" s="193">
        <v>12</v>
      </c>
      <c r="H17" s="39"/>
      <c r="I17" s="56">
        <f t="shared" si="54"/>
        <v>12</v>
      </c>
      <c r="J17" s="192">
        <f>Targets!C36</f>
        <v>16</v>
      </c>
      <c r="K17" s="193">
        <v>80</v>
      </c>
      <c r="L17" s="39">
        <v>7</v>
      </c>
      <c r="M17" s="56">
        <f t="shared" si="55"/>
        <v>87</v>
      </c>
      <c r="N17" s="192">
        <f>Targets!D36</f>
        <v>97</v>
      </c>
      <c r="O17" s="66"/>
      <c r="P17" s="170">
        <f t="shared" si="56"/>
        <v>0</v>
      </c>
      <c r="Q17" s="66">
        <f t="shared" ref="Q17:R17" si="73">K17+G17+C17</f>
        <v>126</v>
      </c>
      <c r="R17" s="66">
        <f t="shared" si="73"/>
        <v>8</v>
      </c>
      <c r="S17" s="171">
        <f t="shared" si="58"/>
        <v>134</v>
      </c>
      <c r="T17" s="198">
        <f t="shared" si="59"/>
        <v>149</v>
      </c>
      <c r="U17" s="172">
        <f t="shared" si="60"/>
        <v>15</v>
      </c>
      <c r="V17" s="37">
        <f t="shared" si="61"/>
        <v>134</v>
      </c>
      <c r="W17" s="200">
        <f t="shared" si="62"/>
        <v>149</v>
      </c>
      <c r="X17" s="201">
        <f t="shared" si="63"/>
        <v>0.89932885906040272</v>
      </c>
      <c r="Y17" s="3">
        <v>45565</v>
      </c>
      <c r="Z17" s="177" t="s">
        <v>80</v>
      </c>
      <c r="AA17" s="32" t="s">
        <v>57</v>
      </c>
      <c r="AB17" s="169">
        <f>Targets!AC36</f>
        <v>4</v>
      </c>
      <c r="AC17" s="39">
        <f t="shared" si="64"/>
        <v>0</v>
      </c>
      <c r="AD17" s="56">
        <f t="shared" si="65"/>
        <v>0</v>
      </c>
      <c r="AE17" s="57">
        <f>Targets!T54+Targets!U54</f>
        <v>7</v>
      </c>
      <c r="AF17" s="66">
        <v>2</v>
      </c>
      <c r="AG17" s="56">
        <f t="shared" si="66"/>
        <v>2</v>
      </c>
      <c r="AH17" s="57">
        <f>Targets!V54</f>
        <v>1</v>
      </c>
      <c r="AI17" s="66">
        <v>0</v>
      </c>
      <c r="AJ17" s="56">
        <f t="shared" si="67"/>
        <v>0</v>
      </c>
      <c r="AK17" s="57">
        <f>Targets!W54</f>
        <v>0</v>
      </c>
      <c r="AL17" s="66"/>
      <c r="AM17" s="170">
        <f t="shared" si="68"/>
        <v>4</v>
      </c>
      <c r="AN17" s="66">
        <f t="shared" si="69"/>
        <v>2</v>
      </c>
      <c r="AO17" s="171">
        <f t="shared" si="70"/>
        <v>6</v>
      </c>
      <c r="AP17" s="68">
        <f t="shared" si="71"/>
        <v>8</v>
      </c>
      <c r="AQ17" s="202">
        <f t="shared" si="72"/>
        <v>2</v>
      </c>
      <c r="AR17" s="3">
        <v>45565</v>
      </c>
      <c r="AS17" s="31" t="s">
        <v>80</v>
      </c>
    </row>
    <row r="18" spans="1:45" ht="15.75" customHeight="1">
      <c r="A18" s="37" t="s">
        <v>58</v>
      </c>
      <c r="B18" s="169">
        <f>-'2024 - Q2'!U18</f>
        <v>14</v>
      </c>
      <c r="C18" s="66">
        <v>13</v>
      </c>
      <c r="D18" s="66"/>
      <c r="E18" s="56">
        <f t="shared" si="53"/>
        <v>13</v>
      </c>
      <c r="F18" s="192">
        <f>Targets!B37</f>
        <v>13</v>
      </c>
      <c r="G18" s="193">
        <v>8</v>
      </c>
      <c r="H18" s="39"/>
      <c r="I18" s="56">
        <f t="shared" si="54"/>
        <v>8</v>
      </c>
      <c r="J18" s="192">
        <f>Targets!C37</f>
        <v>6</v>
      </c>
      <c r="K18" s="193">
        <v>24</v>
      </c>
      <c r="L18" s="39">
        <v>0</v>
      </c>
      <c r="M18" s="56">
        <f t="shared" si="55"/>
        <v>24</v>
      </c>
      <c r="N18" s="192">
        <f>Targets!D37</f>
        <v>36</v>
      </c>
      <c r="O18" s="66"/>
      <c r="P18" s="170">
        <f t="shared" si="56"/>
        <v>14</v>
      </c>
      <c r="Q18" s="66">
        <f t="shared" ref="Q18:R18" si="74">K18+G18+C18</f>
        <v>45</v>
      </c>
      <c r="R18" s="66">
        <f t="shared" si="74"/>
        <v>0</v>
      </c>
      <c r="S18" s="171">
        <f t="shared" si="58"/>
        <v>59</v>
      </c>
      <c r="T18" s="198">
        <f t="shared" si="59"/>
        <v>55</v>
      </c>
      <c r="U18" s="172">
        <f t="shared" si="60"/>
        <v>-4</v>
      </c>
      <c r="V18" s="37">
        <f t="shared" si="61"/>
        <v>45</v>
      </c>
      <c r="W18" s="200">
        <f t="shared" si="62"/>
        <v>55</v>
      </c>
      <c r="X18" s="201">
        <f t="shared" si="63"/>
        <v>0.81818181818181823</v>
      </c>
      <c r="Y18" s="3">
        <v>45565</v>
      </c>
      <c r="Z18" s="177" t="s">
        <v>80</v>
      </c>
      <c r="AA18" s="32" t="s">
        <v>58</v>
      </c>
      <c r="AB18" s="169">
        <f>Targets!AC37</f>
        <v>1</v>
      </c>
      <c r="AC18" s="39">
        <f t="shared" si="64"/>
        <v>1</v>
      </c>
      <c r="AD18" s="56">
        <f t="shared" si="65"/>
        <v>1</v>
      </c>
      <c r="AE18" s="57">
        <f>Targets!T55+Targets!U55</f>
        <v>2</v>
      </c>
      <c r="AF18" s="66">
        <v>0</v>
      </c>
      <c r="AG18" s="56">
        <f t="shared" si="66"/>
        <v>0</v>
      </c>
      <c r="AH18" s="57">
        <f>Targets!V55</f>
        <v>1</v>
      </c>
      <c r="AI18" s="66">
        <v>0</v>
      </c>
      <c r="AJ18" s="56">
        <f t="shared" si="67"/>
        <v>0</v>
      </c>
      <c r="AK18" s="57">
        <f>Targets!W55</f>
        <v>0</v>
      </c>
      <c r="AL18" s="66"/>
      <c r="AM18" s="170">
        <f t="shared" si="68"/>
        <v>1</v>
      </c>
      <c r="AN18" s="66">
        <f t="shared" si="69"/>
        <v>1</v>
      </c>
      <c r="AO18" s="171">
        <f t="shared" si="70"/>
        <v>2</v>
      </c>
      <c r="AP18" s="68">
        <f t="shared" si="71"/>
        <v>3</v>
      </c>
      <c r="AQ18" s="202">
        <f t="shared" si="72"/>
        <v>1</v>
      </c>
      <c r="AR18" s="3">
        <v>45565</v>
      </c>
      <c r="AS18" s="31" t="s">
        <v>80</v>
      </c>
    </row>
    <row r="19" spans="1:45" ht="15.75" customHeight="1">
      <c r="A19" s="76" t="s">
        <v>59</v>
      </c>
      <c r="B19" s="81">
        <f t="shared" ref="B19:N19" si="75">SUM(B16:B18)</f>
        <v>34</v>
      </c>
      <c r="C19" s="78">
        <f t="shared" si="75"/>
        <v>71</v>
      </c>
      <c r="D19" s="78">
        <f t="shared" si="75"/>
        <v>7</v>
      </c>
      <c r="E19" s="78">
        <f t="shared" si="75"/>
        <v>78</v>
      </c>
      <c r="F19" s="81">
        <f t="shared" si="75"/>
        <v>79</v>
      </c>
      <c r="G19" s="78">
        <f t="shared" si="75"/>
        <v>33</v>
      </c>
      <c r="H19" s="78">
        <f t="shared" si="75"/>
        <v>3</v>
      </c>
      <c r="I19" s="78">
        <f t="shared" si="75"/>
        <v>36</v>
      </c>
      <c r="J19" s="81">
        <f t="shared" si="75"/>
        <v>36</v>
      </c>
      <c r="K19" s="78">
        <f t="shared" si="75"/>
        <v>167</v>
      </c>
      <c r="L19" s="78">
        <f t="shared" si="75"/>
        <v>16</v>
      </c>
      <c r="M19" s="78">
        <f t="shared" si="75"/>
        <v>183</v>
      </c>
      <c r="N19" s="81">
        <f t="shared" si="75"/>
        <v>215</v>
      </c>
      <c r="O19" s="66"/>
      <c r="P19" s="81">
        <f t="shared" ref="P19:W19" si="76">SUM(P16:P18)</f>
        <v>34</v>
      </c>
      <c r="Q19" s="78">
        <f t="shared" si="76"/>
        <v>271</v>
      </c>
      <c r="R19" s="78">
        <f t="shared" si="76"/>
        <v>26</v>
      </c>
      <c r="S19" s="81">
        <f t="shared" si="76"/>
        <v>331</v>
      </c>
      <c r="T19" s="82">
        <f t="shared" si="76"/>
        <v>330</v>
      </c>
      <c r="U19" s="174">
        <f t="shared" si="76"/>
        <v>-1</v>
      </c>
      <c r="V19" s="93">
        <f t="shared" si="76"/>
        <v>297</v>
      </c>
      <c r="W19" s="81">
        <f t="shared" si="76"/>
        <v>330</v>
      </c>
      <c r="X19" s="218"/>
      <c r="Z19" s="177"/>
      <c r="AA19" s="35" t="s">
        <v>59</v>
      </c>
      <c r="AB19" s="81">
        <f t="shared" ref="AB19:AK19" si="77">SUM(AB16:AB18)</f>
        <v>8</v>
      </c>
      <c r="AC19" s="78">
        <f t="shared" si="77"/>
        <v>1</v>
      </c>
      <c r="AD19" s="78">
        <f t="shared" si="77"/>
        <v>1</v>
      </c>
      <c r="AE19" s="78">
        <f t="shared" si="77"/>
        <v>15</v>
      </c>
      <c r="AF19" s="78">
        <f t="shared" si="77"/>
        <v>2</v>
      </c>
      <c r="AG19" s="78">
        <f t="shared" si="77"/>
        <v>2</v>
      </c>
      <c r="AH19" s="78">
        <f t="shared" si="77"/>
        <v>3</v>
      </c>
      <c r="AI19" s="78">
        <f t="shared" si="77"/>
        <v>0</v>
      </c>
      <c r="AJ19" s="78">
        <f t="shared" si="77"/>
        <v>0</v>
      </c>
      <c r="AK19" s="78">
        <f t="shared" si="77"/>
        <v>0</v>
      </c>
      <c r="AL19" s="66"/>
      <c r="AM19" s="81">
        <f t="shared" ref="AM19:AQ19" si="78">SUM(AM16:AM18)</f>
        <v>8</v>
      </c>
      <c r="AN19" s="78">
        <f t="shared" si="78"/>
        <v>3</v>
      </c>
      <c r="AO19" s="81">
        <f t="shared" si="78"/>
        <v>11</v>
      </c>
      <c r="AP19" s="92">
        <f t="shared" si="78"/>
        <v>18</v>
      </c>
      <c r="AQ19" s="206">
        <f t="shared" si="78"/>
        <v>7</v>
      </c>
    </row>
    <row r="20" spans="1:45" ht="15.75" customHeight="1">
      <c r="A20" s="7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104"/>
      <c r="U20" s="37"/>
      <c r="V20" s="105"/>
      <c r="W20" s="106"/>
      <c r="X20" s="218"/>
      <c r="Z20" s="177"/>
      <c r="AA20" s="35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104"/>
      <c r="AQ20" s="191"/>
    </row>
    <row r="21" spans="1:45" ht="15.75" customHeight="1">
      <c r="A21" s="37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104"/>
      <c r="U21" s="37"/>
      <c r="V21" s="105"/>
      <c r="W21" s="106"/>
      <c r="X21" s="218"/>
      <c r="Z21" s="29"/>
      <c r="AA21" s="32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104"/>
      <c r="AQ21" s="191"/>
    </row>
    <row r="22" spans="1:45" ht="15.75" customHeight="1">
      <c r="A22" s="96" t="s">
        <v>14</v>
      </c>
      <c r="B22" s="97">
        <f t="shared" ref="B22:N22" si="79">B19+B15+B10</f>
        <v>243</v>
      </c>
      <c r="C22" s="97">
        <f t="shared" si="79"/>
        <v>363</v>
      </c>
      <c r="D22" s="97">
        <f t="shared" si="79"/>
        <v>13</v>
      </c>
      <c r="E22" s="97">
        <f t="shared" si="79"/>
        <v>376</v>
      </c>
      <c r="F22" s="97">
        <f t="shared" si="79"/>
        <v>355</v>
      </c>
      <c r="G22" s="97">
        <f t="shared" si="79"/>
        <v>165</v>
      </c>
      <c r="H22" s="97">
        <f t="shared" si="79"/>
        <v>3</v>
      </c>
      <c r="I22" s="97">
        <f t="shared" si="79"/>
        <v>168</v>
      </c>
      <c r="J22" s="97">
        <f t="shared" si="79"/>
        <v>165</v>
      </c>
      <c r="K22" s="97">
        <f t="shared" si="79"/>
        <v>752</v>
      </c>
      <c r="L22" s="97">
        <f t="shared" si="79"/>
        <v>21</v>
      </c>
      <c r="M22" s="97">
        <f t="shared" si="79"/>
        <v>773</v>
      </c>
      <c r="N22" s="97">
        <f t="shared" si="79"/>
        <v>986</v>
      </c>
      <c r="O22" s="127"/>
      <c r="P22" s="97">
        <f t="shared" ref="P22:W22" si="80">P19+P15+P10</f>
        <v>243</v>
      </c>
      <c r="Q22" s="97">
        <f t="shared" si="80"/>
        <v>1280</v>
      </c>
      <c r="R22" s="97">
        <f t="shared" si="80"/>
        <v>37</v>
      </c>
      <c r="S22" s="97">
        <f t="shared" si="80"/>
        <v>1560</v>
      </c>
      <c r="T22" s="99">
        <f t="shared" si="80"/>
        <v>1506</v>
      </c>
      <c r="U22" s="194">
        <f t="shared" si="80"/>
        <v>-54</v>
      </c>
      <c r="V22" s="194">
        <f t="shared" si="80"/>
        <v>1317</v>
      </c>
      <c r="W22" s="97">
        <f t="shared" si="80"/>
        <v>1506</v>
      </c>
      <c r="X22" s="219">
        <f>(Q22+R22)/T22</f>
        <v>0.87450199203187251</v>
      </c>
      <c r="Z22" s="177"/>
      <c r="AA22" s="126" t="s">
        <v>14</v>
      </c>
      <c r="AB22" s="97">
        <f t="shared" ref="AB22:AK22" si="81">AB19+AB15+AB10</f>
        <v>42</v>
      </c>
      <c r="AC22" s="97">
        <f t="shared" si="81"/>
        <v>5</v>
      </c>
      <c r="AD22" s="97">
        <f t="shared" si="81"/>
        <v>5</v>
      </c>
      <c r="AE22" s="97">
        <f t="shared" si="81"/>
        <v>69</v>
      </c>
      <c r="AF22" s="97">
        <f t="shared" si="81"/>
        <v>16</v>
      </c>
      <c r="AG22" s="97">
        <f t="shared" si="81"/>
        <v>16</v>
      </c>
      <c r="AH22" s="97">
        <f t="shared" si="81"/>
        <v>12</v>
      </c>
      <c r="AI22" s="97">
        <f t="shared" si="81"/>
        <v>0</v>
      </c>
      <c r="AJ22" s="97">
        <f t="shared" si="81"/>
        <v>0</v>
      </c>
      <c r="AK22" s="97">
        <f t="shared" si="81"/>
        <v>0</v>
      </c>
      <c r="AL22" s="127"/>
      <c r="AM22" s="97">
        <f t="shared" ref="AM22:AQ22" si="82">AM19+AM15+AM10</f>
        <v>42</v>
      </c>
      <c r="AN22" s="97">
        <f t="shared" si="82"/>
        <v>25</v>
      </c>
      <c r="AO22" s="97">
        <f t="shared" si="82"/>
        <v>67</v>
      </c>
      <c r="AP22" s="99">
        <f t="shared" si="82"/>
        <v>81</v>
      </c>
      <c r="AQ22" s="196">
        <f t="shared" si="82"/>
        <v>14</v>
      </c>
    </row>
    <row r="24" spans="1:45" ht="15.75" customHeight="1">
      <c r="A24" s="292" t="s">
        <v>63</v>
      </c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276"/>
      <c r="V24" s="220"/>
      <c r="W24" s="220"/>
      <c r="X24" s="220"/>
      <c r="Y24" s="15" t="s">
        <v>2</v>
      </c>
      <c r="Z24" s="120" t="s">
        <v>3</v>
      </c>
    </row>
    <row r="25" spans="1:45" ht="15.75" customHeight="1">
      <c r="A25" s="32"/>
      <c r="B25" s="130"/>
      <c r="C25" s="277" t="s">
        <v>160</v>
      </c>
      <c r="D25" s="278"/>
      <c r="E25" s="278"/>
      <c r="F25" s="278"/>
      <c r="G25" s="277" t="s">
        <v>161</v>
      </c>
      <c r="H25" s="278"/>
      <c r="I25" s="278"/>
      <c r="J25" s="278"/>
      <c r="K25" s="277" t="s">
        <v>162</v>
      </c>
      <c r="L25" s="278"/>
      <c r="M25" s="278"/>
      <c r="N25" s="278"/>
      <c r="O25" s="29"/>
      <c r="P25" s="130"/>
      <c r="Q25" s="277" t="s">
        <v>14</v>
      </c>
      <c r="R25" s="278"/>
      <c r="S25" s="278"/>
      <c r="T25" s="279"/>
      <c r="Z25" s="29"/>
    </row>
    <row r="26" spans="1:45" ht="15.75" customHeight="1">
      <c r="A26" s="35"/>
      <c r="B26" s="130"/>
      <c r="C26" s="132" t="s">
        <v>65</v>
      </c>
      <c r="D26" s="132" t="s">
        <v>66</v>
      </c>
      <c r="E26" s="132" t="s">
        <v>28</v>
      </c>
      <c r="F26" s="132" t="s">
        <v>67</v>
      </c>
      <c r="G26" s="132" t="s">
        <v>65</v>
      </c>
      <c r="H26" s="132" t="s">
        <v>66</v>
      </c>
      <c r="I26" s="132" t="s">
        <v>28</v>
      </c>
      <c r="J26" s="132" t="s">
        <v>67</v>
      </c>
      <c r="K26" s="132" t="s">
        <v>65</v>
      </c>
      <c r="L26" s="132" t="s">
        <v>66</v>
      </c>
      <c r="M26" s="132" t="s">
        <v>28</v>
      </c>
      <c r="N26" s="132" t="s">
        <v>67</v>
      </c>
      <c r="O26" s="38"/>
      <c r="P26" s="132"/>
      <c r="Q26" s="132" t="s">
        <v>65</v>
      </c>
      <c r="R26" s="132" t="s">
        <v>66</v>
      </c>
      <c r="S26" s="132" t="s">
        <v>28</v>
      </c>
      <c r="T26" s="135" t="s">
        <v>67</v>
      </c>
      <c r="Z26" s="177"/>
      <c r="AD26" s="26" t="s">
        <v>198</v>
      </c>
      <c r="AE26" s="24" t="s">
        <v>199</v>
      </c>
      <c r="AF26" s="31" t="s">
        <v>101</v>
      </c>
      <c r="AG26" s="31" t="s">
        <v>188</v>
      </c>
      <c r="AH26" s="31" t="s">
        <v>88</v>
      </c>
      <c r="AI26" s="24" t="s">
        <v>14</v>
      </c>
      <c r="AJ26" s="31" t="s">
        <v>200</v>
      </c>
      <c r="AL26" s="24" t="s">
        <v>201</v>
      </c>
      <c r="AM26" s="24" t="s">
        <v>101</v>
      </c>
      <c r="AN26" s="24" t="s">
        <v>188</v>
      </c>
      <c r="AO26" s="24" t="s">
        <v>88</v>
      </c>
      <c r="AP26" s="24" t="s">
        <v>14</v>
      </c>
    </row>
    <row r="27" spans="1:45" ht="14.4">
      <c r="A27" s="32" t="s">
        <v>24</v>
      </c>
      <c r="B27" s="130"/>
      <c r="C27" s="39">
        <v>128</v>
      </c>
      <c r="D27" s="39"/>
      <c r="E27" s="56">
        <f t="shared" ref="E27:E30" si="83">SUM(C27:D27)</f>
        <v>128</v>
      </c>
      <c r="F27" s="57">
        <v>113</v>
      </c>
      <c r="G27" s="124">
        <f>110-24</f>
        <v>86</v>
      </c>
      <c r="H27" s="39"/>
      <c r="I27" s="56">
        <f t="shared" ref="I27:I30" si="84">SUM(G27:H27)</f>
        <v>86</v>
      </c>
      <c r="J27" s="57">
        <v>75</v>
      </c>
      <c r="K27" s="124">
        <v>289</v>
      </c>
      <c r="L27" s="39"/>
      <c r="M27" s="56">
        <f t="shared" ref="M27:M30" si="85">SUM(K27:L27)</f>
        <v>289</v>
      </c>
      <c r="N27" s="57">
        <v>275</v>
      </c>
      <c r="O27" s="66"/>
      <c r="P27" s="65">
        <f t="shared" ref="P27:P41" si="86">B27</f>
        <v>0</v>
      </c>
      <c r="Q27" s="66">
        <f t="shared" ref="Q27:R27" si="87">K27+G27+C27</f>
        <v>503</v>
      </c>
      <c r="R27" s="66">
        <f t="shared" si="87"/>
        <v>0</v>
      </c>
      <c r="S27" s="56">
        <f t="shared" ref="S27:S30" si="88">SUM(P27:R27)</f>
        <v>503</v>
      </c>
      <c r="T27" s="68">
        <f t="shared" ref="T27:T30" si="89">N27+J27+F27</f>
        <v>463</v>
      </c>
      <c r="V27" s="103"/>
      <c r="W27" s="103"/>
      <c r="X27" s="103"/>
      <c r="Y27" s="3">
        <v>45565</v>
      </c>
      <c r="Z27" s="177" t="s">
        <v>43</v>
      </c>
      <c r="AD27" s="58">
        <f t="shared" ref="AD27:AD30" si="90">AB6+AC6+AI27</f>
        <v>7</v>
      </c>
      <c r="AE27" s="29" t="s">
        <v>24</v>
      </c>
      <c r="AF27" s="31">
        <v>1</v>
      </c>
      <c r="AI27" s="31">
        <f t="shared" ref="AI27:AI30" si="91">SUM(AF27:AH27)</f>
        <v>1</v>
      </c>
      <c r="AJ27" s="31">
        <f t="shared" ref="AJ27:AJ30" si="92">AF6-AI27</f>
        <v>2</v>
      </c>
      <c r="AL27" s="29" t="s">
        <v>24</v>
      </c>
      <c r="AM27" s="31">
        <v>6</v>
      </c>
      <c r="AN27" s="31">
        <v>5</v>
      </c>
      <c r="AO27" s="31">
        <v>6</v>
      </c>
      <c r="AP27" s="31">
        <f t="shared" ref="AP27:AP30" si="93">SUM(AM27:AO27)</f>
        <v>17</v>
      </c>
    </row>
    <row r="28" spans="1:45" ht="14.4">
      <c r="A28" s="32" t="s">
        <v>36</v>
      </c>
      <c r="B28" s="130"/>
      <c r="C28" s="39"/>
      <c r="D28" s="39"/>
      <c r="E28" s="56">
        <f t="shared" si="83"/>
        <v>0</v>
      </c>
      <c r="F28" s="57">
        <v>21</v>
      </c>
      <c r="G28" s="124">
        <v>13</v>
      </c>
      <c r="H28" s="39"/>
      <c r="I28" s="56">
        <f t="shared" si="84"/>
        <v>13</v>
      </c>
      <c r="J28" s="57">
        <v>7</v>
      </c>
      <c r="K28" s="124">
        <v>44</v>
      </c>
      <c r="L28" s="39">
        <v>0</v>
      </c>
      <c r="M28" s="56">
        <f t="shared" si="85"/>
        <v>44</v>
      </c>
      <c r="N28" s="57">
        <v>50</v>
      </c>
      <c r="O28" s="66"/>
      <c r="P28" s="65">
        <f t="shared" si="86"/>
        <v>0</v>
      </c>
      <c r="Q28" s="66">
        <f t="shared" ref="Q28:R28" si="94">K28+G28+C28</f>
        <v>57</v>
      </c>
      <c r="R28" s="66">
        <f t="shared" si="94"/>
        <v>0</v>
      </c>
      <c r="S28" s="56">
        <f t="shared" si="88"/>
        <v>57</v>
      </c>
      <c r="T28" s="68">
        <f t="shared" si="89"/>
        <v>78</v>
      </c>
      <c r="V28" s="103"/>
      <c r="W28" s="103"/>
      <c r="X28" s="103"/>
      <c r="Y28" s="3">
        <v>45565</v>
      </c>
      <c r="Z28" s="177" t="s">
        <v>43</v>
      </c>
      <c r="AD28" s="58">
        <f t="shared" si="90"/>
        <v>6</v>
      </c>
      <c r="AE28" s="29" t="s">
        <v>36</v>
      </c>
      <c r="AH28" s="31">
        <v>3</v>
      </c>
      <c r="AI28" s="31">
        <f t="shared" si="91"/>
        <v>3</v>
      </c>
      <c r="AJ28" s="31">
        <f t="shared" si="92"/>
        <v>-1</v>
      </c>
      <c r="AL28" s="29" t="s">
        <v>36</v>
      </c>
      <c r="AM28" s="31">
        <v>2</v>
      </c>
      <c r="AN28" s="31">
        <v>1</v>
      </c>
      <c r="AO28" s="31">
        <v>9</v>
      </c>
      <c r="AP28" s="31">
        <f t="shared" si="93"/>
        <v>12</v>
      </c>
    </row>
    <row r="29" spans="1:45" ht="14.4">
      <c r="A29" s="32" t="s">
        <v>40</v>
      </c>
      <c r="B29" s="130"/>
      <c r="C29" s="39"/>
      <c r="D29" s="39"/>
      <c r="E29" s="56">
        <f t="shared" si="83"/>
        <v>0</v>
      </c>
      <c r="F29" s="57"/>
      <c r="G29" s="124"/>
      <c r="H29" s="39"/>
      <c r="I29" s="56">
        <f t="shared" si="84"/>
        <v>0</v>
      </c>
      <c r="J29" s="57"/>
      <c r="K29" s="124">
        <v>0</v>
      </c>
      <c r="L29" s="39">
        <v>0</v>
      </c>
      <c r="M29" s="56">
        <f t="shared" si="85"/>
        <v>0</v>
      </c>
      <c r="N29" s="57"/>
      <c r="O29" s="66"/>
      <c r="P29" s="65">
        <f t="shared" si="86"/>
        <v>0</v>
      </c>
      <c r="Q29" s="66">
        <f t="shared" ref="Q29:R29" si="95">K29+G29+C29</f>
        <v>0</v>
      </c>
      <c r="R29" s="66">
        <f t="shared" si="95"/>
        <v>0</v>
      </c>
      <c r="S29" s="56">
        <f t="shared" si="88"/>
        <v>0</v>
      </c>
      <c r="T29" s="68">
        <f t="shared" si="89"/>
        <v>0</v>
      </c>
      <c r="V29" s="103"/>
      <c r="W29" s="103"/>
      <c r="X29" s="103"/>
      <c r="Y29" s="3">
        <v>45565</v>
      </c>
      <c r="Z29" s="177" t="s">
        <v>43</v>
      </c>
      <c r="AD29" s="58">
        <f t="shared" si="90"/>
        <v>10</v>
      </c>
      <c r="AE29" s="29" t="s">
        <v>40</v>
      </c>
      <c r="AF29" s="31">
        <v>1</v>
      </c>
      <c r="AG29" s="31">
        <v>1</v>
      </c>
      <c r="AI29" s="31">
        <f t="shared" si="91"/>
        <v>2</v>
      </c>
      <c r="AJ29" s="31">
        <f t="shared" si="92"/>
        <v>0</v>
      </c>
      <c r="AL29" s="29" t="s">
        <v>40</v>
      </c>
      <c r="AM29" s="31">
        <v>2</v>
      </c>
      <c r="AN29" s="31">
        <v>3</v>
      </c>
      <c r="AO29" s="31">
        <v>4</v>
      </c>
      <c r="AP29" s="31">
        <f t="shared" si="93"/>
        <v>9</v>
      </c>
    </row>
    <row r="30" spans="1:45" ht="14.4">
      <c r="A30" s="32" t="s">
        <v>41</v>
      </c>
      <c r="B30" s="130"/>
      <c r="C30" s="39"/>
      <c r="D30" s="39"/>
      <c r="E30" s="56">
        <f t="shared" si="83"/>
        <v>0</v>
      </c>
      <c r="F30" s="57"/>
      <c r="G30" s="124"/>
      <c r="H30" s="39"/>
      <c r="I30" s="56">
        <f t="shared" si="84"/>
        <v>0</v>
      </c>
      <c r="J30" s="57"/>
      <c r="K30" s="124">
        <v>0</v>
      </c>
      <c r="L30" s="39">
        <v>0</v>
      </c>
      <c r="M30" s="56">
        <f t="shared" si="85"/>
        <v>0</v>
      </c>
      <c r="N30" s="57"/>
      <c r="O30" s="66"/>
      <c r="P30" s="65">
        <f t="shared" si="86"/>
        <v>0</v>
      </c>
      <c r="Q30" s="66">
        <f t="shared" ref="Q30:R30" si="96">K30+G30+C30</f>
        <v>0</v>
      </c>
      <c r="R30" s="66">
        <f t="shared" si="96"/>
        <v>0</v>
      </c>
      <c r="S30" s="56">
        <f t="shared" si="88"/>
        <v>0</v>
      </c>
      <c r="T30" s="68">
        <f t="shared" si="89"/>
        <v>0</v>
      </c>
      <c r="V30" s="103"/>
      <c r="W30" s="103"/>
      <c r="X30" s="103"/>
      <c r="Y30" s="3">
        <v>45565</v>
      </c>
      <c r="Z30" s="177" t="s">
        <v>43</v>
      </c>
      <c r="AD30" s="58">
        <f t="shared" si="90"/>
        <v>3</v>
      </c>
      <c r="AE30" s="29" t="s">
        <v>41</v>
      </c>
      <c r="AH30" s="31">
        <v>1</v>
      </c>
      <c r="AI30" s="31">
        <f t="shared" si="91"/>
        <v>1</v>
      </c>
      <c r="AJ30" s="31">
        <f t="shared" si="92"/>
        <v>0</v>
      </c>
      <c r="AL30" s="29" t="s">
        <v>41</v>
      </c>
      <c r="AM30" s="31">
        <v>7</v>
      </c>
      <c r="AN30" s="31">
        <v>2</v>
      </c>
      <c r="AO30" s="31">
        <v>8</v>
      </c>
      <c r="AP30" s="31">
        <f t="shared" si="93"/>
        <v>17</v>
      </c>
    </row>
    <row r="31" spans="1:45" ht="14.4">
      <c r="A31" s="35" t="s">
        <v>44</v>
      </c>
      <c r="B31" s="130"/>
      <c r="C31" s="78">
        <f t="shared" ref="C31:N31" si="97">SUM(C27:C30)</f>
        <v>128</v>
      </c>
      <c r="D31" s="78">
        <f t="shared" si="97"/>
        <v>0</v>
      </c>
      <c r="E31" s="78">
        <f t="shared" si="97"/>
        <v>128</v>
      </c>
      <c r="F31" s="78">
        <f t="shared" si="97"/>
        <v>134</v>
      </c>
      <c r="G31" s="78">
        <f t="shared" si="97"/>
        <v>99</v>
      </c>
      <c r="H31" s="78">
        <f t="shared" si="97"/>
        <v>0</v>
      </c>
      <c r="I31" s="78">
        <f t="shared" si="97"/>
        <v>99</v>
      </c>
      <c r="J31" s="78">
        <f t="shared" si="97"/>
        <v>82</v>
      </c>
      <c r="K31" s="78">
        <f t="shared" si="97"/>
        <v>333</v>
      </c>
      <c r="L31" s="78">
        <f t="shared" si="97"/>
        <v>0</v>
      </c>
      <c r="M31" s="78">
        <f t="shared" si="97"/>
        <v>333</v>
      </c>
      <c r="N31" s="78">
        <f t="shared" si="97"/>
        <v>325</v>
      </c>
      <c r="O31" s="66"/>
      <c r="P31" s="65">
        <f t="shared" si="86"/>
        <v>0</v>
      </c>
      <c r="Q31" s="78">
        <f t="shared" ref="Q31:T31" si="98">SUM(Q27:Q30)</f>
        <v>560</v>
      </c>
      <c r="R31" s="78">
        <f t="shared" si="98"/>
        <v>0</v>
      </c>
      <c r="S31" s="78">
        <f t="shared" si="98"/>
        <v>560</v>
      </c>
      <c r="T31" s="92">
        <f t="shared" si="98"/>
        <v>541</v>
      </c>
      <c r="Z31" s="177"/>
      <c r="AE31" s="177" t="s">
        <v>44</v>
      </c>
      <c r="AF31" s="24">
        <f t="shared" ref="AF31:AJ31" si="99">SUM(AF27:AF30)</f>
        <v>2</v>
      </c>
      <c r="AG31" s="24">
        <f t="shared" si="99"/>
        <v>1</v>
      </c>
      <c r="AH31" s="24">
        <f t="shared" si="99"/>
        <v>4</v>
      </c>
      <c r="AI31" s="24">
        <f t="shared" si="99"/>
        <v>7</v>
      </c>
      <c r="AJ31" s="24">
        <f t="shared" si="99"/>
        <v>1</v>
      </c>
      <c r="AL31" s="177" t="s">
        <v>44</v>
      </c>
      <c r="AM31" s="24">
        <f t="shared" ref="AM31:AP31" si="100">SUM(AM27:AM30)</f>
        <v>17</v>
      </c>
      <c r="AN31" s="24">
        <f t="shared" si="100"/>
        <v>11</v>
      </c>
      <c r="AO31" s="24">
        <f t="shared" si="100"/>
        <v>27</v>
      </c>
      <c r="AP31" s="24">
        <f t="shared" si="100"/>
        <v>55</v>
      </c>
    </row>
    <row r="32" spans="1:45" ht="14.4">
      <c r="A32" s="32" t="s">
        <v>46</v>
      </c>
      <c r="B32" s="130"/>
      <c r="C32" s="204">
        <f>'Regs Q2'!V77</f>
        <v>0</v>
      </c>
      <c r="D32" s="66"/>
      <c r="E32" s="171">
        <f t="shared" ref="E32:E35" si="101">SUM(C32:D32)</f>
        <v>0</v>
      </c>
      <c r="F32" s="57"/>
      <c r="G32" s="223">
        <f>'Regs Q2'!V54</f>
        <v>0</v>
      </c>
      <c r="H32" s="66"/>
      <c r="I32" s="171">
        <f t="shared" ref="I32:I35" si="102">SUM(G32:H32)</f>
        <v>0</v>
      </c>
      <c r="J32" s="57"/>
      <c r="K32" s="223">
        <f>'Regs Q2'!V31</f>
        <v>0</v>
      </c>
      <c r="L32" s="66"/>
      <c r="M32" s="171">
        <f t="shared" ref="M32:M35" si="103">SUM(K32:L32)</f>
        <v>0</v>
      </c>
      <c r="N32" s="57"/>
      <c r="O32" s="66"/>
      <c r="P32" s="65">
        <f t="shared" si="86"/>
        <v>0</v>
      </c>
      <c r="Q32" s="200">
        <f t="shared" ref="Q32:R32" si="104">K32+G32+C32</f>
        <v>0</v>
      </c>
      <c r="R32" s="66">
        <f t="shared" si="104"/>
        <v>0</v>
      </c>
      <c r="S32" s="56">
        <f t="shared" ref="S32:S35" si="105">SUM(P32:R32)</f>
        <v>0</v>
      </c>
      <c r="T32" s="68">
        <f t="shared" ref="T32:T35" si="106">N32+J32+F32</f>
        <v>0</v>
      </c>
      <c r="V32" s="103"/>
      <c r="W32" s="103"/>
      <c r="X32" s="103"/>
      <c r="Y32" s="3">
        <v>45565</v>
      </c>
      <c r="Z32" s="177" t="s">
        <v>56</v>
      </c>
      <c r="AD32" s="58">
        <f t="shared" ref="AD32:AD35" si="107">AB11+AC11+AI32</f>
        <v>6</v>
      </c>
      <c r="AE32" s="29" t="s">
        <v>46</v>
      </c>
      <c r="AI32" s="31">
        <f t="shared" ref="AI32:AI35" si="108">SUM(AF32:AH32)</f>
        <v>0</v>
      </c>
      <c r="AJ32" s="31">
        <f t="shared" ref="AJ32:AJ35" si="109">AF11-AI32</f>
        <v>1</v>
      </c>
      <c r="AL32" s="29" t="s">
        <v>46</v>
      </c>
      <c r="AM32" s="31">
        <v>2</v>
      </c>
      <c r="AN32" s="31">
        <v>2</v>
      </c>
      <c r="AO32" s="31">
        <v>3</v>
      </c>
      <c r="AP32" s="31">
        <f t="shared" ref="AP32:AP35" si="110">SUM(AM32:AO32)</f>
        <v>7</v>
      </c>
    </row>
    <row r="33" spans="1:42" ht="14.4">
      <c r="A33" s="32" t="s">
        <v>51</v>
      </c>
      <c r="B33" s="130"/>
      <c r="C33" s="39">
        <v>6</v>
      </c>
      <c r="D33" s="66"/>
      <c r="E33" s="56">
        <f t="shared" si="101"/>
        <v>6</v>
      </c>
      <c r="F33" s="57">
        <v>30</v>
      </c>
      <c r="G33" s="124">
        <v>14</v>
      </c>
      <c r="H33" s="66"/>
      <c r="I33" s="56">
        <f t="shared" si="102"/>
        <v>14</v>
      </c>
      <c r="J33" s="57">
        <v>19</v>
      </c>
      <c r="K33" s="124">
        <v>69</v>
      </c>
      <c r="L33" s="66">
        <v>0</v>
      </c>
      <c r="M33" s="56">
        <f t="shared" si="103"/>
        <v>69</v>
      </c>
      <c r="N33" s="57">
        <v>59</v>
      </c>
      <c r="O33" s="66"/>
      <c r="P33" s="65">
        <f t="shared" si="86"/>
        <v>0</v>
      </c>
      <c r="Q33" s="66">
        <f t="shared" ref="Q33:Q34" si="111">K33+G33+O41+C33</f>
        <v>89</v>
      </c>
      <c r="R33" s="66">
        <f>L33+H33+D33</f>
        <v>0</v>
      </c>
      <c r="S33" s="56">
        <f t="shared" si="105"/>
        <v>89</v>
      </c>
      <c r="T33" s="68">
        <f t="shared" si="106"/>
        <v>108</v>
      </c>
      <c r="V33" s="103"/>
      <c r="W33" s="103"/>
      <c r="X33" s="103"/>
      <c r="Y33" s="3">
        <v>45565</v>
      </c>
      <c r="Z33" s="177" t="s">
        <v>56</v>
      </c>
      <c r="AD33" s="58">
        <f t="shared" si="107"/>
        <v>3</v>
      </c>
      <c r="AE33" s="29" t="s">
        <v>51</v>
      </c>
      <c r="AF33" s="31">
        <v>1</v>
      </c>
      <c r="AI33" s="31">
        <f t="shared" si="108"/>
        <v>1</v>
      </c>
      <c r="AJ33" s="31">
        <f t="shared" si="109"/>
        <v>0</v>
      </c>
      <c r="AL33" s="29" t="s">
        <v>51</v>
      </c>
      <c r="AM33" s="31">
        <v>4</v>
      </c>
      <c r="AN33" s="31">
        <v>1</v>
      </c>
      <c r="AP33" s="31">
        <f t="shared" si="110"/>
        <v>5</v>
      </c>
    </row>
    <row r="34" spans="1:42" ht="14.4">
      <c r="A34" s="32" t="s">
        <v>52</v>
      </c>
      <c r="B34" s="130"/>
      <c r="C34" s="204">
        <f>'Regs Q2'!V79</f>
        <v>0</v>
      </c>
      <c r="D34" s="66"/>
      <c r="E34" s="171">
        <f t="shared" si="101"/>
        <v>0</v>
      </c>
      <c r="F34" s="57"/>
      <c r="G34" s="223">
        <f>'Regs Q2'!V56</f>
        <v>0</v>
      </c>
      <c r="H34" s="66"/>
      <c r="I34" s="171">
        <f t="shared" si="102"/>
        <v>0</v>
      </c>
      <c r="J34" s="57"/>
      <c r="K34" s="223">
        <f>'Regs Q2'!V33</f>
        <v>0</v>
      </c>
      <c r="L34" s="66"/>
      <c r="M34" s="171">
        <f t="shared" si="103"/>
        <v>0</v>
      </c>
      <c r="N34" s="57"/>
      <c r="O34" s="66"/>
      <c r="P34" s="65">
        <f t="shared" si="86"/>
        <v>0</v>
      </c>
      <c r="Q34" s="200">
        <f t="shared" si="111"/>
        <v>0</v>
      </c>
      <c r="R34" s="66">
        <v>0</v>
      </c>
      <c r="S34" s="56">
        <f t="shared" si="105"/>
        <v>0</v>
      </c>
      <c r="T34" s="68">
        <f t="shared" si="106"/>
        <v>0</v>
      </c>
      <c r="V34" s="103"/>
      <c r="W34" s="103"/>
      <c r="X34" s="103"/>
      <c r="Y34" s="3">
        <v>45565</v>
      </c>
      <c r="Z34" s="177" t="s">
        <v>56</v>
      </c>
      <c r="AD34" s="58">
        <f t="shared" si="107"/>
        <v>6</v>
      </c>
      <c r="AE34" s="29" t="s">
        <v>52</v>
      </c>
      <c r="AF34" s="31">
        <v>2</v>
      </c>
      <c r="AG34" s="31">
        <v>1</v>
      </c>
      <c r="AI34" s="31">
        <f t="shared" si="108"/>
        <v>3</v>
      </c>
      <c r="AJ34" s="31">
        <f t="shared" si="109"/>
        <v>0</v>
      </c>
      <c r="AL34" s="29" t="s">
        <v>52</v>
      </c>
      <c r="AM34" s="31">
        <v>3</v>
      </c>
      <c r="AN34" s="31">
        <v>3</v>
      </c>
      <c r="AO34" s="31">
        <v>3</v>
      </c>
      <c r="AP34" s="31">
        <f t="shared" si="110"/>
        <v>9</v>
      </c>
    </row>
    <row r="35" spans="1:42" ht="14.4">
      <c r="A35" s="32" t="s">
        <v>53</v>
      </c>
      <c r="B35" s="130"/>
      <c r="C35" s="204">
        <f>'Regs Q2'!V80</f>
        <v>0</v>
      </c>
      <c r="D35" s="66"/>
      <c r="E35" s="171">
        <f t="shared" si="101"/>
        <v>0</v>
      </c>
      <c r="F35" s="57"/>
      <c r="G35" s="223">
        <f>'Regs Q2'!V57</f>
        <v>0</v>
      </c>
      <c r="H35" s="66"/>
      <c r="I35" s="171">
        <f t="shared" si="102"/>
        <v>0</v>
      </c>
      <c r="J35" s="57"/>
      <c r="K35" s="223">
        <f>'Regs Q2'!V34</f>
        <v>0</v>
      </c>
      <c r="L35" s="66"/>
      <c r="M35" s="171">
        <f t="shared" si="103"/>
        <v>0</v>
      </c>
      <c r="N35" s="57"/>
      <c r="O35" s="66"/>
      <c r="P35" s="65">
        <f t="shared" si="86"/>
        <v>0</v>
      </c>
      <c r="Q35" s="200">
        <f t="shared" ref="Q35:R35" si="112">K35+G35+C35</f>
        <v>0</v>
      </c>
      <c r="R35" s="66">
        <f t="shared" si="112"/>
        <v>0</v>
      </c>
      <c r="S35" s="56">
        <f t="shared" si="105"/>
        <v>0</v>
      </c>
      <c r="T35" s="68">
        <f t="shared" si="106"/>
        <v>0</v>
      </c>
      <c r="V35" s="103"/>
      <c r="W35" s="103"/>
      <c r="X35" s="103"/>
      <c r="Y35" s="3">
        <v>45565</v>
      </c>
      <c r="Z35" s="177" t="s">
        <v>56</v>
      </c>
      <c r="AD35" s="58">
        <f t="shared" si="107"/>
        <v>9</v>
      </c>
      <c r="AE35" s="29" t="s">
        <v>53</v>
      </c>
      <c r="AH35" s="31">
        <v>1</v>
      </c>
      <c r="AI35" s="31">
        <f t="shared" si="108"/>
        <v>1</v>
      </c>
      <c r="AJ35" s="31">
        <f t="shared" si="109"/>
        <v>0</v>
      </c>
      <c r="AL35" s="29" t="s">
        <v>53</v>
      </c>
      <c r="AM35" s="31">
        <v>4</v>
      </c>
      <c r="AN35" s="31">
        <v>3</v>
      </c>
      <c r="AO35" s="31">
        <v>6</v>
      </c>
      <c r="AP35" s="31">
        <f t="shared" si="110"/>
        <v>13</v>
      </c>
    </row>
    <row r="36" spans="1:42" ht="14.4">
      <c r="A36" s="35" t="s">
        <v>54</v>
      </c>
      <c r="B36" s="130"/>
      <c r="C36" s="81">
        <f t="shared" ref="C36:N36" si="113">SUM(C32:C35)</f>
        <v>6</v>
      </c>
      <c r="D36" s="78">
        <f t="shared" si="113"/>
        <v>0</v>
      </c>
      <c r="E36" s="81">
        <f t="shared" si="113"/>
        <v>6</v>
      </c>
      <c r="F36" s="78">
        <f t="shared" si="113"/>
        <v>30</v>
      </c>
      <c r="G36" s="81">
        <f t="shared" si="113"/>
        <v>14</v>
      </c>
      <c r="H36" s="78">
        <f t="shared" si="113"/>
        <v>0</v>
      </c>
      <c r="I36" s="81">
        <f t="shared" si="113"/>
        <v>14</v>
      </c>
      <c r="J36" s="78">
        <f t="shared" si="113"/>
        <v>19</v>
      </c>
      <c r="K36" s="81">
        <f t="shared" si="113"/>
        <v>69</v>
      </c>
      <c r="L36" s="78">
        <f t="shared" si="113"/>
        <v>0</v>
      </c>
      <c r="M36" s="81">
        <f t="shared" si="113"/>
        <v>69</v>
      </c>
      <c r="N36" s="78">
        <f t="shared" si="113"/>
        <v>59</v>
      </c>
      <c r="O36" s="66"/>
      <c r="P36" s="65">
        <f t="shared" si="86"/>
        <v>0</v>
      </c>
      <c r="Q36" s="81">
        <f t="shared" ref="Q36:T36" si="114">SUM(Q32:Q35)</f>
        <v>89</v>
      </c>
      <c r="R36" s="78">
        <f t="shared" si="114"/>
        <v>0</v>
      </c>
      <c r="S36" s="78">
        <f t="shared" si="114"/>
        <v>89</v>
      </c>
      <c r="T36" s="92">
        <f t="shared" si="114"/>
        <v>108</v>
      </c>
      <c r="Z36" s="177"/>
      <c r="AE36" s="177" t="s">
        <v>54</v>
      </c>
      <c r="AF36" s="24">
        <f t="shared" ref="AF36:AJ36" si="115">SUM(AF32:AF35)</f>
        <v>3</v>
      </c>
      <c r="AG36" s="24">
        <f t="shared" si="115"/>
        <v>1</v>
      </c>
      <c r="AH36" s="24">
        <f t="shared" si="115"/>
        <v>1</v>
      </c>
      <c r="AI36" s="24">
        <f t="shared" si="115"/>
        <v>5</v>
      </c>
      <c r="AJ36" s="24">
        <f t="shared" si="115"/>
        <v>1</v>
      </c>
      <c r="AL36" s="177" t="s">
        <v>54</v>
      </c>
      <c r="AM36" s="24">
        <f t="shared" ref="AM36:AP36" si="116">SUM(AM32:AM35)</f>
        <v>13</v>
      </c>
      <c r="AN36" s="24">
        <f t="shared" si="116"/>
        <v>9</v>
      </c>
      <c r="AO36" s="24">
        <f t="shared" si="116"/>
        <v>12</v>
      </c>
      <c r="AP36" s="24">
        <f t="shared" si="116"/>
        <v>34</v>
      </c>
    </row>
    <row r="37" spans="1:42" ht="14.4">
      <c r="A37" s="32" t="s">
        <v>55</v>
      </c>
      <c r="B37" s="130"/>
      <c r="C37" s="39">
        <v>52</v>
      </c>
      <c r="D37" s="66"/>
      <c r="E37" s="56">
        <f t="shared" ref="E37:E39" si="117">SUM(C37:D37)</f>
        <v>52</v>
      </c>
      <c r="F37" s="57">
        <v>50</v>
      </c>
      <c r="G37" s="124">
        <f>100</f>
        <v>100</v>
      </c>
      <c r="H37" s="66"/>
      <c r="I37" s="56">
        <f t="shared" ref="I37:I39" si="118">SUM(G37:H37)</f>
        <v>100</v>
      </c>
      <c r="J37" s="57">
        <v>28</v>
      </c>
      <c r="K37" s="124">
        <v>79</v>
      </c>
      <c r="L37" s="66">
        <v>0</v>
      </c>
      <c r="M37" s="56">
        <f t="shared" ref="M37:M39" si="119">SUM(K37:L37)</f>
        <v>79</v>
      </c>
      <c r="N37" s="57">
        <v>86</v>
      </c>
      <c r="O37" s="66"/>
      <c r="P37" s="65">
        <f t="shared" si="86"/>
        <v>0</v>
      </c>
      <c r="Q37" s="66">
        <f t="shared" ref="Q37:R37" si="120">K37+G37+C37</f>
        <v>231</v>
      </c>
      <c r="R37" s="66">
        <f t="shared" si="120"/>
        <v>0</v>
      </c>
      <c r="S37" s="56">
        <f t="shared" ref="S37:S39" si="121">SUM(P37:R37)</f>
        <v>231</v>
      </c>
      <c r="T37" s="68">
        <f t="shared" ref="T37:T39" si="122">N37+J37+F37</f>
        <v>164</v>
      </c>
      <c r="V37" s="103"/>
      <c r="W37" s="103"/>
      <c r="X37" s="103"/>
      <c r="Y37" s="3">
        <v>45565</v>
      </c>
      <c r="Z37" s="177" t="s">
        <v>80</v>
      </c>
      <c r="AD37" s="58">
        <f t="shared" ref="AD37:AD39" si="123">AB16+AC16+AI37</f>
        <v>3</v>
      </c>
      <c r="AE37" s="29" t="s">
        <v>55</v>
      </c>
      <c r="AI37" s="31">
        <f t="shared" ref="AI37:AI39" si="124">SUM(AF37:AH37)</f>
        <v>0</v>
      </c>
      <c r="AJ37" s="31">
        <f t="shared" ref="AJ37:AJ39" si="125">AF16-AI37</f>
        <v>0</v>
      </c>
      <c r="AL37" s="29" t="s">
        <v>55</v>
      </c>
      <c r="AM37" s="31">
        <v>2</v>
      </c>
      <c r="AN37" s="31">
        <v>3</v>
      </c>
      <c r="AO37" s="31">
        <v>3</v>
      </c>
      <c r="AP37" s="31">
        <f t="shared" ref="AP37:AP39" si="126">SUM(AM37:AO37)</f>
        <v>8</v>
      </c>
    </row>
    <row r="38" spans="1:42" ht="14.4">
      <c r="A38" s="32" t="s">
        <v>57</v>
      </c>
      <c r="B38" s="130"/>
      <c r="C38" s="204">
        <f>'Regs Q2'!V83</f>
        <v>0</v>
      </c>
      <c r="D38" s="66"/>
      <c r="E38" s="171">
        <f t="shared" si="117"/>
        <v>0</v>
      </c>
      <c r="F38" s="57"/>
      <c r="G38" s="124"/>
      <c r="H38" s="66"/>
      <c r="I38" s="56">
        <f t="shared" si="118"/>
        <v>0</v>
      </c>
      <c r="J38" s="57"/>
      <c r="K38" s="124">
        <v>0</v>
      </c>
      <c r="L38" s="66">
        <v>0</v>
      </c>
      <c r="M38" s="56">
        <f t="shared" si="119"/>
        <v>0</v>
      </c>
      <c r="N38" s="57"/>
      <c r="O38" s="66"/>
      <c r="P38" s="65">
        <f t="shared" si="86"/>
        <v>0</v>
      </c>
      <c r="Q38" s="200">
        <f t="shared" ref="Q38:R38" si="127">K38+G38+C38</f>
        <v>0</v>
      </c>
      <c r="R38" s="66">
        <f t="shared" si="127"/>
        <v>0</v>
      </c>
      <c r="S38" s="56">
        <f t="shared" si="121"/>
        <v>0</v>
      </c>
      <c r="T38" s="68">
        <f t="shared" si="122"/>
        <v>0</v>
      </c>
      <c r="V38" s="103"/>
      <c r="W38" s="103"/>
      <c r="X38" s="103"/>
      <c r="Y38" s="3">
        <v>45565</v>
      </c>
      <c r="Z38" s="177" t="s">
        <v>80</v>
      </c>
      <c r="AD38" s="58">
        <f t="shared" si="123"/>
        <v>6</v>
      </c>
      <c r="AE38" s="29" t="s">
        <v>57</v>
      </c>
      <c r="AH38" s="31">
        <v>2</v>
      </c>
      <c r="AI38" s="31">
        <f t="shared" si="124"/>
        <v>2</v>
      </c>
      <c r="AJ38" s="31">
        <f t="shared" si="125"/>
        <v>0</v>
      </c>
      <c r="AL38" s="29" t="s">
        <v>57</v>
      </c>
      <c r="AM38" s="31">
        <v>1</v>
      </c>
      <c r="AN38" s="31">
        <v>1</v>
      </c>
      <c r="AO38" s="31">
        <v>5</v>
      </c>
      <c r="AP38" s="31">
        <f t="shared" si="126"/>
        <v>7</v>
      </c>
    </row>
    <row r="39" spans="1:42" ht="14.4">
      <c r="A39" s="32" t="s">
        <v>58</v>
      </c>
      <c r="B39" s="130"/>
      <c r="C39" s="204">
        <f>'Regs Q2'!V84</f>
        <v>0</v>
      </c>
      <c r="D39" s="66"/>
      <c r="E39" s="171">
        <f t="shared" si="117"/>
        <v>0</v>
      </c>
      <c r="F39" s="57"/>
      <c r="G39" s="124"/>
      <c r="H39" s="66"/>
      <c r="I39" s="56">
        <f t="shared" si="118"/>
        <v>0</v>
      </c>
      <c r="J39" s="57"/>
      <c r="K39" s="223">
        <f>'Regs Q2'!V38</f>
        <v>0</v>
      </c>
      <c r="L39" s="66"/>
      <c r="M39" s="171">
        <f t="shared" si="119"/>
        <v>0</v>
      </c>
      <c r="N39" s="57"/>
      <c r="O39" s="66"/>
      <c r="P39" s="65">
        <f t="shared" si="86"/>
        <v>0</v>
      </c>
      <c r="Q39" s="200">
        <f t="shared" ref="Q39:R39" si="128">K39+G39+C39</f>
        <v>0</v>
      </c>
      <c r="R39" s="66">
        <f t="shared" si="128"/>
        <v>0</v>
      </c>
      <c r="S39" s="56">
        <f t="shared" si="121"/>
        <v>0</v>
      </c>
      <c r="T39" s="68">
        <f t="shared" si="122"/>
        <v>0</v>
      </c>
      <c r="V39" s="103"/>
      <c r="W39" s="103"/>
      <c r="X39" s="103"/>
      <c r="Y39" s="3">
        <v>45565</v>
      </c>
      <c r="Z39" s="177" t="s">
        <v>80</v>
      </c>
      <c r="AD39" s="58">
        <f t="shared" si="123"/>
        <v>2</v>
      </c>
      <c r="AE39" s="29" t="s">
        <v>58</v>
      </c>
      <c r="AI39" s="31">
        <f t="shared" si="124"/>
        <v>0</v>
      </c>
      <c r="AJ39" s="31">
        <f t="shared" si="125"/>
        <v>0</v>
      </c>
      <c r="AL39" s="29" t="s">
        <v>58</v>
      </c>
      <c r="AP39" s="31">
        <f t="shared" si="126"/>
        <v>0</v>
      </c>
    </row>
    <row r="40" spans="1:42" ht="14.4">
      <c r="A40" s="35" t="s">
        <v>59</v>
      </c>
      <c r="B40" s="130"/>
      <c r="C40" s="78">
        <f t="shared" ref="C40:N40" si="129">SUM(C37:C39)</f>
        <v>52</v>
      </c>
      <c r="D40" s="78">
        <f t="shared" si="129"/>
        <v>0</v>
      </c>
      <c r="E40" s="78">
        <f t="shared" si="129"/>
        <v>52</v>
      </c>
      <c r="F40" s="78">
        <f t="shared" si="129"/>
        <v>50</v>
      </c>
      <c r="G40" s="78">
        <f t="shared" si="129"/>
        <v>100</v>
      </c>
      <c r="H40" s="78">
        <f t="shared" si="129"/>
        <v>0</v>
      </c>
      <c r="I40" s="78">
        <f t="shared" si="129"/>
        <v>100</v>
      </c>
      <c r="J40" s="78">
        <f t="shared" si="129"/>
        <v>28</v>
      </c>
      <c r="K40" s="78">
        <f t="shared" si="129"/>
        <v>79</v>
      </c>
      <c r="L40" s="78">
        <f t="shared" si="129"/>
        <v>0</v>
      </c>
      <c r="M40" s="78">
        <f t="shared" si="129"/>
        <v>79</v>
      </c>
      <c r="N40" s="78">
        <f t="shared" si="129"/>
        <v>86</v>
      </c>
      <c r="O40" s="66"/>
      <c r="P40" s="65">
        <f t="shared" si="86"/>
        <v>0</v>
      </c>
      <c r="Q40" s="78">
        <f t="shared" ref="Q40:T40" si="130">SUM(Q37:Q39)</f>
        <v>231</v>
      </c>
      <c r="R40" s="78">
        <f t="shared" si="130"/>
        <v>0</v>
      </c>
      <c r="S40" s="78">
        <f t="shared" si="130"/>
        <v>231</v>
      </c>
      <c r="T40" s="92">
        <f t="shared" si="130"/>
        <v>164</v>
      </c>
      <c r="W40" s="1"/>
      <c r="AE40" s="177" t="s">
        <v>59</v>
      </c>
      <c r="AF40" s="24">
        <f t="shared" ref="AF40:AJ40" si="131">SUM(AF37:AF39)</f>
        <v>0</v>
      </c>
      <c r="AG40" s="24">
        <f t="shared" si="131"/>
        <v>0</v>
      </c>
      <c r="AH40" s="24">
        <f t="shared" si="131"/>
        <v>2</v>
      </c>
      <c r="AI40" s="24">
        <f t="shared" si="131"/>
        <v>2</v>
      </c>
      <c r="AJ40" s="24">
        <f t="shared" si="131"/>
        <v>0</v>
      </c>
      <c r="AL40" s="177" t="s">
        <v>59</v>
      </c>
      <c r="AM40" s="24">
        <f t="shared" ref="AM40:AP40" si="132">SUM(AM37:AM39)</f>
        <v>3</v>
      </c>
      <c r="AN40" s="24">
        <f t="shared" si="132"/>
        <v>4</v>
      </c>
      <c r="AO40" s="24">
        <f t="shared" si="132"/>
        <v>8</v>
      </c>
      <c r="AP40" s="24">
        <f t="shared" si="132"/>
        <v>15</v>
      </c>
    </row>
    <row r="41" spans="1:42" ht="14.4">
      <c r="A41" s="35"/>
      <c r="B41" s="130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5">
        <f t="shared" si="86"/>
        <v>0</v>
      </c>
      <c r="Q41" s="66"/>
      <c r="R41" s="66"/>
      <c r="S41" s="66"/>
      <c r="T41" s="104"/>
      <c r="AE41" s="177"/>
      <c r="AL41" s="177"/>
    </row>
    <row r="42" spans="1:42" ht="14.4">
      <c r="A42" s="32"/>
      <c r="B42" s="29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104"/>
      <c r="AE42" s="29"/>
      <c r="AL42" s="29"/>
    </row>
    <row r="43" spans="1:42" ht="14.4">
      <c r="A43" s="126" t="s">
        <v>14</v>
      </c>
      <c r="B43" s="162"/>
      <c r="C43" s="97">
        <f t="shared" ref="C43:N43" si="133">C40+C36+C31</f>
        <v>186</v>
      </c>
      <c r="D43" s="97">
        <f t="shared" si="133"/>
        <v>0</v>
      </c>
      <c r="E43" s="97">
        <f t="shared" si="133"/>
        <v>186</v>
      </c>
      <c r="F43" s="97">
        <f t="shared" si="133"/>
        <v>214</v>
      </c>
      <c r="G43" s="97">
        <f t="shared" si="133"/>
        <v>213</v>
      </c>
      <c r="H43" s="97">
        <f t="shared" si="133"/>
        <v>0</v>
      </c>
      <c r="I43" s="97">
        <f t="shared" si="133"/>
        <v>213</v>
      </c>
      <c r="J43" s="97">
        <f t="shared" si="133"/>
        <v>129</v>
      </c>
      <c r="K43" s="97">
        <f t="shared" si="133"/>
        <v>481</v>
      </c>
      <c r="L43" s="97">
        <f t="shared" si="133"/>
        <v>0</v>
      </c>
      <c r="M43" s="97">
        <f t="shared" si="133"/>
        <v>481</v>
      </c>
      <c r="N43" s="97">
        <f t="shared" si="133"/>
        <v>470</v>
      </c>
      <c r="O43" s="127"/>
      <c r="P43" s="127"/>
      <c r="Q43" s="97">
        <f t="shared" ref="Q43:T43" si="134">Q40+Q36+Q31</f>
        <v>880</v>
      </c>
      <c r="R43" s="97">
        <f t="shared" si="134"/>
        <v>0</v>
      </c>
      <c r="S43" s="97">
        <f t="shared" si="134"/>
        <v>880</v>
      </c>
      <c r="T43" s="99">
        <f t="shared" si="134"/>
        <v>813</v>
      </c>
      <c r="AE43" s="177" t="s">
        <v>14</v>
      </c>
      <c r="AF43" s="31">
        <f t="shared" ref="AF43:AJ43" si="135">AF40+AF36+AF31</f>
        <v>5</v>
      </c>
      <c r="AG43" s="31">
        <f t="shared" si="135"/>
        <v>2</v>
      </c>
      <c r="AH43" s="31">
        <f t="shared" si="135"/>
        <v>7</v>
      </c>
      <c r="AI43" s="31">
        <f t="shared" si="135"/>
        <v>14</v>
      </c>
      <c r="AJ43" s="31">
        <f t="shared" si="135"/>
        <v>2</v>
      </c>
      <c r="AL43" s="177" t="s">
        <v>14</v>
      </c>
      <c r="AM43" s="31">
        <f t="shared" ref="AM43:AP43" si="136">AM40+AM36+AM31</f>
        <v>33</v>
      </c>
      <c r="AN43" s="31">
        <f t="shared" si="136"/>
        <v>24</v>
      </c>
      <c r="AO43" s="31">
        <f t="shared" si="136"/>
        <v>47</v>
      </c>
      <c r="AP43" s="31">
        <f t="shared" si="136"/>
        <v>104</v>
      </c>
    </row>
    <row r="44" spans="1:42" ht="13.2">
      <c r="AF44" s="31" t="s">
        <v>228</v>
      </c>
      <c r="AI44" s="199">
        <f>AI43+AB22+AC22</f>
        <v>61</v>
      </c>
      <c r="AM44" s="31" t="s">
        <v>229</v>
      </c>
      <c r="AP44" s="24">
        <f>AP43</f>
        <v>104</v>
      </c>
    </row>
    <row r="45" spans="1:42" ht="13.2">
      <c r="A45" s="31" t="s">
        <v>230</v>
      </c>
      <c r="C45" s="58">
        <f>C43+C22+D22</f>
        <v>562</v>
      </c>
      <c r="G45" s="58">
        <f>G43+G22+H22</f>
        <v>381</v>
      </c>
      <c r="K45" s="58">
        <f>K43+K22+L22</f>
        <v>1254</v>
      </c>
    </row>
    <row r="46" spans="1:42" ht="52.8">
      <c r="A46" s="262" t="s">
        <v>231</v>
      </c>
      <c r="C46" s="31">
        <v>562</v>
      </c>
      <c r="G46" s="31">
        <v>381</v>
      </c>
      <c r="AE46" s="24" t="s">
        <v>199</v>
      </c>
      <c r="AF46" s="24" t="s">
        <v>109</v>
      </c>
      <c r="AG46" s="24" t="s">
        <v>168</v>
      </c>
      <c r="AH46" s="24" t="s">
        <v>81</v>
      </c>
      <c r="AI46" s="24" t="s">
        <v>14</v>
      </c>
      <c r="AL46" s="24" t="s">
        <v>201</v>
      </c>
      <c r="AM46" s="24" t="s">
        <v>109</v>
      </c>
      <c r="AN46" s="24" t="s">
        <v>168</v>
      </c>
      <c r="AO46" s="24" t="s">
        <v>81</v>
      </c>
      <c r="AP46" s="24" t="s">
        <v>14</v>
      </c>
    </row>
    <row r="47" spans="1:42" ht="14.4">
      <c r="AE47" s="29" t="s">
        <v>24</v>
      </c>
      <c r="AF47" s="31">
        <v>5</v>
      </c>
      <c r="AG47" s="31">
        <v>1</v>
      </c>
      <c r="AI47" s="31">
        <f t="shared" ref="AI47:AI50" si="137">SUM(AF47:AH47)</f>
        <v>6</v>
      </c>
      <c r="AL47" s="29" t="s">
        <v>24</v>
      </c>
      <c r="AM47" s="31">
        <v>21</v>
      </c>
      <c r="AN47" s="31">
        <v>4</v>
      </c>
      <c r="AP47" s="31">
        <f t="shared" ref="AP47:AP50" si="138">SUM(AM47:AO47)</f>
        <v>25</v>
      </c>
    </row>
    <row r="48" spans="1:42" ht="14.4">
      <c r="A48" s="31" t="s">
        <v>232</v>
      </c>
      <c r="C48" s="199">
        <f>C45-C46</f>
        <v>0</v>
      </c>
      <c r="G48" s="199">
        <f>G45-G46</f>
        <v>0</v>
      </c>
      <c r="AE48" s="29" t="s">
        <v>36</v>
      </c>
      <c r="AF48" s="31">
        <v>3</v>
      </c>
      <c r="AI48" s="31">
        <f t="shared" si="137"/>
        <v>3</v>
      </c>
      <c r="AL48" s="29" t="s">
        <v>36</v>
      </c>
      <c r="AM48" s="31">
        <v>30</v>
      </c>
      <c r="AN48" s="31">
        <v>5</v>
      </c>
      <c r="AP48" s="31">
        <f t="shared" si="138"/>
        <v>35</v>
      </c>
    </row>
    <row r="49" spans="31:42" ht="14.4">
      <c r="AE49" s="29" t="s">
        <v>40</v>
      </c>
      <c r="AF49" s="31">
        <v>8</v>
      </c>
      <c r="AI49" s="31">
        <f t="shared" si="137"/>
        <v>8</v>
      </c>
      <c r="AL49" s="29" t="s">
        <v>40</v>
      </c>
      <c r="AM49" s="31">
        <v>18</v>
      </c>
      <c r="AN49" s="31">
        <v>4</v>
      </c>
      <c r="AP49" s="31">
        <f t="shared" si="138"/>
        <v>22</v>
      </c>
    </row>
    <row r="50" spans="31:42" ht="14.4">
      <c r="AE50" s="29" t="s">
        <v>41</v>
      </c>
      <c r="AF50" s="31">
        <v>1</v>
      </c>
      <c r="AG50" s="31">
        <v>1</v>
      </c>
      <c r="AI50" s="31">
        <f t="shared" si="137"/>
        <v>2</v>
      </c>
      <c r="AL50" s="29" t="s">
        <v>41</v>
      </c>
      <c r="AM50" s="31">
        <v>19</v>
      </c>
      <c r="AN50" s="31">
        <v>7</v>
      </c>
      <c r="AP50" s="31">
        <f t="shared" si="138"/>
        <v>26</v>
      </c>
    </row>
    <row r="51" spans="31:42" ht="14.4">
      <c r="AE51" s="177" t="s">
        <v>44</v>
      </c>
      <c r="AF51" s="24">
        <f t="shared" ref="AF51:AI51" si="139">SUM(AF47:AF50)</f>
        <v>17</v>
      </c>
      <c r="AG51" s="24">
        <f t="shared" si="139"/>
        <v>2</v>
      </c>
      <c r="AH51" s="24">
        <f t="shared" si="139"/>
        <v>0</v>
      </c>
      <c r="AI51" s="24">
        <f t="shared" si="139"/>
        <v>19</v>
      </c>
      <c r="AL51" s="177" t="s">
        <v>44</v>
      </c>
      <c r="AM51" s="24">
        <f t="shared" ref="AM51:AP51" si="140">SUM(AM47:AM50)</f>
        <v>88</v>
      </c>
      <c r="AN51" s="24">
        <f t="shared" si="140"/>
        <v>20</v>
      </c>
      <c r="AO51" s="24">
        <f t="shared" si="140"/>
        <v>0</v>
      </c>
      <c r="AP51" s="24">
        <f t="shared" si="140"/>
        <v>108</v>
      </c>
    </row>
    <row r="52" spans="31:42" ht="14.4">
      <c r="AE52" s="29" t="s">
        <v>46</v>
      </c>
      <c r="AF52" s="31">
        <v>6</v>
      </c>
      <c r="AI52" s="31">
        <f t="shared" ref="AI52:AI55" si="141">SUM(AF52:AH52)</f>
        <v>6</v>
      </c>
      <c r="AL52" s="29" t="s">
        <v>46</v>
      </c>
      <c r="AM52" s="31">
        <v>15</v>
      </c>
      <c r="AN52" s="31">
        <v>2</v>
      </c>
      <c r="AP52" s="31">
        <f t="shared" ref="AP52:AP55" si="142">SUM(AM52:AO52)</f>
        <v>17</v>
      </c>
    </row>
    <row r="53" spans="31:42" ht="14.4">
      <c r="AE53" s="29" t="s">
        <v>51</v>
      </c>
      <c r="AF53" s="31">
        <v>2</v>
      </c>
      <c r="AI53" s="31">
        <f t="shared" si="141"/>
        <v>2</v>
      </c>
      <c r="AL53" s="29" t="s">
        <v>51</v>
      </c>
      <c r="AM53" s="31">
        <v>12</v>
      </c>
      <c r="AN53" s="31">
        <v>6</v>
      </c>
      <c r="AP53" s="31">
        <f t="shared" si="142"/>
        <v>18</v>
      </c>
    </row>
    <row r="54" spans="31:42" ht="14.4">
      <c r="AE54" s="29" t="s">
        <v>52</v>
      </c>
      <c r="AF54" s="31">
        <v>2</v>
      </c>
      <c r="AG54" s="31">
        <v>1</v>
      </c>
      <c r="AI54" s="31">
        <f t="shared" si="141"/>
        <v>3</v>
      </c>
      <c r="AL54" s="29" t="s">
        <v>52</v>
      </c>
      <c r="AM54" s="31">
        <v>16</v>
      </c>
      <c r="AN54" s="31">
        <v>4</v>
      </c>
      <c r="AP54" s="31">
        <f t="shared" si="142"/>
        <v>20</v>
      </c>
    </row>
    <row r="55" spans="31:42" ht="14.4">
      <c r="AE55" s="29" t="s">
        <v>53</v>
      </c>
      <c r="AF55" s="31">
        <v>7</v>
      </c>
      <c r="AG55" s="31">
        <v>1</v>
      </c>
      <c r="AI55" s="31">
        <f t="shared" si="141"/>
        <v>8</v>
      </c>
      <c r="AL55" s="29" t="s">
        <v>53</v>
      </c>
      <c r="AM55" s="31">
        <v>30</v>
      </c>
      <c r="AN55" s="31">
        <v>5</v>
      </c>
      <c r="AP55" s="31">
        <f t="shared" si="142"/>
        <v>35</v>
      </c>
    </row>
    <row r="56" spans="31:42" ht="14.4">
      <c r="AE56" s="177" t="s">
        <v>54</v>
      </c>
      <c r="AF56" s="24">
        <f t="shared" ref="AF56:AI56" si="143">SUM(AF52:AF55)</f>
        <v>17</v>
      </c>
      <c r="AG56" s="24">
        <f t="shared" si="143"/>
        <v>2</v>
      </c>
      <c r="AH56" s="24">
        <f t="shared" si="143"/>
        <v>0</v>
      </c>
      <c r="AI56" s="24">
        <f t="shared" si="143"/>
        <v>19</v>
      </c>
      <c r="AL56" s="177" t="s">
        <v>54</v>
      </c>
      <c r="AM56" s="24">
        <f t="shared" ref="AM56:AP56" si="144">SUM(AM52:AM55)</f>
        <v>73</v>
      </c>
      <c r="AN56" s="24">
        <f t="shared" si="144"/>
        <v>17</v>
      </c>
      <c r="AO56" s="24">
        <f t="shared" si="144"/>
        <v>0</v>
      </c>
      <c r="AP56" s="24">
        <f t="shared" si="144"/>
        <v>90</v>
      </c>
    </row>
    <row r="57" spans="31:42" ht="14.4">
      <c r="AE57" s="29" t="s">
        <v>55</v>
      </c>
      <c r="AF57" s="31">
        <v>3</v>
      </c>
      <c r="AI57" s="31">
        <f t="shared" ref="AI57:AI59" si="145">SUM(AF57:AH57)</f>
        <v>3</v>
      </c>
      <c r="AL57" s="29" t="s">
        <v>55</v>
      </c>
      <c r="AM57" s="31">
        <v>20</v>
      </c>
      <c r="AN57" s="31">
        <v>9</v>
      </c>
      <c r="AP57" s="31">
        <f t="shared" ref="AP57:AP59" si="146">SUM(AM57:AO57)</f>
        <v>29</v>
      </c>
    </row>
    <row r="58" spans="31:42" ht="14.4">
      <c r="AE58" s="29" t="s">
        <v>57</v>
      </c>
      <c r="AF58" s="31">
        <v>4</v>
      </c>
      <c r="AI58" s="31">
        <f t="shared" si="145"/>
        <v>4</v>
      </c>
      <c r="AL58" s="29" t="s">
        <v>57</v>
      </c>
      <c r="AM58" s="31">
        <v>21</v>
      </c>
      <c r="AN58" s="31">
        <v>3</v>
      </c>
      <c r="AP58" s="31">
        <f t="shared" si="146"/>
        <v>24</v>
      </c>
    </row>
    <row r="59" spans="31:42" ht="14.4">
      <c r="AE59" s="29" t="s">
        <v>58</v>
      </c>
      <c r="AF59" s="31">
        <v>1</v>
      </c>
      <c r="AG59" s="31">
        <v>1</v>
      </c>
      <c r="AI59" s="31">
        <f t="shared" si="145"/>
        <v>2</v>
      </c>
      <c r="AL59" s="29" t="s">
        <v>58</v>
      </c>
      <c r="AM59" s="31">
        <v>5</v>
      </c>
      <c r="AN59" s="31">
        <v>1</v>
      </c>
      <c r="AP59" s="31">
        <f t="shared" si="146"/>
        <v>6</v>
      </c>
    </row>
    <row r="60" spans="31:42" ht="14.4">
      <c r="AE60" s="177" t="s">
        <v>59</v>
      </c>
      <c r="AF60" s="24">
        <f t="shared" ref="AF60:AI60" si="147">SUM(AF57:AF59)</f>
        <v>8</v>
      </c>
      <c r="AG60" s="24">
        <f t="shared" si="147"/>
        <v>1</v>
      </c>
      <c r="AH60" s="24">
        <f t="shared" si="147"/>
        <v>0</v>
      </c>
      <c r="AI60" s="24">
        <f t="shared" si="147"/>
        <v>9</v>
      </c>
      <c r="AL60" s="177" t="s">
        <v>59</v>
      </c>
      <c r="AM60" s="24">
        <f t="shared" ref="AM60:AP60" si="148">SUM(AM57:AM59)</f>
        <v>46</v>
      </c>
      <c r="AN60" s="24">
        <f t="shared" si="148"/>
        <v>13</v>
      </c>
      <c r="AO60" s="24">
        <f t="shared" si="148"/>
        <v>0</v>
      </c>
      <c r="AP60" s="24">
        <f t="shared" si="148"/>
        <v>59</v>
      </c>
    </row>
    <row r="61" spans="31:42" ht="14.4">
      <c r="AE61" s="177"/>
      <c r="AL61" s="177"/>
    </row>
    <row r="62" spans="31:42" ht="14.4">
      <c r="AE62" s="29"/>
      <c r="AL62" s="29"/>
    </row>
    <row r="63" spans="31:42" ht="14.4">
      <c r="AE63" s="177" t="s">
        <v>14</v>
      </c>
      <c r="AF63" s="31">
        <f t="shared" ref="AF63:AI63" si="149">AF60+AF56+AF51</f>
        <v>42</v>
      </c>
      <c r="AG63" s="31">
        <f t="shared" si="149"/>
        <v>5</v>
      </c>
      <c r="AH63" s="31">
        <f t="shared" si="149"/>
        <v>0</v>
      </c>
      <c r="AI63" s="31">
        <f t="shared" si="149"/>
        <v>47</v>
      </c>
      <c r="AL63" s="177" t="s">
        <v>14</v>
      </c>
      <c r="AM63" s="31">
        <f t="shared" ref="AM63:AP63" si="150">AM60+AM56+AM51</f>
        <v>207</v>
      </c>
      <c r="AN63" s="31">
        <f t="shared" si="150"/>
        <v>50</v>
      </c>
      <c r="AO63" s="31">
        <f t="shared" si="150"/>
        <v>0</v>
      </c>
      <c r="AP63" s="31">
        <f t="shared" si="150"/>
        <v>257</v>
      </c>
    </row>
    <row r="65" spans="35:35" ht="13.2">
      <c r="AI65" s="24">
        <f>AI63+AI43</f>
        <v>61</v>
      </c>
    </row>
  </sheetData>
  <mergeCells count="15">
    <mergeCell ref="A3:T3"/>
    <mergeCell ref="AA3:AP3"/>
    <mergeCell ref="C4:F4"/>
    <mergeCell ref="G4:J4"/>
    <mergeCell ref="K4:N4"/>
    <mergeCell ref="Q4:T4"/>
    <mergeCell ref="AC4:AE4"/>
    <mergeCell ref="AN4:AP4"/>
    <mergeCell ref="AF4:AH4"/>
    <mergeCell ref="AI4:AK4"/>
    <mergeCell ref="A24:T24"/>
    <mergeCell ref="C25:F25"/>
    <mergeCell ref="G25:J25"/>
    <mergeCell ref="K25:N25"/>
    <mergeCell ref="Q25:T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AQ43"/>
  <sheetViews>
    <sheetView workbookViewId="0"/>
  </sheetViews>
  <sheetFormatPr defaultColWidth="12.6640625" defaultRowHeight="15.75" customHeight="1"/>
  <cols>
    <col min="2" max="2" width="7.109375" customWidth="1"/>
    <col min="3" max="3" width="9" customWidth="1"/>
    <col min="4" max="4" width="8.88671875" customWidth="1"/>
    <col min="5" max="6" width="7.109375" customWidth="1"/>
    <col min="7" max="7" width="9.44140625" customWidth="1"/>
    <col min="8" max="8" width="10.33203125" customWidth="1"/>
    <col min="9" max="10" width="7.109375" customWidth="1"/>
    <col min="11" max="11" width="9.33203125" customWidth="1"/>
    <col min="12" max="12" width="9.77734375" customWidth="1"/>
    <col min="13" max="16" width="7.109375" customWidth="1"/>
    <col min="17" max="17" width="10.109375" customWidth="1"/>
    <col min="18" max="18" width="9" customWidth="1"/>
    <col min="19" max="21" width="7.109375" customWidth="1"/>
    <col min="26" max="41" width="8.77734375" customWidth="1"/>
  </cols>
  <sheetData>
    <row r="1" spans="1:43">
      <c r="A1" s="31" t="s">
        <v>68</v>
      </c>
    </row>
    <row r="3" spans="1:43" ht="15.75" customHeight="1">
      <c r="A3" s="292" t="s">
        <v>1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6"/>
      <c r="U3" s="182"/>
      <c r="V3" s="15"/>
      <c r="W3" s="15" t="s">
        <v>2</v>
      </c>
      <c r="X3" s="120" t="s">
        <v>3</v>
      </c>
      <c r="Y3" s="292" t="s">
        <v>111</v>
      </c>
      <c r="Z3" s="275"/>
      <c r="AA3" s="275"/>
      <c r="AB3" s="275"/>
      <c r="AC3" s="275"/>
      <c r="AD3" s="275"/>
      <c r="AE3" s="275"/>
      <c r="AF3" s="275"/>
      <c r="AG3" s="275"/>
      <c r="AH3" s="275"/>
      <c r="AI3" s="275"/>
      <c r="AJ3" s="275"/>
      <c r="AK3" s="275"/>
      <c r="AL3" s="275"/>
      <c r="AM3" s="275"/>
      <c r="AN3" s="276"/>
      <c r="AO3" s="182"/>
      <c r="AP3" s="15" t="s">
        <v>2</v>
      </c>
      <c r="AQ3" s="120" t="s">
        <v>3</v>
      </c>
    </row>
    <row r="4" spans="1:43" ht="15.75" customHeight="1">
      <c r="A4" s="32"/>
      <c r="B4" s="130"/>
      <c r="C4" s="277" t="s">
        <v>164</v>
      </c>
      <c r="D4" s="278"/>
      <c r="E4" s="278"/>
      <c r="F4" s="278"/>
      <c r="G4" s="277" t="s">
        <v>165</v>
      </c>
      <c r="H4" s="278"/>
      <c r="I4" s="278"/>
      <c r="J4" s="278"/>
      <c r="K4" s="277" t="s">
        <v>166</v>
      </c>
      <c r="L4" s="278"/>
      <c r="M4" s="278"/>
      <c r="N4" s="278"/>
      <c r="O4" s="29"/>
      <c r="P4" s="130"/>
      <c r="Q4" s="277" t="s">
        <v>14</v>
      </c>
      <c r="R4" s="278"/>
      <c r="S4" s="278"/>
      <c r="T4" s="279"/>
      <c r="U4" s="34"/>
      <c r="X4" s="29"/>
      <c r="Y4" s="32"/>
      <c r="Z4" s="130"/>
      <c r="AA4" s="277" t="s">
        <v>168</v>
      </c>
      <c r="AB4" s="278"/>
      <c r="AC4" s="278"/>
      <c r="AD4" s="277" t="s">
        <v>81</v>
      </c>
      <c r="AE4" s="278"/>
      <c r="AF4" s="278"/>
      <c r="AG4" s="277" t="s">
        <v>77</v>
      </c>
      <c r="AH4" s="278"/>
      <c r="AI4" s="278"/>
      <c r="AJ4" s="29"/>
      <c r="AK4" s="130"/>
      <c r="AL4" s="277" t="s">
        <v>14</v>
      </c>
      <c r="AM4" s="278"/>
      <c r="AN4" s="279"/>
      <c r="AO4" s="34"/>
    </row>
    <row r="5" spans="1:43" ht="15.75" customHeight="1">
      <c r="A5" s="35"/>
      <c r="B5" s="132" t="s">
        <v>13</v>
      </c>
      <c r="C5" s="132" t="s">
        <v>26</v>
      </c>
      <c r="D5" s="132" t="s">
        <v>27</v>
      </c>
      <c r="E5" s="132" t="s">
        <v>28</v>
      </c>
      <c r="F5" s="132" t="s">
        <v>29</v>
      </c>
      <c r="G5" s="132" t="s">
        <v>26</v>
      </c>
      <c r="H5" s="132" t="s">
        <v>27</v>
      </c>
      <c r="I5" s="132" t="s">
        <v>28</v>
      </c>
      <c r="J5" s="132" t="s">
        <v>29</v>
      </c>
      <c r="K5" s="132" t="s">
        <v>26</v>
      </c>
      <c r="L5" s="132" t="s">
        <v>27</v>
      </c>
      <c r="M5" s="132" t="s">
        <v>28</v>
      </c>
      <c r="N5" s="132" t="s">
        <v>29</v>
      </c>
      <c r="O5" s="38"/>
      <c r="P5" s="132" t="s">
        <v>13</v>
      </c>
      <c r="Q5" s="132" t="s">
        <v>26</v>
      </c>
      <c r="R5" s="132" t="s">
        <v>27</v>
      </c>
      <c r="S5" s="132" t="s">
        <v>28</v>
      </c>
      <c r="T5" s="135" t="s">
        <v>29</v>
      </c>
      <c r="U5" s="183" t="s">
        <v>32</v>
      </c>
      <c r="X5" s="177"/>
      <c r="Y5" s="35"/>
      <c r="Z5" s="132" t="s">
        <v>13</v>
      </c>
      <c r="AA5" s="132" t="s">
        <v>120</v>
      </c>
      <c r="AB5" s="132" t="s">
        <v>28</v>
      </c>
      <c r="AC5" s="132" t="s">
        <v>29</v>
      </c>
      <c r="AD5" s="132" t="s">
        <v>120</v>
      </c>
      <c r="AE5" s="132" t="s">
        <v>28</v>
      </c>
      <c r="AF5" s="132" t="s">
        <v>29</v>
      </c>
      <c r="AG5" s="132" t="s">
        <v>120</v>
      </c>
      <c r="AH5" s="132" t="s">
        <v>28</v>
      </c>
      <c r="AI5" s="132" t="s">
        <v>29</v>
      </c>
      <c r="AJ5" s="38"/>
      <c r="AK5" s="132" t="s">
        <v>13</v>
      </c>
      <c r="AL5" s="132" t="s">
        <v>120</v>
      </c>
      <c r="AM5" s="132" t="s">
        <v>28</v>
      </c>
      <c r="AN5" s="135" t="s">
        <v>29</v>
      </c>
      <c r="AO5" s="183" t="s">
        <v>32</v>
      </c>
      <c r="AQ5" s="177"/>
    </row>
    <row r="6" spans="1:43" ht="15.75" customHeight="1">
      <c r="A6" s="32" t="s">
        <v>24</v>
      </c>
      <c r="B6" s="229">
        <v>69</v>
      </c>
      <c r="C6" s="230">
        <v>33</v>
      </c>
      <c r="D6" s="230">
        <v>1</v>
      </c>
      <c r="E6" s="231">
        <f t="shared" ref="E6:E9" si="0">SUM(C6:D6)</f>
        <v>34</v>
      </c>
      <c r="F6" s="232">
        <f>Targets!B59</f>
        <v>36</v>
      </c>
      <c r="G6" s="233">
        <f>'Regs Q2'!D26</f>
        <v>50</v>
      </c>
      <c r="H6" s="230">
        <f>'Regs Q2'!E26</f>
        <v>2</v>
      </c>
      <c r="I6" s="231">
        <f t="shared" ref="I6:I9" si="1">SUM(G6:H6)</f>
        <v>52</v>
      </c>
      <c r="J6" s="232">
        <f>Targets!C59</f>
        <v>42</v>
      </c>
      <c r="K6" s="233">
        <f>'Regs Q2'!D3</f>
        <v>69</v>
      </c>
      <c r="L6" s="230">
        <f>'Regs Q2'!E3</f>
        <v>2</v>
      </c>
      <c r="M6" s="231">
        <f t="shared" ref="M6:M9" si="2">SUM(K6:L6)</f>
        <v>71</v>
      </c>
      <c r="N6" s="232">
        <f>Targets!D59</f>
        <v>68</v>
      </c>
      <c r="O6" s="29"/>
      <c r="P6" s="234">
        <f t="shared" ref="P6:P9" si="3">B6</f>
        <v>69</v>
      </c>
      <c r="Q6" s="29">
        <f t="shared" ref="Q6:R6" si="4">K6+G6+C6</f>
        <v>152</v>
      </c>
      <c r="R6" s="29">
        <f t="shared" si="4"/>
        <v>5</v>
      </c>
      <c r="S6" s="231">
        <f t="shared" ref="S6:S9" si="5">SUM(P6:R6)</f>
        <v>226</v>
      </c>
      <c r="T6" s="235">
        <f t="shared" ref="T6:T9" si="6">N6+J6+F6</f>
        <v>146</v>
      </c>
      <c r="U6" s="236">
        <f t="shared" ref="U6:U9" si="7">T6-S6</f>
        <v>-80</v>
      </c>
      <c r="V6" s="137">
        <f t="shared" ref="V6:V9" si="8">(Q6+R6)/T6</f>
        <v>1.0753424657534247</v>
      </c>
      <c r="W6" s="103">
        <v>45298</v>
      </c>
      <c r="X6" s="29" t="s">
        <v>172</v>
      </c>
      <c r="Y6" s="32" t="s">
        <v>24</v>
      </c>
      <c r="Z6" s="237">
        <f>Targets!AC30</f>
        <v>5</v>
      </c>
      <c r="AA6" s="238">
        <f>'Regs Q2'!P26</f>
        <v>1</v>
      </c>
      <c r="AB6" s="239">
        <f t="shared" ref="AB6:AB9" si="9">SUM(AA6)</f>
        <v>1</v>
      </c>
      <c r="AC6" s="240">
        <f>Targets!T43+Targets!U43</f>
        <v>8</v>
      </c>
      <c r="AD6" s="233">
        <v>0</v>
      </c>
      <c r="AE6" s="231">
        <f t="shared" ref="AE6:AE9" si="10">SUM(AD6)</f>
        <v>0</v>
      </c>
      <c r="AF6" s="240">
        <f>Targets!V43</f>
        <v>1</v>
      </c>
      <c r="AG6" s="233">
        <v>0</v>
      </c>
      <c r="AH6" s="231">
        <f t="shared" ref="AH6:AH9" si="11">SUM(AG6)</f>
        <v>0</v>
      </c>
      <c r="AI6" s="240">
        <f>Targets!W43</f>
        <v>0</v>
      </c>
      <c r="AJ6" s="29"/>
      <c r="AK6" s="241">
        <f t="shared" ref="AK6:AK9" si="12">Z6</f>
        <v>5</v>
      </c>
      <c r="AL6" s="242">
        <f t="shared" ref="AL6:AL9" si="13">AG6+AD6+AA6</f>
        <v>1</v>
      </c>
      <c r="AM6" s="239">
        <f t="shared" ref="AM6:AM9" si="14">AL6+AK6</f>
        <v>6</v>
      </c>
      <c r="AN6" s="243">
        <f t="shared" ref="AN6:AN9" si="15">AI6+AF6+AC6</f>
        <v>9</v>
      </c>
      <c r="AO6" s="236">
        <f t="shared" ref="AO6:AO9" si="16">AN6-AM6</f>
        <v>3</v>
      </c>
      <c r="AP6" s="103">
        <v>45298</v>
      </c>
      <c r="AQ6" s="29" t="s">
        <v>172</v>
      </c>
    </row>
    <row r="7" spans="1:43" ht="15.75" customHeight="1">
      <c r="A7" s="32" t="s">
        <v>36</v>
      </c>
      <c r="B7" s="229">
        <v>-6</v>
      </c>
      <c r="C7" s="230">
        <v>45</v>
      </c>
      <c r="D7" s="230">
        <v>1</v>
      </c>
      <c r="E7" s="231">
        <f t="shared" si="0"/>
        <v>46</v>
      </c>
      <c r="F7" s="232">
        <f>Targets!B56</f>
        <v>32</v>
      </c>
      <c r="G7" s="233">
        <f>'Regs Q2'!D27</f>
        <v>30</v>
      </c>
      <c r="H7" s="230">
        <f>'Regs Q2'!E27</f>
        <v>1</v>
      </c>
      <c r="I7" s="231">
        <f t="shared" si="1"/>
        <v>31</v>
      </c>
      <c r="J7" s="232">
        <f>Targets!C56</f>
        <v>37</v>
      </c>
      <c r="K7" s="233">
        <f>'Regs Q2'!D4</f>
        <v>37</v>
      </c>
      <c r="L7" s="230">
        <f>'Regs Q2'!E4</f>
        <v>1</v>
      </c>
      <c r="M7" s="231">
        <f t="shared" si="2"/>
        <v>38</v>
      </c>
      <c r="N7" s="232">
        <f>Targets!D56</f>
        <v>60</v>
      </c>
      <c r="O7" s="29"/>
      <c r="P7" s="234">
        <f t="shared" si="3"/>
        <v>-6</v>
      </c>
      <c r="Q7" s="29">
        <f t="shared" ref="Q7:R7" si="17">K7+G7+C7</f>
        <v>112</v>
      </c>
      <c r="R7" s="29">
        <f t="shared" si="17"/>
        <v>3</v>
      </c>
      <c r="S7" s="231">
        <f t="shared" si="5"/>
        <v>109</v>
      </c>
      <c r="T7" s="235">
        <f t="shared" si="6"/>
        <v>129</v>
      </c>
      <c r="U7" s="236">
        <f t="shared" si="7"/>
        <v>20</v>
      </c>
      <c r="V7" s="137">
        <f t="shared" si="8"/>
        <v>0.89147286821705429</v>
      </c>
      <c r="W7" s="103">
        <v>45298</v>
      </c>
      <c r="X7" s="29" t="s">
        <v>172</v>
      </c>
      <c r="Y7" s="32" t="s">
        <v>36</v>
      </c>
      <c r="Z7" s="237">
        <f>Targets!AC27</f>
        <v>3</v>
      </c>
      <c r="AA7" s="238">
        <f>'Regs Q2'!P27</f>
        <v>0</v>
      </c>
      <c r="AB7" s="239">
        <f t="shared" si="9"/>
        <v>0</v>
      </c>
      <c r="AC7" s="240">
        <f>Targets!T44+Targets!U44</f>
        <v>7</v>
      </c>
      <c r="AD7" s="233">
        <v>1</v>
      </c>
      <c r="AE7" s="231">
        <f t="shared" si="10"/>
        <v>1</v>
      </c>
      <c r="AF7" s="240">
        <f>Targets!V44</f>
        <v>1</v>
      </c>
      <c r="AG7" s="233">
        <v>0</v>
      </c>
      <c r="AH7" s="231">
        <f t="shared" si="11"/>
        <v>0</v>
      </c>
      <c r="AI7" s="240">
        <f>Targets!W44</f>
        <v>0</v>
      </c>
      <c r="AJ7" s="29"/>
      <c r="AK7" s="241">
        <f t="shared" si="12"/>
        <v>3</v>
      </c>
      <c r="AL7" s="242">
        <f t="shared" si="13"/>
        <v>1</v>
      </c>
      <c r="AM7" s="239">
        <f t="shared" si="14"/>
        <v>4</v>
      </c>
      <c r="AN7" s="243">
        <f t="shared" si="15"/>
        <v>8</v>
      </c>
      <c r="AO7" s="236">
        <f t="shared" si="16"/>
        <v>4</v>
      </c>
      <c r="AP7" s="103">
        <v>45298</v>
      </c>
      <c r="AQ7" s="29" t="s">
        <v>172</v>
      </c>
    </row>
    <row r="8" spans="1:43" ht="15.75" customHeight="1">
      <c r="A8" s="32" t="s">
        <v>40</v>
      </c>
      <c r="B8" s="229">
        <v>16</v>
      </c>
      <c r="C8" s="230">
        <v>34</v>
      </c>
      <c r="D8" s="230">
        <v>1</v>
      </c>
      <c r="E8" s="231">
        <f t="shared" si="0"/>
        <v>35</v>
      </c>
      <c r="F8" s="232">
        <f>Targets!B57</f>
        <v>21</v>
      </c>
      <c r="G8" s="233">
        <f>'Regs Q2'!D28</f>
        <v>15</v>
      </c>
      <c r="H8" s="230">
        <f>'Regs Q2'!E28</f>
        <v>0</v>
      </c>
      <c r="I8" s="231">
        <f t="shared" si="1"/>
        <v>15</v>
      </c>
      <c r="J8" s="232">
        <f>Targets!C57</f>
        <v>28</v>
      </c>
      <c r="K8" s="233">
        <f>'Regs Q2'!D5</f>
        <v>42</v>
      </c>
      <c r="L8" s="230">
        <f>'Regs Q2'!E5</f>
        <v>0</v>
      </c>
      <c r="M8" s="231">
        <f t="shared" si="2"/>
        <v>42</v>
      </c>
      <c r="N8" s="232">
        <f>Targets!D57</f>
        <v>42</v>
      </c>
      <c r="O8" s="29"/>
      <c r="P8" s="234">
        <f t="shared" si="3"/>
        <v>16</v>
      </c>
      <c r="Q8" s="29">
        <f t="shared" ref="Q8:R8" si="18">K8+G8+C8</f>
        <v>91</v>
      </c>
      <c r="R8" s="29">
        <f t="shared" si="18"/>
        <v>1</v>
      </c>
      <c r="S8" s="231">
        <f t="shared" si="5"/>
        <v>108</v>
      </c>
      <c r="T8" s="235">
        <f t="shared" si="6"/>
        <v>91</v>
      </c>
      <c r="U8" s="236">
        <f t="shared" si="7"/>
        <v>-17</v>
      </c>
      <c r="V8" s="137">
        <f t="shared" si="8"/>
        <v>1.0109890109890109</v>
      </c>
      <c r="W8" s="103">
        <v>45298</v>
      </c>
      <c r="X8" s="29" t="s">
        <v>172</v>
      </c>
      <c r="Y8" s="32" t="s">
        <v>40</v>
      </c>
      <c r="Z8" s="237">
        <f>Targets!AC28</f>
        <v>8</v>
      </c>
      <c r="AA8" s="238">
        <f>'Regs Q2'!P28</f>
        <v>0</v>
      </c>
      <c r="AB8" s="239">
        <f t="shared" si="9"/>
        <v>0</v>
      </c>
      <c r="AC8" s="240">
        <f>Targets!T45+Targets!U45</f>
        <v>5</v>
      </c>
      <c r="AD8" s="233">
        <v>1</v>
      </c>
      <c r="AE8" s="231">
        <f t="shared" si="10"/>
        <v>1</v>
      </c>
      <c r="AF8" s="240">
        <f>Targets!V45</f>
        <v>1</v>
      </c>
      <c r="AG8" s="233">
        <v>0</v>
      </c>
      <c r="AH8" s="231">
        <f t="shared" si="11"/>
        <v>0</v>
      </c>
      <c r="AI8" s="240">
        <f>Targets!W45</f>
        <v>0</v>
      </c>
      <c r="AJ8" s="29"/>
      <c r="AK8" s="241">
        <f t="shared" si="12"/>
        <v>8</v>
      </c>
      <c r="AL8" s="242">
        <f t="shared" si="13"/>
        <v>1</v>
      </c>
      <c r="AM8" s="239">
        <f t="shared" si="14"/>
        <v>9</v>
      </c>
      <c r="AN8" s="243">
        <f t="shared" si="15"/>
        <v>6</v>
      </c>
      <c r="AO8" s="236">
        <f t="shared" si="16"/>
        <v>-3</v>
      </c>
      <c r="AP8" s="103">
        <v>45298</v>
      </c>
      <c r="AQ8" s="29" t="s">
        <v>172</v>
      </c>
    </row>
    <row r="9" spans="1:43" ht="15.75" customHeight="1">
      <c r="A9" s="32" t="s">
        <v>41</v>
      </c>
      <c r="B9" s="229">
        <v>30</v>
      </c>
      <c r="C9" s="230">
        <v>21</v>
      </c>
      <c r="D9" s="230"/>
      <c r="E9" s="231">
        <f t="shared" si="0"/>
        <v>21</v>
      </c>
      <c r="F9" s="232">
        <f>Targets!B58</f>
        <v>29</v>
      </c>
      <c r="G9" s="233">
        <f>'Regs Q2'!D29</f>
        <v>27</v>
      </c>
      <c r="H9" s="230">
        <f>'Regs Q2'!E29</f>
        <v>1</v>
      </c>
      <c r="I9" s="231">
        <f t="shared" si="1"/>
        <v>28</v>
      </c>
      <c r="J9" s="232">
        <f>Targets!C58</f>
        <v>34</v>
      </c>
      <c r="K9" s="233">
        <f>'Regs Q2'!D6</f>
        <v>65</v>
      </c>
      <c r="L9" s="230">
        <f>'Regs Q2'!E6</f>
        <v>0</v>
      </c>
      <c r="M9" s="231">
        <f t="shared" si="2"/>
        <v>65</v>
      </c>
      <c r="N9" s="232">
        <f>Targets!D58</f>
        <v>56</v>
      </c>
      <c r="O9" s="29"/>
      <c r="P9" s="234">
        <f t="shared" si="3"/>
        <v>30</v>
      </c>
      <c r="Q9" s="29">
        <f t="shared" ref="Q9:R9" si="19">K9+G9+C9</f>
        <v>113</v>
      </c>
      <c r="R9" s="29">
        <f t="shared" si="19"/>
        <v>1</v>
      </c>
      <c r="S9" s="231">
        <f t="shared" si="5"/>
        <v>144</v>
      </c>
      <c r="T9" s="235">
        <f t="shared" si="6"/>
        <v>119</v>
      </c>
      <c r="U9" s="236">
        <f t="shared" si="7"/>
        <v>-25</v>
      </c>
      <c r="V9" s="137">
        <f t="shared" si="8"/>
        <v>0.95798319327731096</v>
      </c>
      <c r="W9" s="103">
        <v>45298</v>
      </c>
      <c r="X9" s="29" t="s">
        <v>172</v>
      </c>
      <c r="Y9" s="32" t="s">
        <v>41</v>
      </c>
      <c r="Z9" s="237">
        <f>Targets!AC29</f>
        <v>1</v>
      </c>
      <c r="AA9" s="238">
        <f>'Regs Q2'!P29</f>
        <v>1</v>
      </c>
      <c r="AB9" s="239">
        <f t="shared" si="9"/>
        <v>1</v>
      </c>
      <c r="AC9" s="240">
        <f>Targets!T46+Targets!U46</f>
        <v>6</v>
      </c>
      <c r="AD9" s="233">
        <v>0</v>
      </c>
      <c r="AE9" s="231">
        <f t="shared" si="10"/>
        <v>0</v>
      </c>
      <c r="AF9" s="240">
        <f>Targets!V46</f>
        <v>1</v>
      </c>
      <c r="AG9" s="233">
        <v>0</v>
      </c>
      <c r="AH9" s="231">
        <f t="shared" si="11"/>
        <v>0</v>
      </c>
      <c r="AI9" s="240">
        <f>Targets!W46</f>
        <v>0</v>
      </c>
      <c r="AJ9" s="29"/>
      <c r="AK9" s="241">
        <f t="shared" si="12"/>
        <v>1</v>
      </c>
      <c r="AL9" s="242">
        <f t="shared" si="13"/>
        <v>1</v>
      </c>
      <c r="AM9" s="239">
        <f t="shared" si="14"/>
        <v>2</v>
      </c>
      <c r="AN9" s="243">
        <f t="shared" si="15"/>
        <v>7</v>
      </c>
      <c r="AO9" s="236">
        <f t="shared" si="16"/>
        <v>5</v>
      </c>
      <c r="AP9" s="103">
        <v>45298</v>
      </c>
      <c r="AQ9" s="29" t="s">
        <v>172</v>
      </c>
    </row>
    <row r="10" spans="1:43" ht="15.75" customHeight="1">
      <c r="A10" s="35" t="s">
        <v>44</v>
      </c>
      <c r="B10" s="244">
        <f t="shared" ref="B10:N10" si="20">SUM(B6:B9)</f>
        <v>109</v>
      </c>
      <c r="C10" s="244">
        <f t="shared" si="20"/>
        <v>133</v>
      </c>
      <c r="D10" s="244">
        <f t="shared" si="20"/>
        <v>3</v>
      </c>
      <c r="E10" s="244">
        <f t="shared" si="20"/>
        <v>136</v>
      </c>
      <c r="F10" s="245">
        <f t="shared" si="20"/>
        <v>118</v>
      </c>
      <c r="G10" s="244">
        <f t="shared" si="20"/>
        <v>122</v>
      </c>
      <c r="H10" s="244">
        <f t="shared" si="20"/>
        <v>4</v>
      </c>
      <c r="I10" s="244">
        <f t="shared" si="20"/>
        <v>126</v>
      </c>
      <c r="J10" s="245">
        <f t="shared" si="20"/>
        <v>141</v>
      </c>
      <c r="K10" s="244">
        <f t="shared" si="20"/>
        <v>213</v>
      </c>
      <c r="L10" s="244">
        <f t="shared" si="20"/>
        <v>3</v>
      </c>
      <c r="M10" s="244">
        <f t="shared" si="20"/>
        <v>216</v>
      </c>
      <c r="N10" s="245">
        <f t="shared" si="20"/>
        <v>226</v>
      </c>
      <c r="O10" s="29"/>
      <c r="P10" s="244">
        <f t="shared" ref="P10:U10" si="21">SUM(P6:P9)</f>
        <v>109</v>
      </c>
      <c r="Q10" s="244">
        <f t="shared" si="21"/>
        <v>468</v>
      </c>
      <c r="R10" s="244">
        <f t="shared" si="21"/>
        <v>10</v>
      </c>
      <c r="S10" s="244">
        <f t="shared" si="21"/>
        <v>587</v>
      </c>
      <c r="T10" s="246">
        <f t="shared" si="21"/>
        <v>485</v>
      </c>
      <c r="U10" s="247">
        <f t="shared" si="21"/>
        <v>-102</v>
      </c>
      <c r="X10" s="29"/>
      <c r="Y10" s="35" t="s">
        <v>44</v>
      </c>
      <c r="Z10" s="245">
        <f t="shared" ref="Z10:AI10" si="22">SUM(Z6:Z9)</f>
        <v>17</v>
      </c>
      <c r="AA10" s="245">
        <f t="shared" si="22"/>
        <v>2</v>
      </c>
      <c r="AB10" s="245">
        <f t="shared" si="22"/>
        <v>2</v>
      </c>
      <c r="AC10" s="244">
        <f t="shared" si="22"/>
        <v>26</v>
      </c>
      <c r="AD10" s="244">
        <f t="shared" si="22"/>
        <v>2</v>
      </c>
      <c r="AE10" s="244">
        <f t="shared" si="22"/>
        <v>2</v>
      </c>
      <c r="AF10" s="244">
        <f t="shared" si="22"/>
        <v>4</v>
      </c>
      <c r="AG10" s="244">
        <f t="shared" si="22"/>
        <v>0</v>
      </c>
      <c r="AH10" s="244">
        <f t="shared" si="22"/>
        <v>0</v>
      </c>
      <c r="AI10" s="244">
        <f t="shared" si="22"/>
        <v>0</v>
      </c>
      <c r="AJ10" s="29"/>
      <c r="AK10" s="245">
        <f t="shared" ref="AK10:AO10" si="23">SUM(AK6:AK9)</f>
        <v>17</v>
      </c>
      <c r="AL10" s="245">
        <f t="shared" si="23"/>
        <v>4</v>
      </c>
      <c r="AM10" s="245">
        <f t="shared" si="23"/>
        <v>21</v>
      </c>
      <c r="AN10" s="248">
        <f t="shared" si="23"/>
        <v>30</v>
      </c>
      <c r="AO10" s="247">
        <f t="shared" si="23"/>
        <v>9</v>
      </c>
    </row>
    <row r="11" spans="1:43" ht="15.75" customHeight="1">
      <c r="A11" s="32" t="s">
        <v>46</v>
      </c>
      <c r="B11" s="229">
        <v>27</v>
      </c>
      <c r="C11" s="29">
        <v>13</v>
      </c>
      <c r="D11" s="29"/>
      <c r="E11" s="231">
        <f t="shared" ref="E11:E14" si="24">SUM(C11:D11)</f>
        <v>13</v>
      </c>
      <c r="F11" s="232">
        <f>Targets!B62</f>
        <v>26</v>
      </c>
      <c r="G11" s="233">
        <f>'Regs Q2'!D31</f>
        <v>40</v>
      </c>
      <c r="H11" s="230">
        <f>'Regs Q2'!E31</f>
        <v>1</v>
      </c>
      <c r="I11" s="231">
        <f t="shared" ref="I11:I14" si="25">SUM(G11:H11)</f>
        <v>41</v>
      </c>
      <c r="J11" s="232">
        <f>Targets!C62</f>
        <v>30</v>
      </c>
      <c r="K11" s="233">
        <f>'Regs Q2'!D8</f>
        <v>53</v>
      </c>
      <c r="L11" s="230">
        <f>'Regs Q2'!E8</f>
        <v>0</v>
      </c>
      <c r="M11" s="231">
        <f t="shared" ref="M11:M14" si="26">SUM(K11:L11)</f>
        <v>53</v>
      </c>
      <c r="N11" s="232">
        <f>Targets!D62</f>
        <v>47</v>
      </c>
      <c r="O11" s="29"/>
      <c r="P11" s="234">
        <f t="shared" ref="P11:P14" si="27">B11</f>
        <v>27</v>
      </c>
      <c r="Q11" s="29">
        <f t="shared" ref="Q11:R11" si="28">K11+G11+C11</f>
        <v>106</v>
      </c>
      <c r="R11" s="29">
        <f t="shared" si="28"/>
        <v>1</v>
      </c>
      <c r="S11" s="231">
        <f t="shared" ref="S11:S14" si="29">SUM(P11:R11)</f>
        <v>134</v>
      </c>
      <c r="T11" s="235">
        <f t="shared" ref="T11:T14" si="30">N11+J11+F11</f>
        <v>103</v>
      </c>
      <c r="U11" s="236">
        <f t="shared" ref="U11:U14" si="31">T11-S11</f>
        <v>-31</v>
      </c>
      <c r="V11" s="137">
        <f t="shared" ref="V11:V14" si="32">(Q11+R11)/T11</f>
        <v>1.0388349514563107</v>
      </c>
      <c r="W11" s="103">
        <v>45298</v>
      </c>
      <c r="X11" s="29" t="s">
        <v>172</v>
      </c>
      <c r="Y11" s="32" t="s">
        <v>46</v>
      </c>
      <c r="Z11" s="237">
        <f>Targets!AC33</f>
        <v>6</v>
      </c>
      <c r="AA11" s="238">
        <f>'Regs Q2'!P31</f>
        <v>0</v>
      </c>
      <c r="AB11" s="239">
        <f t="shared" ref="AB11:AB14" si="33">SUM(AA11)</f>
        <v>0</v>
      </c>
      <c r="AC11" s="240">
        <f>Targets!T48+Targets!U48</f>
        <v>7</v>
      </c>
      <c r="AD11" s="29"/>
      <c r="AE11" s="231">
        <f t="shared" ref="AE11:AE14" si="34">SUM(AD11)</f>
        <v>0</v>
      </c>
      <c r="AF11" s="240">
        <f>Targets!V48</f>
        <v>1</v>
      </c>
      <c r="AG11" s="29"/>
      <c r="AH11" s="231">
        <f t="shared" ref="AH11:AH14" si="35">SUM(AG11)</f>
        <v>0</v>
      </c>
      <c r="AI11" s="240">
        <f>Targets!W48</f>
        <v>0</v>
      </c>
      <c r="AJ11" s="29"/>
      <c r="AK11" s="241">
        <f t="shared" ref="AK11:AK14" si="36">Z11</f>
        <v>6</v>
      </c>
      <c r="AL11" s="242">
        <f t="shared" ref="AL11:AL14" si="37">AG11+AD11+AA11</f>
        <v>0</v>
      </c>
      <c r="AM11" s="239">
        <f t="shared" ref="AM11:AM14" si="38">AL11+AK11</f>
        <v>6</v>
      </c>
      <c r="AN11" s="243">
        <f t="shared" ref="AN11:AN14" si="39">AI11+AF11+AC11</f>
        <v>8</v>
      </c>
      <c r="AO11" s="236">
        <f t="shared" ref="AO11:AO14" si="40">AN11-AM11</f>
        <v>2</v>
      </c>
      <c r="AP11" s="103">
        <v>45298</v>
      </c>
      <c r="AQ11" s="31" t="s">
        <v>172</v>
      </c>
    </row>
    <row r="12" spans="1:43" ht="15.75" customHeight="1">
      <c r="A12" s="32" t="s">
        <v>51</v>
      </c>
      <c r="B12" s="229">
        <v>10</v>
      </c>
      <c r="C12" s="29">
        <v>29</v>
      </c>
      <c r="D12" s="29">
        <v>2</v>
      </c>
      <c r="E12" s="231">
        <f t="shared" si="24"/>
        <v>31</v>
      </c>
      <c r="F12" s="232">
        <f>Targets!B61</f>
        <v>26</v>
      </c>
      <c r="G12" s="233">
        <f>'Regs Q2'!D32</f>
        <v>27</v>
      </c>
      <c r="H12" s="230">
        <f>'Regs Q2'!E32</f>
        <v>0</v>
      </c>
      <c r="I12" s="231">
        <f t="shared" si="25"/>
        <v>27</v>
      </c>
      <c r="J12" s="232">
        <f>Targets!C61</f>
        <v>29</v>
      </c>
      <c r="K12" s="233">
        <f>'Regs Q2'!D9</f>
        <v>54</v>
      </c>
      <c r="L12" s="230">
        <f>'Regs Q2'!E9</f>
        <v>1</v>
      </c>
      <c r="M12" s="231">
        <f t="shared" si="26"/>
        <v>55</v>
      </c>
      <c r="N12" s="232">
        <f>Targets!D61</f>
        <v>48</v>
      </c>
      <c r="O12" s="29"/>
      <c r="P12" s="234">
        <f t="shared" si="27"/>
        <v>10</v>
      </c>
      <c r="Q12" s="29">
        <f t="shared" ref="Q12:Q13" si="41">K12+G12+O20+C12</f>
        <v>110</v>
      </c>
      <c r="R12" s="29">
        <f t="shared" ref="R12:R13" si="42">L12+H12+D12</f>
        <v>3</v>
      </c>
      <c r="S12" s="231">
        <f t="shared" si="29"/>
        <v>123</v>
      </c>
      <c r="T12" s="235">
        <f t="shared" si="30"/>
        <v>103</v>
      </c>
      <c r="U12" s="236">
        <f t="shared" si="31"/>
        <v>-20</v>
      </c>
      <c r="V12" s="137">
        <f t="shared" si="32"/>
        <v>1.0970873786407767</v>
      </c>
      <c r="W12" s="103">
        <v>45298</v>
      </c>
      <c r="X12" s="29" t="s">
        <v>172</v>
      </c>
      <c r="Y12" s="32" t="s">
        <v>51</v>
      </c>
      <c r="Z12" s="237">
        <f>Targets!AC32</f>
        <v>2</v>
      </c>
      <c r="AA12" s="238">
        <f>'Regs Q2'!P32</f>
        <v>0</v>
      </c>
      <c r="AB12" s="239">
        <f t="shared" si="33"/>
        <v>0</v>
      </c>
      <c r="AC12" s="240">
        <f>Targets!T49+Targets!U49</f>
        <v>7</v>
      </c>
      <c r="AD12" s="29"/>
      <c r="AE12" s="231">
        <f t="shared" si="34"/>
        <v>0</v>
      </c>
      <c r="AF12" s="240">
        <f>Targets!V49</f>
        <v>1</v>
      </c>
      <c r="AG12" s="29"/>
      <c r="AH12" s="231">
        <f t="shared" si="35"/>
        <v>0</v>
      </c>
      <c r="AI12" s="240">
        <f>Targets!W49</f>
        <v>0</v>
      </c>
      <c r="AJ12" s="29"/>
      <c r="AK12" s="241">
        <f t="shared" si="36"/>
        <v>2</v>
      </c>
      <c r="AL12" s="242">
        <f t="shared" si="37"/>
        <v>0</v>
      </c>
      <c r="AM12" s="239">
        <f t="shared" si="38"/>
        <v>2</v>
      </c>
      <c r="AN12" s="243">
        <f t="shared" si="39"/>
        <v>8</v>
      </c>
      <c r="AO12" s="236">
        <f t="shared" si="40"/>
        <v>6</v>
      </c>
      <c r="AP12" s="103">
        <v>45298</v>
      </c>
      <c r="AQ12" s="31" t="s">
        <v>172</v>
      </c>
    </row>
    <row r="13" spans="1:43" ht="15.75" customHeight="1">
      <c r="A13" s="32" t="s">
        <v>52</v>
      </c>
      <c r="B13" s="229">
        <v>12</v>
      </c>
      <c r="C13" s="29">
        <v>40</v>
      </c>
      <c r="D13" s="29"/>
      <c r="E13" s="231">
        <f t="shared" si="24"/>
        <v>40</v>
      </c>
      <c r="F13" s="232">
        <f>Targets!B60</f>
        <v>19</v>
      </c>
      <c r="G13" s="233">
        <f>'Regs Q2'!D33</f>
        <v>24</v>
      </c>
      <c r="H13" s="230">
        <f>'Regs Q2'!E33</f>
        <v>0</v>
      </c>
      <c r="I13" s="231">
        <f t="shared" si="25"/>
        <v>24</v>
      </c>
      <c r="J13" s="232">
        <f>Targets!C60</f>
        <v>24</v>
      </c>
      <c r="K13" s="233">
        <f>'Regs Q2'!D10</f>
        <v>49</v>
      </c>
      <c r="L13" s="230">
        <f>'Regs Q2'!E10</f>
        <v>1</v>
      </c>
      <c r="M13" s="231">
        <f t="shared" si="26"/>
        <v>50</v>
      </c>
      <c r="N13" s="232">
        <f>Targets!D60</f>
        <v>36</v>
      </c>
      <c r="O13" s="29"/>
      <c r="P13" s="234">
        <f t="shared" si="27"/>
        <v>12</v>
      </c>
      <c r="Q13" s="29">
        <f t="shared" si="41"/>
        <v>113</v>
      </c>
      <c r="R13" s="29">
        <f t="shared" si="42"/>
        <v>1</v>
      </c>
      <c r="S13" s="231">
        <f t="shared" si="29"/>
        <v>126</v>
      </c>
      <c r="T13" s="235">
        <f t="shared" si="30"/>
        <v>79</v>
      </c>
      <c r="U13" s="236">
        <f t="shared" si="31"/>
        <v>-47</v>
      </c>
      <c r="V13" s="137">
        <f t="shared" si="32"/>
        <v>1.4430379746835442</v>
      </c>
      <c r="W13" s="103">
        <v>45298</v>
      </c>
      <c r="X13" s="29" t="s">
        <v>172</v>
      </c>
      <c r="Y13" s="32" t="s">
        <v>52</v>
      </c>
      <c r="Z13" s="237">
        <f>Targets!AC31</f>
        <v>2</v>
      </c>
      <c r="AA13" s="238">
        <f>'Regs Q2'!P33</f>
        <v>1</v>
      </c>
      <c r="AB13" s="239">
        <f t="shared" si="33"/>
        <v>1</v>
      </c>
      <c r="AC13" s="240">
        <f>Targets!T50+Targets!U50</f>
        <v>5</v>
      </c>
      <c r="AD13" s="29"/>
      <c r="AE13" s="231">
        <f t="shared" si="34"/>
        <v>0</v>
      </c>
      <c r="AF13" s="240">
        <f>Targets!V50</f>
        <v>1</v>
      </c>
      <c r="AG13" s="29"/>
      <c r="AH13" s="231">
        <f t="shared" si="35"/>
        <v>0</v>
      </c>
      <c r="AI13" s="240">
        <f>Targets!W50</f>
        <v>0</v>
      </c>
      <c r="AJ13" s="29"/>
      <c r="AK13" s="241">
        <f t="shared" si="36"/>
        <v>2</v>
      </c>
      <c r="AL13" s="242">
        <f t="shared" si="37"/>
        <v>1</v>
      </c>
      <c r="AM13" s="239">
        <f t="shared" si="38"/>
        <v>3</v>
      </c>
      <c r="AN13" s="243">
        <f t="shared" si="39"/>
        <v>6</v>
      </c>
      <c r="AO13" s="236">
        <f t="shared" si="40"/>
        <v>3</v>
      </c>
      <c r="AP13" s="103">
        <v>45298</v>
      </c>
      <c r="AQ13" s="31" t="s">
        <v>172</v>
      </c>
    </row>
    <row r="14" spans="1:43" ht="15.75" customHeight="1">
      <c r="A14" s="32" t="s">
        <v>53</v>
      </c>
      <c r="B14" s="229">
        <v>7</v>
      </c>
      <c r="C14" s="29">
        <v>45</v>
      </c>
      <c r="D14" s="29"/>
      <c r="E14" s="231">
        <f t="shared" si="24"/>
        <v>45</v>
      </c>
      <c r="F14" s="232">
        <f>Targets!B63</f>
        <v>36</v>
      </c>
      <c r="G14" s="233">
        <f>'Regs Q2'!D34</f>
        <v>43</v>
      </c>
      <c r="H14" s="230">
        <f>'Regs Q2'!E34</f>
        <v>0</v>
      </c>
      <c r="I14" s="231">
        <f t="shared" si="25"/>
        <v>43</v>
      </c>
      <c r="J14" s="232">
        <f>Targets!C63</f>
        <v>46</v>
      </c>
      <c r="K14" s="233">
        <f>'Regs Q2'!D11</f>
        <v>68</v>
      </c>
      <c r="L14" s="230">
        <f>'Regs Q2'!E11</f>
        <v>0</v>
      </c>
      <c r="M14" s="231">
        <f t="shared" si="26"/>
        <v>68</v>
      </c>
      <c r="N14" s="232">
        <f>Targets!D63</f>
        <v>72</v>
      </c>
      <c r="O14" s="29"/>
      <c r="P14" s="234">
        <f t="shared" si="27"/>
        <v>7</v>
      </c>
      <c r="Q14" s="29">
        <f t="shared" ref="Q14:R14" si="43">K14+G14+C14</f>
        <v>156</v>
      </c>
      <c r="R14" s="29">
        <f t="shared" si="43"/>
        <v>0</v>
      </c>
      <c r="S14" s="231">
        <f t="shared" si="29"/>
        <v>163</v>
      </c>
      <c r="T14" s="235">
        <f t="shared" si="30"/>
        <v>154</v>
      </c>
      <c r="U14" s="236">
        <f t="shared" si="31"/>
        <v>-9</v>
      </c>
      <c r="V14" s="137">
        <f t="shared" si="32"/>
        <v>1.0129870129870129</v>
      </c>
      <c r="W14" s="103">
        <v>45298</v>
      </c>
      <c r="X14" s="29" t="s">
        <v>172</v>
      </c>
      <c r="Y14" s="32" t="s">
        <v>53</v>
      </c>
      <c r="Z14" s="237">
        <f>Targets!AC34</f>
        <v>7</v>
      </c>
      <c r="AA14" s="238">
        <f>'Regs Q2'!P34</f>
        <v>1</v>
      </c>
      <c r="AB14" s="239">
        <f t="shared" si="33"/>
        <v>1</v>
      </c>
      <c r="AC14" s="240">
        <f>Targets!T51+Targets!U51</f>
        <v>9</v>
      </c>
      <c r="AD14" s="29"/>
      <c r="AE14" s="231">
        <f t="shared" si="34"/>
        <v>0</v>
      </c>
      <c r="AF14" s="240">
        <f>Targets!V51</f>
        <v>2</v>
      </c>
      <c r="AG14" s="29"/>
      <c r="AH14" s="231">
        <f t="shared" si="35"/>
        <v>0</v>
      </c>
      <c r="AI14" s="240">
        <f>Targets!W51</f>
        <v>0</v>
      </c>
      <c r="AJ14" s="29"/>
      <c r="AK14" s="241">
        <f t="shared" si="36"/>
        <v>7</v>
      </c>
      <c r="AL14" s="242">
        <f t="shared" si="37"/>
        <v>1</v>
      </c>
      <c r="AM14" s="239">
        <f t="shared" si="38"/>
        <v>8</v>
      </c>
      <c r="AN14" s="243">
        <f t="shared" si="39"/>
        <v>11</v>
      </c>
      <c r="AO14" s="236">
        <f t="shared" si="40"/>
        <v>3</v>
      </c>
      <c r="AP14" s="103">
        <v>45298</v>
      </c>
      <c r="AQ14" s="31" t="s">
        <v>172</v>
      </c>
    </row>
    <row r="15" spans="1:43" ht="15.75" customHeight="1">
      <c r="A15" s="35" t="s">
        <v>54</v>
      </c>
      <c r="B15" s="244">
        <f t="shared" ref="B15:N15" si="44">SUM(B11:B14)</f>
        <v>56</v>
      </c>
      <c r="C15" s="244">
        <f t="shared" si="44"/>
        <v>127</v>
      </c>
      <c r="D15" s="244">
        <f t="shared" si="44"/>
        <v>2</v>
      </c>
      <c r="E15" s="244">
        <f t="shared" si="44"/>
        <v>129</v>
      </c>
      <c r="F15" s="245">
        <f t="shared" si="44"/>
        <v>107</v>
      </c>
      <c r="G15" s="244">
        <f t="shared" si="44"/>
        <v>134</v>
      </c>
      <c r="H15" s="244">
        <f t="shared" si="44"/>
        <v>1</v>
      </c>
      <c r="I15" s="244">
        <f t="shared" si="44"/>
        <v>135</v>
      </c>
      <c r="J15" s="245">
        <f t="shared" si="44"/>
        <v>129</v>
      </c>
      <c r="K15" s="244">
        <f t="shared" si="44"/>
        <v>224</v>
      </c>
      <c r="L15" s="244">
        <f t="shared" si="44"/>
        <v>2</v>
      </c>
      <c r="M15" s="244">
        <f t="shared" si="44"/>
        <v>226</v>
      </c>
      <c r="N15" s="245">
        <f t="shared" si="44"/>
        <v>203</v>
      </c>
      <c r="O15" s="29"/>
      <c r="P15" s="244">
        <f t="shared" ref="P15:U15" si="45">SUM(P11:P14)</f>
        <v>56</v>
      </c>
      <c r="Q15" s="244">
        <f t="shared" si="45"/>
        <v>485</v>
      </c>
      <c r="R15" s="244">
        <f t="shared" si="45"/>
        <v>5</v>
      </c>
      <c r="S15" s="244">
        <f t="shared" si="45"/>
        <v>546</v>
      </c>
      <c r="T15" s="246">
        <f t="shared" si="45"/>
        <v>439</v>
      </c>
      <c r="U15" s="247">
        <f t="shared" si="45"/>
        <v>-107</v>
      </c>
      <c r="X15" s="177"/>
      <c r="Y15" s="35" t="s">
        <v>54</v>
      </c>
      <c r="Z15" s="245">
        <f t="shared" ref="Z15:AI15" si="46">SUM(Z11:Z14)</f>
        <v>17</v>
      </c>
      <c r="AA15" s="245">
        <f t="shared" si="46"/>
        <v>2</v>
      </c>
      <c r="AB15" s="245">
        <f t="shared" si="46"/>
        <v>2</v>
      </c>
      <c r="AC15" s="244">
        <f t="shared" si="46"/>
        <v>28</v>
      </c>
      <c r="AD15" s="244">
        <f t="shared" si="46"/>
        <v>0</v>
      </c>
      <c r="AE15" s="244">
        <f t="shared" si="46"/>
        <v>0</v>
      </c>
      <c r="AF15" s="244">
        <f t="shared" si="46"/>
        <v>5</v>
      </c>
      <c r="AG15" s="244">
        <f t="shared" si="46"/>
        <v>0</v>
      </c>
      <c r="AH15" s="244">
        <f t="shared" si="46"/>
        <v>0</v>
      </c>
      <c r="AI15" s="244">
        <f t="shared" si="46"/>
        <v>0</v>
      </c>
      <c r="AJ15" s="29"/>
      <c r="AK15" s="245">
        <f t="shared" ref="AK15:AO15" si="47">SUM(AK11:AK14)</f>
        <v>17</v>
      </c>
      <c r="AL15" s="245">
        <f t="shared" si="47"/>
        <v>2</v>
      </c>
      <c r="AM15" s="245">
        <f t="shared" si="47"/>
        <v>19</v>
      </c>
      <c r="AN15" s="248">
        <f t="shared" si="47"/>
        <v>33</v>
      </c>
      <c r="AO15" s="247">
        <f t="shared" si="47"/>
        <v>14</v>
      </c>
    </row>
    <row r="16" spans="1:43" ht="15.75" customHeight="1">
      <c r="A16" s="32" t="s">
        <v>55</v>
      </c>
      <c r="B16" s="229">
        <v>-4</v>
      </c>
      <c r="C16" s="29">
        <v>29</v>
      </c>
      <c r="D16" s="29">
        <v>9</v>
      </c>
      <c r="E16" s="231">
        <f t="shared" ref="E16:E18" si="48">SUM(C16:D16)</f>
        <v>38</v>
      </c>
      <c r="F16" s="232">
        <f>Targets!B64</f>
        <v>24</v>
      </c>
      <c r="G16" s="233">
        <f>'Regs Q2'!D36</f>
        <v>27</v>
      </c>
      <c r="H16" s="230">
        <f>'Regs Q2'!E36</f>
        <v>7</v>
      </c>
      <c r="I16" s="231">
        <f t="shared" ref="I16:I18" si="49">SUM(G16:H16)</f>
        <v>34</v>
      </c>
      <c r="J16" s="232">
        <f>Targets!C64</f>
        <v>31</v>
      </c>
      <c r="K16" s="233">
        <f>'Regs Q2'!D13</f>
        <v>32</v>
      </c>
      <c r="L16" s="230">
        <f>'Regs Q2'!E13</f>
        <v>23</v>
      </c>
      <c r="M16" s="231">
        <f t="shared" ref="M16:M18" si="50">SUM(K16:L16)</f>
        <v>55</v>
      </c>
      <c r="N16" s="232">
        <f>Targets!D64</f>
        <v>48</v>
      </c>
      <c r="O16" s="29"/>
      <c r="P16" s="234">
        <f t="shared" ref="P16:P18" si="51">B16</f>
        <v>-4</v>
      </c>
      <c r="Q16" s="29">
        <f t="shared" ref="Q16:R16" si="52">K16+G16+C16</f>
        <v>88</v>
      </c>
      <c r="R16" s="29">
        <f t="shared" si="52"/>
        <v>39</v>
      </c>
      <c r="S16" s="231">
        <f t="shared" ref="S16:S18" si="53">SUM(P16:R16)</f>
        <v>123</v>
      </c>
      <c r="T16" s="235">
        <f t="shared" ref="T16:T18" si="54">N16+J16+F16</f>
        <v>103</v>
      </c>
      <c r="U16" s="236">
        <f t="shared" ref="U16:U18" si="55">T16-S16</f>
        <v>-20</v>
      </c>
      <c r="V16" s="137">
        <f t="shared" ref="V16:V18" si="56">(Q16+R16)/T16</f>
        <v>1.233009708737864</v>
      </c>
      <c r="W16" s="103">
        <v>45298</v>
      </c>
      <c r="X16" s="29" t="s">
        <v>172</v>
      </c>
      <c r="Y16" s="32" t="s">
        <v>55</v>
      </c>
      <c r="Z16" s="237">
        <f>Targets!AC35</f>
        <v>3</v>
      </c>
      <c r="AA16" s="238">
        <f>'Regs Q2'!P36</f>
        <v>0</v>
      </c>
      <c r="AB16" s="239">
        <f t="shared" ref="AB16:AB18" si="57">SUM(AA16)</f>
        <v>0</v>
      </c>
      <c r="AC16" s="240">
        <f>Targets!T53+Targets!U53</f>
        <v>6</v>
      </c>
      <c r="AD16" s="29">
        <v>0</v>
      </c>
      <c r="AE16" s="231">
        <f t="shared" ref="AE16:AE18" si="58">SUM(AD16)</f>
        <v>0</v>
      </c>
      <c r="AF16" s="240">
        <f>Targets!V53</f>
        <v>1</v>
      </c>
      <c r="AG16" s="29">
        <v>0</v>
      </c>
      <c r="AH16" s="231">
        <f t="shared" ref="AH16:AH18" si="59">SUM(AG16)</f>
        <v>0</v>
      </c>
      <c r="AI16" s="240">
        <f>Targets!W53</f>
        <v>0</v>
      </c>
      <c r="AJ16" s="29"/>
      <c r="AK16" s="241">
        <f t="shared" ref="AK16:AK18" si="60">Z16</f>
        <v>3</v>
      </c>
      <c r="AL16" s="242">
        <f t="shared" ref="AL16:AL18" si="61">AG16+AD16+AA16</f>
        <v>0</v>
      </c>
      <c r="AM16" s="239">
        <f t="shared" ref="AM16:AM18" si="62">AL16+AK16</f>
        <v>3</v>
      </c>
      <c r="AN16" s="243">
        <f t="shared" ref="AN16:AN18" si="63">AI16+AF16+AC16</f>
        <v>7</v>
      </c>
      <c r="AO16" s="236">
        <f t="shared" ref="AO16:AO18" si="64">AN16-AM16</f>
        <v>4</v>
      </c>
      <c r="AP16" s="103">
        <v>45298</v>
      </c>
      <c r="AQ16" s="31" t="s">
        <v>172</v>
      </c>
    </row>
    <row r="17" spans="1:43" ht="15.75" customHeight="1">
      <c r="A17" s="32" t="s">
        <v>57</v>
      </c>
      <c r="B17" s="229">
        <v>6</v>
      </c>
      <c r="C17" s="29">
        <v>26</v>
      </c>
      <c r="D17" s="29"/>
      <c r="E17" s="231">
        <f t="shared" si="48"/>
        <v>26</v>
      </c>
      <c r="F17" s="232">
        <f>Targets!B65</f>
        <v>30</v>
      </c>
      <c r="G17" s="233">
        <f>'Regs Q2'!D37</f>
        <v>32</v>
      </c>
      <c r="H17" s="230">
        <f>'Regs Q2'!E37</f>
        <v>1</v>
      </c>
      <c r="I17" s="231">
        <f t="shared" si="49"/>
        <v>33</v>
      </c>
      <c r="J17" s="232">
        <f>Targets!C65</f>
        <v>34</v>
      </c>
      <c r="K17" s="233">
        <f>'Regs Q2'!D14</f>
        <v>53</v>
      </c>
      <c r="L17" s="230">
        <f>'Regs Q2'!E14</f>
        <v>0</v>
      </c>
      <c r="M17" s="231">
        <f t="shared" si="50"/>
        <v>53</v>
      </c>
      <c r="N17" s="232">
        <f>Targets!D65</f>
        <v>54</v>
      </c>
      <c r="O17" s="29"/>
      <c r="P17" s="234">
        <f t="shared" si="51"/>
        <v>6</v>
      </c>
      <c r="Q17" s="29">
        <f t="shared" ref="Q17:R17" si="65">K17+G17+C17</f>
        <v>111</v>
      </c>
      <c r="R17" s="29">
        <f t="shared" si="65"/>
        <v>1</v>
      </c>
      <c r="S17" s="231">
        <f t="shared" si="53"/>
        <v>118</v>
      </c>
      <c r="T17" s="235">
        <f t="shared" si="54"/>
        <v>118</v>
      </c>
      <c r="U17" s="236">
        <f t="shared" si="55"/>
        <v>0</v>
      </c>
      <c r="V17" s="137">
        <f t="shared" si="56"/>
        <v>0.94915254237288138</v>
      </c>
      <c r="W17" s="103">
        <v>45298</v>
      </c>
      <c r="X17" s="29" t="s">
        <v>172</v>
      </c>
      <c r="Y17" s="32" t="s">
        <v>57</v>
      </c>
      <c r="Z17" s="237">
        <f>Targets!AC36</f>
        <v>4</v>
      </c>
      <c r="AA17" s="238">
        <f>'Regs Q2'!P37</f>
        <v>0</v>
      </c>
      <c r="AB17" s="239">
        <f t="shared" si="57"/>
        <v>0</v>
      </c>
      <c r="AC17" s="240">
        <f>Targets!T54+Targets!U54</f>
        <v>7</v>
      </c>
      <c r="AD17" s="29">
        <v>0</v>
      </c>
      <c r="AE17" s="231">
        <f t="shared" si="58"/>
        <v>0</v>
      </c>
      <c r="AF17" s="240">
        <f>Targets!V54</f>
        <v>1</v>
      </c>
      <c r="AG17" s="29">
        <v>0</v>
      </c>
      <c r="AH17" s="231">
        <f t="shared" si="59"/>
        <v>0</v>
      </c>
      <c r="AI17" s="240">
        <f>Targets!W54</f>
        <v>0</v>
      </c>
      <c r="AJ17" s="29"/>
      <c r="AK17" s="241">
        <f t="shared" si="60"/>
        <v>4</v>
      </c>
      <c r="AL17" s="242">
        <f t="shared" si="61"/>
        <v>0</v>
      </c>
      <c r="AM17" s="239">
        <f t="shared" si="62"/>
        <v>4</v>
      </c>
      <c r="AN17" s="243">
        <f t="shared" si="63"/>
        <v>8</v>
      </c>
      <c r="AO17" s="236">
        <f t="shared" si="64"/>
        <v>4</v>
      </c>
      <c r="AP17" s="103">
        <v>45298</v>
      </c>
      <c r="AQ17" s="31" t="s">
        <v>172</v>
      </c>
    </row>
    <row r="18" spans="1:43" ht="15.75" customHeight="1">
      <c r="A18" s="32" t="s">
        <v>58</v>
      </c>
      <c r="B18" s="229">
        <v>14</v>
      </c>
      <c r="C18" s="29">
        <v>10</v>
      </c>
      <c r="D18" s="29"/>
      <c r="E18" s="231">
        <f t="shared" si="48"/>
        <v>10</v>
      </c>
      <c r="F18" s="232">
        <f>Targets!B66</f>
        <v>11</v>
      </c>
      <c r="G18" s="233">
        <f>'Regs Q2'!D38</f>
        <v>12</v>
      </c>
      <c r="H18" s="230">
        <f>'Regs Q2'!E38</f>
        <v>0</v>
      </c>
      <c r="I18" s="231">
        <f t="shared" si="49"/>
        <v>12</v>
      </c>
      <c r="J18" s="232">
        <f>Targets!C66</f>
        <v>13</v>
      </c>
      <c r="K18" s="233">
        <f>'Regs Q2'!D15</f>
        <v>25</v>
      </c>
      <c r="L18" s="230">
        <f>'Regs Q2'!E15</f>
        <v>0</v>
      </c>
      <c r="M18" s="231">
        <f t="shared" si="50"/>
        <v>25</v>
      </c>
      <c r="N18" s="232">
        <f>Targets!D66</f>
        <v>23</v>
      </c>
      <c r="O18" s="29"/>
      <c r="P18" s="234">
        <f t="shared" si="51"/>
        <v>14</v>
      </c>
      <c r="Q18" s="29">
        <f t="shared" ref="Q18:R18" si="66">K18+G18+C18</f>
        <v>47</v>
      </c>
      <c r="R18" s="29">
        <f t="shared" si="66"/>
        <v>0</v>
      </c>
      <c r="S18" s="231">
        <f t="shared" si="53"/>
        <v>61</v>
      </c>
      <c r="T18" s="235">
        <f t="shared" si="54"/>
        <v>47</v>
      </c>
      <c r="U18" s="236">
        <f t="shared" si="55"/>
        <v>-14</v>
      </c>
      <c r="V18" s="137">
        <f t="shared" si="56"/>
        <v>1</v>
      </c>
      <c r="W18" s="103">
        <v>45298</v>
      </c>
      <c r="X18" s="29" t="s">
        <v>172</v>
      </c>
      <c r="Y18" s="32" t="s">
        <v>58</v>
      </c>
      <c r="Z18" s="237">
        <f>Targets!AC37</f>
        <v>1</v>
      </c>
      <c r="AA18" s="238">
        <f>'Regs Q2'!P38</f>
        <v>1</v>
      </c>
      <c r="AB18" s="239">
        <f t="shared" si="57"/>
        <v>1</v>
      </c>
      <c r="AC18" s="240">
        <f>Targets!T55+Targets!U55</f>
        <v>2</v>
      </c>
      <c r="AD18" s="29">
        <v>0</v>
      </c>
      <c r="AE18" s="231">
        <f t="shared" si="58"/>
        <v>0</v>
      </c>
      <c r="AF18" s="240">
        <f>Targets!V55</f>
        <v>1</v>
      </c>
      <c r="AG18" s="29">
        <v>0</v>
      </c>
      <c r="AH18" s="231">
        <f t="shared" si="59"/>
        <v>0</v>
      </c>
      <c r="AI18" s="240">
        <f>Targets!W55</f>
        <v>0</v>
      </c>
      <c r="AJ18" s="29"/>
      <c r="AK18" s="241">
        <f t="shared" si="60"/>
        <v>1</v>
      </c>
      <c r="AL18" s="242">
        <f t="shared" si="61"/>
        <v>1</v>
      </c>
      <c r="AM18" s="239">
        <f t="shared" si="62"/>
        <v>2</v>
      </c>
      <c r="AN18" s="243">
        <f t="shared" si="63"/>
        <v>3</v>
      </c>
      <c r="AO18" s="236">
        <f t="shared" si="64"/>
        <v>1</v>
      </c>
      <c r="AP18" s="103">
        <v>45298</v>
      </c>
      <c r="AQ18" s="31" t="s">
        <v>172</v>
      </c>
    </row>
    <row r="19" spans="1:43" ht="15.75" customHeight="1">
      <c r="A19" s="35" t="s">
        <v>59</v>
      </c>
      <c r="B19" s="244">
        <f t="shared" ref="B19:N19" si="67">SUM(B16:B18)</f>
        <v>16</v>
      </c>
      <c r="C19" s="244">
        <f t="shared" si="67"/>
        <v>65</v>
      </c>
      <c r="D19" s="244">
        <f t="shared" si="67"/>
        <v>9</v>
      </c>
      <c r="E19" s="244">
        <f t="shared" si="67"/>
        <v>74</v>
      </c>
      <c r="F19" s="245">
        <f t="shared" si="67"/>
        <v>65</v>
      </c>
      <c r="G19" s="244">
        <f t="shared" si="67"/>
        <v>71</v>
      </c>
      <c r="H19" s="244">
        <f t="shared" si="67"/>
        <v>8</v>
      </c>
      <c r="I19" s="244">
        <f t="shared" si="67"/>
        <v>79</v>
      </c>
      <c r="J19" s="245">
        <f t="shared" si="67"/>
        <v>78</v>
      </c>
      <c r="K19" s="244">
        <f t="shared" si="67"/>
        <v>110</v>
      </c>
      <c r="L19" s="244">
        <f t="shared" si="67"/>
        <v>23</v>
      </c>
      <c r="M19" s="244">
        <f t="shared" si="67"/>
        <v>133</v>
      </c>
      <c r="N19" s="245">
        <f t="shared" si="67"/>
        <v>125</v>
      </c>
      <c r="O19" s="29"/>
      <c r="P19" s="244">
        <f t="shared" ref="P19:U19" si="68">SUM(P16:P18)</f>
        <v>16</v>
      </c>
      <c r="Q19" s="244">
        <f t="shared" si="68"/>
        <v>246</v>
      </c>
      <c r="R19" s="244">
        <f t="shared" si="68"/>
        <v>40</v>
      </c>
      <c r="S19" s="244">
        <f t="shared" si="68"/>
        <v>302</v>
      </c>
      <c r="T19" s="246">
        <f t="shared" si="68"/>
        <v>268</v>
      </c>
      <c r="U19" s="247">
        <f t="shared" si="68"/>
        <v>-34</v>
      </c>
      <c r="X19" s="177"/>
      <c r="Y19" s="35" t="s">
        <v>59</v>
      </c>
      <c r="Z19" s="245">
        <f t="shared" ref="Z19:AI19" si="69">SUM(Z16:Z18)</f>
        <v>8</v>
      </c>
      <c r="AA19" s="245">
        <f t="shared" si="69"/>
        <v>1</v>
      </c>
      <c r="AB19" s="245">
        <f t="shared" si="69"/>
        <v>1</v>
      </c>
      <c r="AC19" s="244">
        <f t="shared" si="69"/>
        <v>15</v>
      </c>
      <c r="AD19" s="244">
        <f t="shared" si="69"/>
        <v>0</v>
      </c>
      <c r="AE19" s="244">
        <f t="shared" si="69"/>
        <v>0</v>
      </c>
      <c r="AF19" s="244">
        <f t="shared" si="69"/>
        <v>3</v>
      </c>
      <c r="AG19" s="244">
        <f t="shared" si="69"/>
        <v>0</v>
      </c>
      <c r="AH19" s="244">
        <f t="shared" si="69"/>
        <v>0</v>
      </c>
      <c r="AI19" s="244">
        <f t="shared" si="69"/>
        <v>0</v>
      </c>
      <c r="AJ19" s="29"/>
      <c r="AK19" s="245">
        <f t="shared" ref="AK19:AO19" si="70">SUM(AK16:AK18)</f>
        <v>8</v>
      </c>
      <c r="AL19" s="245">
        <f t="shared" si="70"/>
        <v>1</v>
      </c>
      <c r="AM19" s="245">
        <f t="shared" si="70"/>
        <v>9</v>
      </c>
      <c r="AN19" s="248">
        <f t="shared" si="70"/>
        <v>18</v>
      </c>
      <c r="AO19" s="247">
        <f t="shared" si="70"/>
        <v>9</v>
      </c>
    </row>
    <row r="20" spans="1:43" ht="15.75" customHeight="1">
      <c r="A20" s="35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51"/>
      <c r="U20" s="252"/>
      <c r="X20" s="177"/>
      <c r="Y20" s="35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51"/>
      <c r="AO20" s="252"/>
    </row>
    <row r="21" spans="1:43" ht="15.75" customHeight="1">
      <c r="A21" s="32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51"/>
      <c r="U21" s="252"/>
      <c r="X21" s="29"/>
      <c r="Y21" s="32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51"/>
      <c r="AO21" s="252"/>
    </row>
    <row r="22" spans="1:43" ht="15.75" customHeight="1">
      <c r="A22" s="126" t="s">
        <v>14</v>
      </c>
      <c r="B22" s="253">
        <f t="shared" ref="B22:N22" si="71">B19+B15+B10</f>
        <v>181</v>
      </c>
      <c r="C22" s="253">
        <f t="shared" si="71"/>
        <v>325</v>
      </c>
      <c r="D22" s="253">
        <f t="shared" si="71"/>
        <v>14</v>
      </c>
      <c r="E22" s="253">
        <f t="shared" si="71"/>
        <v>339</v>
      </c>
      <c r="F22" s="253">
        <f t="shared" si="71"/>
        <v>290</v>
      </c>
      <c r="G22" s="253">
        <f t="shared" si="71"/>
        <v>327</v>
      </c>
      <c r="H22" s="253">
        <f t="shared" si="71"/>
        <v>13</v>
      </c>
      <c r="I22" s="253">
        <f t="shared" si="71"/>
        <v>340</v>
      </c>
      <c r="J22" s="253">
        <f t="shared" si="71"/>
        <v>348</v>
      </c>
      <c r="K22" s="253">
        <f t="shared" si="71"/>
        <v>547</v>
      </c>
      <c r="L22" s="253">
        <f t="shared" si="71"/>
        <v>28</v>
      </c>
      <c r="M22" s="253">
        <f t="shared" si="71"/>
        <v>575</v>
      </c>
      <c r="N22" s="253">
        <f t="shared" si="71"/>
        <v>554</v>
      </c>
      <c r="O22" s="162"/>
      <c r="P22" s="253">
        <f t="shared" ref="P22:U22" si="72">P19+P15+P10</f>
        <v>181</v>
      </c>
      <c r="Q22" s="253">
        <f t="shared" si="72"/>
        <v>1199</v>
      </c>
      <c r="R22" s="253">
        <f t="shared" si="72"/>
        <v>55</v>
      </c>
      <c r="S22" s="253">
        <f t="shared" si="72"/>
        <v>1435</v>
      </c>
      <c r="T22" s="254">
        <f t="shared" si="72"/>
        <v>1192</v>
      </c>
      <c r="U22" s="255">
        <f t="shared" si="72"/>
        <v>-243</v>
      </c>
      <c r="X22" s="177"/>
      <c r="Y22" s="126" t="s">
        <v>14</v>
      </c>
      <c r="Z22" s="253">
        <f t="shared" ref="Z22:AI22" si="73">Z19+Z15+Z10</f>
        <v>42</v>
      </c>
      <c r="AA22" s="253">
        <f t="shared" si="73"/>
        <v>5</v>
      </c>
      <c r="AB22" s="253">
        <f t="shared" si="73"/>
        <v>5</v>
      </c>
      <c r="AC22" s="253">
        <f t="shared" si="73"/>
        <v>69</v>
      </c>
      <c r="AD22" s="253">
        <f t="shared" si="73"/>
        <v>2</v>
      </c>
      <c r="AE22" s="253">
        <f t="shared" si="73"/>
        <v>2</v>
      </c>
      <c r="AF22" s="253">
        <f t="shared" si="73"/>
        <v>12</v>
      </c>
      <c r="AG22" s="253">
        <f t="shared" si="73"/>
        <v>0</v>
      </c>
      <c r="AH22" s="253">
        <f t="shared" si="73"/>
        <v>0</v>
      </c>
      <c r="AI22" s="253">
        <f t="shared" si="73"/>
        <v>0</v>
      </c>
      <c r="AJ22" s="162"/>
      <c r="AK22" s="253">
        <f t="shared" ref="AK22:AO22" si="74">AK19+AK15+AK10</f>
        <v>42</v>
      </c>
      <c r="AL22" s="253">
        <f t="shared" si="74"/>
        <v>7</v>
      </c>
      <c r="AM22" s="253">
        <f t="shared" si="74"/>
        <v>49</v>
      </c>
      <c r="AN22" s="254">
        <f t="shared" si="74"/>
        <v>81</v>
      </c>
      <c r="AO22" s="255">
        <f t="shared" si="74"/>
        <v>32</v>
      </c>
    </row>
    <row r="24" spans="1:43" ht="15.75" customHeight="1">
      <c r="A24" s="292" t="s">
        <v>63</v>
      </c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276"/>
      <c r="V24" s="15"/>
      <c r="W24" s="15" t="s">
        <v>2</v>
      </c>
      <c r="X24" s="120" t="s">
        <v>3</v>
      </c>
    </row>
    <row r="25" spans="1:43" ht="15.75" customHeight="1">
      <c r="A25" s="32"/>
      <c r="B25" s="130"/>
      <c r="C25" s="277" t="s">
        <v>164</v>
      </c>
      <c r="D25" s="278"/>
      <c r="E25" s="278"/>
      <c r="F25" s="278"/>
      <c r="G25" s="277" t="s">
        <v>10</v>
      </c>
      <c r="H25" s="278"/>
      <c r="I25" s="278"/>
      <c r="J25" s="278"/>
      <c r="K25" s="277" t="s">
        <v>17</v>
      </c>
      <c r="L25" s="278"/>
      <c r="M25" s="278"/>
      <c r="N25" s="278"/>
      <c r="O25" s="29"/>
      <c r="P25" s="130"/>
      <c r="Q25" s="277" t="s">
        <v>14</v>
      </c>
      <c r="R25" s="278"/>
      <c r="S25" s="278"/>
      <c r="T25" s="279"/>
      <c r="X25" s="29"/>
    </row>
    <row r="26" spans="1:43" ht="15.75" customHeight="1">
      <c r="A26" s="35"/>
      <c r="B26" s="130"/>
      <c r="C26" s="132" t="s">
        <v>65</v>
      </c>
      <c r="D26" s="132" t="s">
        <v>66</v>
      </c>
      <c r="E26" s="132" t="s">
        <v>28</v>
      </c>
      <c r="F26" s="132"/>
      <c r="G26" s="132" t="s">
        <v>65</v>
      </c>
      <c r="H26" s="132" t="s">
        <v>66</v>
      </c>
      <c r="I26" s="132" t="s">
        <v>28</v>
      </c>
      <c r="J26" s="132"/>
      <c r="K26" s="132" t="s">
        <v>65</v>
      </c>
      <c r="L26" s="132" t="s">
        <v>202</v>
      </c>
      <c r="M26" s="132" t="s">
        <v>28</v>
      </c>
      <c r="N26" s="132"/>
      <c r="O26" s="38"/>
      <c r="P26" s="132"/>
      <c r="Q26" s="132" t="s">
        <v>65</v>
      </c>
      <c r="R26" s="132" t="s">
        <v>66</v>
      </c>
      <c r="S26" s="132" t="s">
        <v>28</v>
      </c>
      <c r="T26" s="135"/>
      <c r="X26" s="177"/>
    </row>
    <row r="27" spans="1:43" ht="14.4">
      <c r="A27" s="32" t="s">
        <v>24</v>
      </c>
      <c r="B27" s="130"/>
      <c r="C27" s="230">
        <f>'Regs Q2'!V72</f>
        <v>78</v>
      </c>
      <c r="D27" s="230"/>
      <c r="E27" s="231">
        <f t="shared" ref="E27:E30" si="75">SUM(C27:D27)</f>
        <v>78</v>
      </c>
      <c r="F27" s="132"/>
      <c r="G27" s="38">
        <f>'Regs Q2'!V49</f>
        <v>89</v>
      </c>
      <c r="H27" s="230"/>
      <c r="I27" s="231">
        <f t="shared" ref="I27:I30" si="76">SUM(G27:H27)</f>
        <v>89</v>
      </c>
      <c r="J27" s="132"/>
      <c r="K27" s="38">
        <f>'Regs Q2'!V26</f>
        <v>136</v>
      </c>
      <c r="L27" s="230"/>
      <c r="M27" s="231">
        <f t="shared" ref="M27:M30" si="77">SUM(K27:L27)</f>
        <v>136</v>
      </c>
      <c r="N27" s="132"/>
      <c r="O27" s="29"/>
      <c r="P27" s="234">
        <f t="shared" ref="P27:P41" si="78">B27</f>
        <v>0</v>
      </c>
      <c r="Q27" s="29">
        <f t="shared" ref="Q27:R27" si="79">K27+G27+C27</f>
        <v>303</v>
      </c>
      <c r="R27" s="29">
        <f t="shared" si="79"/>
        <v>0</v>
      </c>
      <c r="S27" s="231">
        <f t="shared" ref="S27:S30" si="80">SUM(P27:R27)</f>
        <v>303</v>
      </c>
      <c r="T27" s="135"/>
      <c r="V27" s="103"/>
      <c r="W27" s="103">
        <v>45298</v>
      </c>
      <c r="X27" s="29" t="s">
        <v>172</v>
      </c>
    </row>
    <row r="28" spans="1:43" ht="14.4">
      <c r="A28" s="32" t="s">
        <v>36</v>
      </c>
      <c r="B28" s="130"/>
      <c r="C28" s="230">
        <f>'Regs Q2'!V73</f>
        <v>7</v>
      </c>
      <c r="D28" s="230"/>
      <c r="E28" s="231">
        <f t="shared" si="75"/>
        <v>7</v>
      </c>
      <c r="F28" s="132"/>
      <c r="G28" s="38">
        <f>'Regs Q2'!V50</f>
        <v>5</v>
      </c>
      <c r="H28" s="230"/>
      <c r="I28" s="231">
        <f t="shared" si="76"/>
        <v>5</v>
      </c>
      <c r="J28" s="132"/>
      <c r="K28" s="38">
        <f>'Regs Q2'!V27</f>
        <v>27</v>
      </c>
      <c r="L28" s="230"/>
      <c r="M28" s="231">
        <f t="shared" si="77"/>
        <v>27</v>
      </c>
      <c r="N28" s="132"/>
      <c r="O28" s="29"/>
      <c r="P28" s="234">
        <f t="shared" si="78"/>
        <v>0</v>
      </c>
      <c r="Q28" s="29">
        <f t="shared" ref="Q28:R28" si="81">K28+G28+C28</f>
        <v>39</v>
      </c>
      <c r="R28" s="29">
        <f t="shared" si="81"/>
        <v>0</v>
      </c>
      <c r="S28" s="231">
        <f t="shared" si="80"/>
        <v>39</v>
      </c>
      <c r="T28" s="135"/>
      <c r="V28" s="103"/>
      <c r="W28" s="103">
        <v>45298</v>
      </c>
      <c r="X28" s="29" t="s">
        <v>172</v>
      </c>
    </row>
    <row r="29" spans="1:43" ht="14.4">
      <c r="A29" s="32" t="s">
        <v>40</v>
      </c>
      <c r="B29" s="130"/>
      <c r="C29" s="230">
        <f>'Regs Q2'!V74</f>
        <v>0</v>
      </c>
      <c r="D29" s="230"/>
      <c r="E29" s="231">
        <f t="shared" si="75"/>
        <v>0</v>
      </c>
      <c r="F29" s="132"/>
      <c r="G29" s="38">
        <f>'Regs Q2'!V51</f>
        <v>0</v>
      </c>
      <c r="H29" s="230"/>
      <c r="I29" s="231">
        <f t="shared" si="76"/>
        <v>0</v>
      </c>
      <c r="J29" s="132"/>
      <c r="K29" s="38">
        <f>'Regs Q2'!V28</f>
        <v>0</v>
      </c>
      <c r="L29" s="230"/>
      <c r="M29" s="231">
        <f t="shared" si="77"/>
        <v>0</v>
      </c>
      <c r="N29" s="132"/>
      <c r="O29" s="29"/>
      <c r="P29" s="234">
        <f t="shared" si="78"/>
        <v>0</v>
      </c>
      <c r="Q29" s="29">
        <f t="shared" ref="Q29:R29" si="82">K29+G29+C29</f>
        <v>0</v>
      </c>
      <c r="R29" s="29">
        <f t="shared" si="82"/>
        <v>0</v>
      </c>
      <c r="S29" s="231">
        <f t="shared" si="80"/>
        <v>0</v>
      </c>
      <c r="T29" s="135"/>
      <c r="V29" s="103"/>
      <c r="W29" s="103">
        <v>45298</v>
      </c>
      <c r="X29" s="29" t="s">
        <v>172</v>
      </c>
    </row>
    <row r="30" spans="1:43" ht="14.4">
      <c r="A30" s="32" t="s">
        <v>41</v>
      </c>
      <c r="B30" s="130"/>
      <c r="C30" s="230">
        <f>'Regs Q2'!V75</f>
        <v>0</v>
      </c>
      <c r="D30" s="230"/>
      <c r="E30" s="231">
        <f t="shared" si="75"/>
        <v>0</v>
      </c>
      <c r="F30" s="132"/>
      <c r="G30" s="38">
        <f>'Regs Q2'!V52</f>
        <v>0</v>
      </c>
      <c r="H30" s="230"/>
      <c r="I30" s="231">
        <f t="shared" si="76"/>
        <v>0</v>
      </c>
      <c r="J30" s="132"/>
      <c r="K30" s="38">
        <f>'Regs Q2'!V29</f>
        <v>1</v>
      </c>
      <c r="L30" s="230"/>
      <c r="M30" s="231">
        <f t="shared" si="77"/>
        <v>1</v>
      </c>
      <c r="N30" s="132"/>
      <c r="O30" s="29"/>
      <c r="P30" s="234">
        <f t="shared" si="78"/>
        <v>0</v>
      </c>
      <c r="Q30" s="29">
        <f t="shared" ref="Q30:R30" si="83">K30+G30+C30</f>
        <v>1</v>
      </c>
      <c r="R30" s="29">
        <f t="shared" si="83"/>
        <v>0</v>
      </c>
      <c r="S30" s="231">
        <f t="shared" si="80"/>
        <v>1</v>
      </c>
      <c r="T30" s="135"/>
      <c r="V30" s="103"/>
      <c r="W30" s="103">
        <v>45298</v>
      </c>
      <c r="X30" s="29" t="s">
        <v>172</v>
      </c>
    </row>
    <row r="31" spans="1:43" ht="14.4">
      <c r="A31" s="35" t="s">
        <v>44</v>
      </c>
      <c r="B31" s="130"/>
      <c r="C31" s="244">
        <f t="shared" ref="C31:E31" si="84">SUM(C27:C30)</f>
        <v>85</v>
      </c>
      <c r="D31" s="244">
        <f t="shared" si="84"/>
        <v>0</v>
      </c>
      <c r="E31" s="244">
        <f t="shared" si="84"/>
        <v>85</v>
      </c>
      <c r="F31" s="132"/>
      <c r="G31" s="244">
        <f t="shared" ref="G31:I31" si="85">SUM(G27:G30)</f>
        <v>94</v>
      </c>
      <c r="H31" s="244">
        <f t="shared" si="85"/>
        <v>0</v>
      </c>
      <c r="I31" s="244">
        <f t="shared" si="85"/>
        <v>94</v>
      </c>
      <c r="J31" s="132"/>
      <c r="K31" s="244">
        <f t="shared" ref="K31:M31" si="86">SUM(K27:K30)</f>
        <v>164</v>
      </c>
      <c r="L31" s="244">
        <f t="shared" si="86"/>
        <v>0</v>
      </c>
      <c r="M31" s="244">
        <f t="shared" si="86"/>
        <v>164</v>
      </c>
      <c r="N31" s="132"/>
      <c r="O31" s="29"/>
      <c r="P31" s="234">
        <f t="shared" si="78"/>
        <v>0</v>
      </c>
      <c r="Q31" s="244">
        <f t="shared" ref="Q31:S31" si="87">SUM(Q27:Q30)</f>
        <v>343</v>
      </c>
      <c r="R31" s="244">
        <f t="shared" si="87"/>
        <v>0</v>
      </c>
      <c r="S31" s="244">
        <f t="shared" si="87"/>
        <v>343</v>
      </c>
      <c r="T31" s="135"/>
      <c r="X31" s="177"/>
    </row>
    <row r="32" spans="1:43" ht="14.4">
      <c r="A32" s="32" t="s">
        <v>46</v>
      </c>
      <c r="B32" s="130"/>
      <c r="C32" s="238">
        <f>'Regs Q2'!V77</f>
        <v>0</v>
      </c>
      <c r="D32" s="29"/>
      <c r="E32" s="239">
        <f t="shared" ref="E32:E35" si="88">SUM(C32:D32)</f>
        <v>0</v>
      </c>
      <c r="F32" s="132"/>
      <c r="G32" s="256">
        <f>'Regs Q2'!V54</f>
        <v>0</v>
      </c>
      <c r="H32" s="29"/>
      <c r="I32" s="239">
        <f t="shared" ref="I32:I35" si="89">SUM(G32:H32)</f>
        <v>0</v>
      </c>
      <c r="J32" s="132"/>
      <c r="K32" s="256">
        <f>'Regs Q2'!V31</f>
        <v>0</v>
      </c>
      <c r="L32" s="29"/>
      <c r="M32" s="239">
        <f t="shared" ref="M32:M35" si="90">SUM(K32:L32)</f>
        <v>0</v>
      </c>
      <c r="N32" s="132"/>
      <c r="O32" s="29"/>
      <c r="P32" s="234">
        <f t="shared" si="78"/>
        <v>0</v>
      </c>
      <c r="Q32" s="242">
        <f t="shared" ref="Q32:R32" si="91">K32+G32+C32</f>
        <v>0</v>
      </c>
      <c r="R32" s="29">
        <f t="shared" si="91"/>
        <v>0</v>
      </c>
      <c r="S32" s="231">
        <f t="shared" ref="S32:S35" si="92">SUM(P32:R32)</f>
        <v>0</v>
      </c>
      <c r="T32" s="135"/>
      <c r="V32" s="103"/>
      <c r="W32" s="103">
        <v>45298</v>
      </c>
      <c r="X32" s="29" t="s">
        <v>172</v>
      </c>
    </row>
    <row r="33" spans="1:27" ht="14.4">
      <c r="A33" s="32" t="s">
        <v>51</v>
      </c>
      <c r="B33" s="130"/>
      <c r="C33" s="238">
        <f>'Regs Q2'!V78</f>
        <v>24</v>
      </c>
      <c r="D33" s="29"/>
      <c r="E33" s="239">
        <f t="shared" si="88"/>
        <v>24</v>
      </c>
      <c r="F33" s="132"/>
      <c r="G33" s="256">
        <f>'Regs Q2'!V55</f>
        <v>30</v>
      </c>
      <c r="H33" s="29"/>
      <c r="I33" s="239">
        <f t="shared" si="89"/>
        <v>30</v>
      </c>
      <c r="J33" s="132"/>
      <c r="K33" s="256">
        <f>'Regs Q2'!V32</f>
        <v>19</v>
      </c>
      <c r="L33" s="29">
        <v>8</v>
      </c>
      <c r="M33" s="239">
        <f t="shared" si="90"/>
        <v>27</v>
      </c>
      <c r="N33" s="132"/>
      <c r="O33" s="29"/>
      <c r="P33" s="234">
        <f t="shared" si="78"/>
        <v>0</v>
      </c>
      <c r="Q33" s="242">
        <f t="shared" ref="Q33:Q34" si="93">K33+G33+O41+C33</f>
        <v>73</v>
      </c>
      <c r="R33" s="29">
        <f>L33+H33+D33</f>
        <v>8</v>
      </c>
      <c r="S33" s="231">
        <f t="shared" si="92"/>
        <v>81</v>
      </c>
      <c r="T33" s="135"/>
      <c r="V33" s="103"/>
      <c r="W33" s="103">
        <v>45298</v>
      </c>
      <c r="X33" s="29" t="s">
        <v>172</v>
      </c>
      <c r="AA33" s="31">
        <f>192-643</f>
        <v>-451</v>
      </c>
    </row>
    <row r="34" spans="1:27" ht="14.4">
      <c r="A34" s="32" t="s">
        <v>52</v>
      </c>
      <c r="B34" s="130"/>
      <c r="C34" s="238">
        <f>'Regs Q2'!V79</f>
        <v>0</v>
      </c>
      <c r="D34" s="29"/>
      <c r="E34" s="239">
        <f t="shared" si="88"/>
        <v>0</v>
      </c>
      <c r="F34" s="132"/>
      <c r="G34" s="256">
        <f>'Regs Q2'!V56</f>
        <v>0</v>
      </c>
      <c r="H34" s="29"/>
      <c r="I34" s="239">
        <f t="shared" si="89"/>
        <v>0</v>
      </c>
      <c r="J34" s="132"/>
      <c r="K34" s="256">
        <f>'Regs Q2'!V33</f>
        <v>0</v>
      </c>
      <c r="L34" s="29"/>
      <c r="M34" s="239">
        <f t="shared" si="90"/>
        <v>0</v>
      </c>
      <c r="N34" s="132"/>
      <c r="O34" s="29"/>
      <c r="P34" s="234">
        <f t="shared" si="78"/>
        <v>0</v>
      </c>
      <c r="Q34" s="242">
        <f t="shared" si="93"/>
        <v>0</v>
      </c>
      <c r="R34" s="29">
        <v>0</v>
      </c>
      <c r="S34" s="231">
        <f t="shared" si="92"/>
        <v>0</v>
      </c>
      <c r="T34" s="135"/>
      <c r="V34" s="103"/>
      <c r="W34" s="103">
        <v>45298</v>
      </c>
      <c r="X34" s="29" t="s">
        <v>172</v>
      </c>
    </row>
    <row r="35" spans="1:27" ht="14.4">
      <c r="A35" s="32" t="s">
        <v>53</v>
      </c>
      <c r="B35" s="130"/>
      <c r="C35" s="238">
        <f>'Regs Q2'!V80</f>
        <v>0</v>
      </c>
      <c r="D35" s="29"/>
      <c r="E35" s="239">
        <f t="shared" si="88"/>
        <v>0</v>
      </c>
      <c r="F35" s="132"/>
      <c r="G35" s="256">
        <f>'Regs Q2'!V57</f>
        <v>0</v>
      </c>
      <c r="H35" s="29"/>
      <c r="I35" s="239">
        <f t="shared" si="89"/>
        <v>0</v>
      </c>
      <c r="J35" s="132"/>
      <c r="K35" s="256">
        <f>'Regs Q2'!V34</f>
        <v>0</v>
      </c>
      <c r="L35" s="29"/>
      <c r="M35" s="239">
        <f t="shared" si="90"/>
        <v>0</v>
      </c>
      <c r="N35" s="132"/>
      <c r="O35" s="29"/>
      <c r="P35" s="234">
        <f t="shared" si="78"/>
        <v>0</v>
      </c>
      <c r="Q35" s="242">
        <f t="shared" ref="Q35:R35" si="94">K35+G35+C35</f>
        <v>0</v>
      </c>
      <c r="R35" s="29">
        <f t="shared" si="94"/>
        <v>0</v>
      </c>
      <c r="S35" s="231">
        <f t="shared" si="92"/>
        <v>0</v>
      </c>
      <c r="T35" s="135"/>
      <c r="V35" s="103"/>
      <c r="W35" s="103">
        <v>45298</v>
      </c>
      <c r="X35" s="29" t="s">
        <v>172</v>
      </c>
    </row>
    <row r="36" spans="1:27" ht="14.4">
      <c r="A36" s="35" t="s">
        <v>54</v>
      </c>
      <c r="B36" s="130"/>
      <c r="C36" s="245">
        <f t="shared" ref="C36:E36" si="95">SUM(C32:C35)</f>
        <v>24</v>
      </c>
      <c r="D36" s="244">
        <f t="shared" si="95"/>
        <v>0</v>
      </c>
      <c r="E36" s="245">
        <f t="shared" si="95"/>
        <v>24</v>
      </c>
      <c r="F36" s="132"/>
      <c r="G36" s="245">
        <f t="shared" ref="G36:I36" si="96">SUM(G32:G35)</f>
        <v>30</v>
      </c>
      <c r="H36" s="244">
        <f t="shared" si="96"/>
        <v>0</v>
      </c>
      <c r="I36" s="245">
        <f t="shared" si="96"/>
        <v>30</v>
      </c>
      <c r="J36" s="132"/>
      <c r="K36" s="245">
        <f t="shared" ref="K36:M36" si="97">SUM(K32:K35)</f>
        <v>19</v>
      </c>
      <c r="L36" s="244">
        <f t="shared" si="97"/>
        <v>8</v>
      </c>
      <c r="M36" s="245">
        <f t="shared" si="97"/>
        <v>27</v>
      </c>
      <c r="N36" s="132"/>
      <c r="O36" s="29"/>
      <c r="P36" s="234">
        <f t="shared" si="78"/>
        <v>0</v>
      </c>
      <c r="Q36" s="245">
        <f t="shared" ref="Q36:S36" si="98">SUM(Q32:Q35)</f>
        <v>73</v>
      </c>
      <c r="R36" s="244">
        <f t="shared" si="98"/>
        <v>8</v>
      </c>
      <c r="S36" s="244">
        <f t="shared" si="98"/>
        <v>81</v>
      </c>
      <c r="T36" s="135"/>
      <c r="X36" s="177"/>
    </row>
    <row r="37" spans="1:27" ht="14.4">
      <c r="A37" s="32" t="s">
        <v>55</v>
      </c>
      <c r="B37" s="130"/>
      <c r="C37" s="238">
        <f>'Regs Q2'!V82</f>
        <v>33</v>
      </c>
      <c r="D37" s="29"/>
      <c r="E37" s="239">
        <f t="shared" ref="E37:E39" si="99">SUM(C37:D37)</f>
        <v>33</v>
      </c>
      <c r="F37" s="132"/>
      <c r="G37" s="256">
        <f>'Regs Q2'!V59</f>
        <v>42</v>
      </c>
      <c r="H37" s="29">
        <v>0</v>
      </c>
      <c r="I37" s="239">
        <f t="shared" ref="I37:I39" si="100">SUM(G37:H37)</f>
        <v>42</v>
      </c>
      <c r="J37" s="132"/>
      <c r="K37" s="256">
        <f>'Regs Q2'!V36</f>
        <v>64</v>
      </c>
      <c r="L37" s="29">
        <v>0</v>
      </c>
      <c r="M37" s="239">
        <f t="shared" ref="M37:M39" si="101">SUM(K37:L37)</f>
        <v>64</v>
      </c>
      <c r="N37" s="132"/>
      <c r="O37" s="29"/>
      <c r="P37" s="234">
        <f t="shared" si="78"/>
        <v>0</v>
      </c>
      <c r="Q37" s="242">
        <f t="shared" ref="Q37:R37" si="102">K37+G37+C37</f>
        <v>139</v>
      </c>
      <c r="R37" s="29">
        <f t="shared" si="102"/>
        <v>0</v>
      </c>
      <c r="S37" s="231">
        <f t="shared" ref="S37:S39" si="103">SUM(P37:R37)</f>
        <v>139</v>
      </c>
      <c r="T37" s="135"/>
      <c r="V37" s="103"/>
      <c r="W37" s="103">
        <v>45298</v>
      </c>
      <c r="X37" s="29" t="s">
        <v>172</v>
      </c>
    </row>
    <row r="38" spans="1:27" ht="14.4">
      <c r="A38" s="32" t="s">
        <v>57</v>
      </c>
      <c r="B38" s="130"/>
      <c r="C38" s="238">
        <f>'Regs Q2'!V83</f>
        <v>0</v>
      </c>
      <c r="D38" s="29"/>
      <c r="E38" s="239">
        <f t="shared" si="99"/>
        <v>0</v>
      </c>
      <c r="F38" s="132"/>
      <c r="G38" s="256">
        <f>'Regs Q2'!V60</f>
        <v>0</v>
      </c>
      <c r="H38" s="29"/>
      <c r="I38" s="239">
        <f t="shared" si="100"/>
        <v>0</v>
      </c>
      <c r="J38" s="132"/>
      <c r="K38" s="256">
        <f>'Regs Q2'!V37</f>
        <v>0</v>
      </c>
      <c r="L38" s="29"/>
      <c r="M38" s="239">
        <f t="shared" si="101"/>
        <v>0</v>
      </c>
      <c r="N38" s="132"/>
      <c r="O38" s="29"/>
      <c r="P38" s="234">
        <f t="shared" si="78"/>
        <v>0</v>
      </c>
      <c r="Q38" s="242">
        <f t="shared" ref="Q38:R38" si="104">K38+G38+C38</f>
        <v>0</v>
      </c>
      <c r="R38" s="29">
        <f t="shared" si="104"/>
        <v>0</v>
      </c>
      <c r="S38" s="231">
        <f t="shared" si="103"/>
        <v>0</v>
      </c>
      <c r="T38" s="135"/>
      <c r="V38" s="103"/>
      <c r="W38" s="103">
        <v>45298</v>
      </c>
      <c r="X38" s="29" t="s">
        <v>172</v>
      </c>
    </row>
    <row r="39" spans="1:27" ht="14.4">
      <c r="A39" s="32" t="s">
        <v>58</v>
      </c>
      <c r="B39" s="130"/>
      <c r="C39" s="238">
        <f>'Regs Q2'!V84</f>
        <v>0</v>
      </c>
      <c r="D39" s="29"/>
      <c r="E39" s="239">
        <f t="shared" si="99"/>
        <v>0</v>
      </c>
      <c r="F39" s="132"/>
      <c r="G39" s="256">
        <f>'Regs Q2'!V61</f>
        <v>1</v>
      </c>
      <c r="H39" s="29"/>
      <c r="I39" s="239">
        <f t="shared" si="100"/>
        <v>1</v>
      </c>
      <c r="J39" s="132"/>
      <c r="K39" s="256">
        <f>'Regs Q2'!V38</f>
        <v>0</v>
      </c>
      <c r="L39" s="29"/>
      <c r="M39" s="239">
        <f t="shared" si="101"/>
        <v>0</v>
      </c>
      <c r="N39" s="132"/>
      <c r="O39" s="29"/>
      <c r="P39" s="234">
        <f t="shared" si="78"/>
        <v>0</v>
      </c>
      <c r="Q39" s="242">
        <f t="shared" ref="Q39:R39" si="105">K39+G39+C39</f>
        <v>1</v>
      </c>
      <c r="R39" s="29">
        <f t="shared" si="105"/>
        <v>0</v>
      </c>
      <c r="S39" s="231">
        <f t="shared" si="103"/>
        <v>1</v>
      </c>
      <c r="T39" s="135"/>
      <c r="V39" s="103"/>
      <c r="W39" s="103">
        <v>45298</v>
      </c>
      <c r="X39" s="29" t="s">
        <v>172</v>
      </c>
    </row>
    <row r="40" spans="1:27" ht="14.4">
      <c r="A40" s="35" t="s">
        <v>59</v>
      </c>
      <c r="B40" s="130"/>
      <c r="C40" s="245">
        <f t="shared" ref="C40:E40" si="106">SUM(C37:C39)</f>
        <v>33</v>
      </c>
      <c r="D40" s="244">
        <f t="shared" si="106"/>
        <v>0</v>
      </c>
      <c r="E40" s="245">
        <f t="shared" si="106"/>
        <v>33</v>
      </c>
      <c r="F40" s="132"/>
      <c r="G40" s="245">
        <f t="shared" ref="G40:I40" si="107">SUM(G37:G39)</f>
        <v>43</v>
      </c>
      <c r="H40" s="244">
        <f t="shared" si="107"/>
        <v>0</v>
      </c>
      <c r="I40" s="245">
        <f t="shared" si="107"/>
        <v>43</v>
      </c>
      <c r="J40" s="132"/>
      <c r="K40" s="245">
        <f t="shared" ref="K40:M40" si="108">SUM(K37:K39)</f>
        <v>64</v>
      </c>
      <c r="L40" s="244">
        <f t="shared" si="108"/>
        <v>0</v>
      </c>
      <c r="M40" s="245">
        <f t="shared" si="108"/>
        <v>64</v>
      </c>
      <c r="N40" s="132"/>
      <c r="O40" s="29"/>
      <c r="P40" s="234">
        <f t="shared" si="78"/>
        <v>0</v>
      </c>
      <c r="Q40" s="245">
        <f t="shared" ref="Q40:S40" si="109">SUM(Q37:Q39)</f>
        <v>140</v>
      </c>
      <c r="R40" s="244">
        <f t="shared" si="109"/>
        <v>0</v>
      </c>
      <c r="S40" s="244">
        <f t="shared" si="109"/>
        <v>140</v>
      </c>
      <c r="T40" s="135"/>
    </row>
    <row r="41" spans="1:27" ht="14.4">
      <c r="A41" s="35"/>
      <c r="B41" s="130"/>
      <c r="C41" s="29"/>
      <c r="D41" s="29"/>
      <c r="E41" s="29"/>
      <c r="F41" s="132"/>
      <c r="G41" s="29"/>
      <c r="H41" s="29"/>
      <c r="I41" s="29"/>
      <c r="J41" s="132"/>
      <c r="K41" s="29"/>
      <c r="L41" s="29"/>
      <c r="M41" s="29"/>
      <c r="N41" s="132"/>
      <c r="O41" s="29"/>
      <c r="P41" s="234">
        <f t="shared" si="78"/>
        <v>0</v>
      </c>
      <c r="Q41" s="29"/>
      <c r="R41" s="29"/>
      <c r="S41" s="29"/>
      <c r="T41" s="135"/>
    </row>
    <row r="42" spans="1:27" ht="14.4">
      <c r="A42" s="3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51"/>
    </row>
    <row r="43" spans="1:27" ht="14.4">
      <c r="A43" s="126" t="s">
        <v>14</v>
      </c>
      <c r="B43" s="162"/>
      <c r="C43" s="253">
        <f t="shared" ref="C43:E43" si="110">C40+C36+C31</f>
        <v>142</v>
      </c>
      <c r="D43" s="253">
        <f t="shared" si="110"/>
        <v>0</v>
      </c>
      <c r="E43" s="253">
        <f t="shared" si="110"/>
        <v>142</v>
      </c>
      <c r="F43" s="162"/>
      <c r="G43" s="253">
        <f t="shared" ref="G43:I43" si="111">G40+G36+G31</f>
        <v>167</v>
      </c>
      <c r="H43" s="253">
        <f t="shared" si="111"/>
        <v>0</v>
      </c>
      <c r="I43" s="253">
        <f t="shared" si="111"/>
        <v>167</v>
      </c>
      <c r="J43" s="162"/>
      <c r="K43" s="253">
        <f t="shared" ref="K43:M43" si="112">K40+K36+K31</f>
        <v>247</v>
      </c>
      <c r="L43" s="253">
        <f t="shared" si="112"/>
        <v>8</v>
      </c>
      <c r="M43" s="253">
        <f t="shared" si="112"/>
        <v>255</v>
      </c>
      <c r="N43" s="162"/>
      <c r="O43" s="162"/>
      <c r="P43" s="162"/>
      <c r="Q43" s="253">
        <f t="shared" ref="Q43:S43" si="113">Q40+Q36+Q31</f>
        <v>556</v>
      </c>
      <c r="R43" s="253">
        <f t="shared" si="113"/>
        <v>8</v>
      </c>
      <c r="S43" s="253">
        <f t="shared" si="113"/>
        <v>564</v>
      </c>
      <c r="T43" s="258"/>
    </row>
  </sheetData>
  <mergeCells count="15">
    <mergeCell ref="A3:T3"/>
    <mergeCell ref="Y3:AN3"/>
    <mergeCell ref="C4:F4"/>
    <mergeCell ref="G4:J4"/>
    <mergeCell ref="K4:N4"/>
    <mergeCell ref="Q4:T4"/>
    <mergeCell ref="AA4:AC4"/>
    <mergeCell ref="AL4:AN4"/>
    <mergeCell ref="AD4:AF4"/>
    <mergeCell ref="AG4:AI4"/>
    <mergeCell ref="A24:T24"/>
    <mergeCell ref="C25:F25"/>
    <mergeCell ref="G25:J25"/>
    <mergeCell ref="K25:N25"/>
    <mergeCell ref="Q25:T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B1:AA92"/>
  <sheetViews>
    <sheetView workbookViewId="0"/>
  </sheetViews>
  <sheetFormatPr defaultColWidth="12.6640625" defaultRowHeight="15.75" customHeight="1"/>
  <sheetData>
    <row r="1" spans="2:24">
      <c r="B1" s="24" t="s">
        <v>163</v>
      </c>
      <c r="T1" s="154"/>
      <c r="U1" s="154"/>
      <c r="V1" s="154"/>
      <c r="W1" s="154"/>
      <c r="X1" s="154"/>
    </row>
    <row r="2" spans="2:24" ht="15.75" customHeight="1">
      <c r="B2" s="24" t="s">
        <v>167</v>
      </c>
      <c r="D2" s="132" t="s">
        <v>26</v>
      </c>
      <c r="E2" s="132" t="s">
        <v>27</v>
      </c>
      <c r="F2" s="24" t="s">
        <v>28</v>
      </c>
      <c r="G2" s="24" t="s">
        <v>169</v>
      </c>
      <c r="H2" s="24" t="s">
        <v>170</v>
      </c>
      <c r="J2" s="31" t="s">
        <v>136</v>
      </c>
      <c r="K2" s="31" t="s">
        <v>138</v>
      </c>
      <c r="L2" s="31" t="s">
        <v>171</v>
      </c>
      <c r="M2" s="31" t="s">
        <v>140</v>
      </c>
      <c r="N2" s="31" t="s">
        <v>141</v>
      </c>
      <c r="O2" s="31" t="s">
        <v>142</v>
      </c>
      <c r="P2" s="31" t="s">
        <v>144</v>
      </c>
      <c r="T2" s="154"/>
      <c r="U2" s="154"/>
      <c r="V2" s="154"/>
      <c r="W2" s="154"/>
      <c r="X2" s="154"/>
    </row>
    <row r="3" spans="2:24">
      <c r="B3" s="31" t="s">
        <v>24</v>
      </c>
      <c r="D3" s="31">
        <f t="shared" ref="D3:D6" si="0">R3-N3</f>
        <v>69</v>
      </c>
      <c r="E3" s="31">
        <f t="shared" ref="E3:E6" si="1">N3</f>
        <v>2</v>
      </c>
      <c r="F3" s="24">
        <f t="shared" ref="F3:F16" si="2">SUM(D3:E3)</f>
        <v>71</v>
      </c>
      <c r="G3" s="31">
        <f t="shared" ref="G3:G16" si="3">F3+F26+F48</f>
        <v>157</v>
      </c>
      <c r="H3" s="31">
        <f>'2024 - Q2'!Q6+'2024 - Q2'!R6-G3</f>
        <v>0</v>
      </c>
      <c r="J3" s="31">
        <v>46</v>
      </c>
      <c r="K3" s="31">
        <v>14</v>
      </c>
      <c r="L3" s="31">
        <v>7</v>
      </c>
      <c r="M3" s="31">
        <v>2</v>
      </c>
      <c r="N3" s="31">
        <v>2</v>
      </c>
      <c r="R3" s="31">
        <f t="shared" ref="R3:R6" si="4">SUM(J3:Q3)</f>
        <v>71</v>
      </c>
      <c r="T3" s="154"/>
      <c r="U3" s="154"/>
      <c r="V3" s="154"/>
      <c r="W3" s="154"/>
      <c r="X3" s="154"/>
    </row>
    <row r="4" spans="2:24">
      <c r="B4" s="31" t="s">
        <v>36</v>
      </c>
      <c r="D4" s="31">
        <f t="shared" si="0"/>
        <v>37</v>
      </c>
      <c r="E4" s="31">
        <f t="shared" si="1"/>
        <v>1</v>
      </c>
      <c r="F4" s="24">
        <f t="shared" si="2"/>
        <v>38</v>
      </c>
      <c r="G4" s="31">
        <f t="shared" si="3"/>
        <v>115</v>
      </c>
      <c r="H4" s="31">
        <f>'2024 - Q2'!Q7+'2024 - Q2'!R7-G4</f>
        <v>0</v>
      </c>
      <c r="J4" s="31">
        <v>26</v>
      </c>
      <c r="K4" s="31">
        <v>7</v>
      </c>
      <c r="L4" s="31">
        <v>1</v>
      </c>
      <c r="M4" s="31">
        <v>1</v>
      </c>
      <c r="N4" s="31">
        <v>1</v>
      </c>
      <c r="O4" s="31">
        <v>2</v>
      </c>
      <c r="R4" s="31">
        <f t="shared" si="4"/>
        <v>38</v>
      </c>
      <c r="T4" s="154"/>
      <c r="U4" s="154"/>
      <c r="V4" s="154"/>
      <c r="W4" s="154"/>
      <c r="X4" s="154"/>
    </row>
    <row r="5" spans="2:24">
      <c r="B5" s="31" t="s">
        <v>40</v>
      </c>
      <c r="D5" s="31">
        <f t="shared" si="0"/>
        <v>42</v>
      </c>
      <c r="E5" s="31">
        <f t="shared" si="1"/>
        <v>0</v>
      </c>
      <c r="F5" s="24">
        <f t="shared" si="2"/>
        <v>42</v>
      </c>
      <c r="G5" s="31">
        <f t="shared" si="3"/>
        <v>92</v>
      </c>
      <c r="H5" s="31">
        <f>'2024 - Q2'!Q8+'2024 - Q2'!R8-G5</f>
        <v>0</v>
      </c>
      <c r="J5" s="31">
        <v>33</v>
      </c>
      <c r="K5" s="31">
        <v>4</v>
      </c>
      <c r="L5" s="31">
        <v>4</v>
      </c>
      <c r="M5" s="31">
        <v>1</v>
      </c>
      <c r="R5" s="31">
        <f t="shared" si="4"/>
        <v>42</v>
      </c>
      <c r="T5" s="154"/>
      <c r="U5" s="154"/>
      <c r="V5" s="154"/>
      <c r="W5" s="154"/>
      <c r="X5" s="154"/>
    </row>
    <row r="6" spans="2:24">
      <c r="B6" s="31" t="s">
        <v>41</v>
      </c>
      <c r="D6" s="31">
        <f t="shared" si="0"/>
        <v>65</v>
      </c>
      <c r="E6" s="31">
        <f t="shared" si="1"/>
        <v>0</v>
      </c>
      <c r="F6" s="24">
        <f t="shared" si="2"/>
        <v>65</v>
      </c>
      <c r="G6" s="31">
        <f t="shared" si="3"/>
        <v>114</v>
      </c>
      <c r="H6" s="31">
        <f>'2024 - Q2'!Q9+'2024 - Q2'!R9-G6</f>
        <v>0</v>
      </c>
      <c r="J6" s="31">
        <v>43</v>
      </c>
      <c r="K6" s="31">
        <v>17</v>
      </c>
      <c r="L6" s="31">
        <v>4</v>
      </c>
      <c r="M6" s="31">
        <v>1</v>
      </c>
      <c r="R6" s="31">
        <f t="shared" si="4"/>
        <v>65</v>
      </c>
      <c r="T6" s="154"/>
      <c r="U6" s="154"/>
      <c r="V6" s="154"/>
      <c r="W6" s="154"/>
      <c r="X6" s="154"/>
    </row>
    <row r="7" spans="2:24">
      <c r="B7" s="24" t="s">
        <v>44</v>
      </c>
      <c r="D7" s="199">
        <f t="shared" ref="D7:E7" si="5">SUM(D3:D6)</f>
        <v>213</v>
      </c>
      <c r="E7" s="199">
        <f t="shared" si="5"/>
        <v>3</v>
      </c>
      <c r="F7" s="199">
        <f t="shared" si="2"/>
        <v>216</v>
      </c>
      <c r="G7" s="199">
        <f t="shared" si="3"/>
        <v>478</v>
      </c>
      <c r="H7" s="199">
        <f>'2024 - Q2'!Q10+'2024 - Q2'!R10-G7</f>
        <v>0</v>
      </c>
      <c r="T7" s="154"/>
      <c r="U7" s="154"/>
      <c r="V7" s="154"/>
      <c r="W7" s="154"/>
      <c r="X7" s="154"/>
    </row>
    <row r="8" spans="2:24">
      <c r="B8" s="31" t="s">
        <v>46</v>
      </c>
      <c r="D8" s="31">
        <f t="shared" ref="D8:D11" si="6">R8-N8</f>
        <v>53</v>
      </c>
      <c r="E8" s="31">
        <f t="shared" ref="E8:E11" si="7">N8</f>
        <v>0</v>
      </c>
      <c r="F8" s="24">
        <f t="shared" si="2"/>
        <v>53</v>
      </c>
      <c r="G8" s="31">
        <f t="shared" si="3"/>
        <v>107</v>
      </c>
      <c r="H8" s="31">
        <f>'2024 - Q2'!Q11+'2024 - Q2'!R11-G8</f>
        <v>0</v>
      </c>
      <c r="J8" s="31">
        <v>44</v>
      </c>
      <c r="K8" s="31">
        <v>7</v>
      </c>
      <c r="M8" s="31">
        <v>2</v>
      </c>
      <c r="R8" s="31">
        <f t="shared" ref="R8:R11" si="8">SUM(J8:Q8)</f>
        <v>53</v>
      </c>
      <c r="T8" s="154"/>
      <c r="U8" s="154"/>
      <c r="V8" s="154"/>
      <c r="W8" s="154"/>
      <c r="X8" s="154"/>
    </row>
    <row r="9" spans="2:24">
      <c r="B9" s="31" t="s">
        <v>51</v>
      </c>
      <c r="D9" s="31">
        <f t="shared" si="6"/>
        <v>54</v>
      </c>
      <c r="E9" s="31">
        <f t="shared" si="7"/>
        <v>1</v>
      </c>
      <c r="F9" s="24">
        <f t="shared" si="2"/>
        <v>55</v>
      </c>
      <c r="G9" s="31">
        <f t="shared" si="3"/>
        <v>113</v>
      </c>
      <c r="H9" s="31">
        <f>'2024 - Q2'!Q12+'2024 - Q2'!R12-G9</f>
        <v>0</v>
      </c>
      <c r="J9" s="31">
        <v>38</v>
      </c>
      <c r="K9" s="31">
        <v>12</v>
      </c>
      <c r="L9" s="31">
        <v>3</v>
      </c>
      <c r="M9" s="31">
        <v>1</v>
      </c>
      <c r="N9" s="31">
        <v>1</v>
      </c>
      <c r="R9" s="31">
        <f t="shared" si="8"/>
        <v>55</v>
      </c>
      <c r="T9" s="154"/>
      <c r="U9" s="154"/>
      <c r="V9" s="154"/>
      <c r="W9" s="154"/>
      <c r="X9" s="154"/>
    </row>
    <row r="10" spans="2:24">
      <c r="B10" s="31" t="s">
        <v>52</v>
      </c>
      <c r="D10" s="31">
        <f t="shared" si="6"/>
        <v>49</v>
      </c>
      <c r="E10" s="31">
        <f t="shared" si="7"/>
        <v>1</v>
      </c>
      <c r="F10" s="24">
        <f t="shared" si="2"/>
        <v>50</v>
      </c>
      <c r="G10" s="31">
        <f t="shared" si="3"/>
        <v>114</v>
      </c>
      <c r="H10" s="31">
        <f>'2024 - Q2'!Q13+'2024 - Q2'!R13-G10</f>
        <v>0</v>
      </c>
      <c r="J10" s="31">
        <v>38</v>
      </c>
      <c r="K10" s="31">
        <v>6</v>
      </c>
      <c r="L10" s="31">
        <v>3</v>
      </c>
      <c r="M10" s="31">
        <v>2</v>
      </c>
      <c r="N10" s="31">
        <v>1</v>
      </c>
      <c r="R10" s="31">
        <f t="shared" si="8"/>
        <v>50</v>
      </c>
      <c r="T10" s="154"/>
      <c r="U10" s="154"/>
      <c r="V10" s="154"/>
      <c r="W10" s="154"/>
      <c r="X10" s="154"/>
    </row>
    <row r="11" spans="2:24">
      <c r="B11" s="31" t="s">
        <v>53</v>
      </c>
      <c r="D11" s="31">
        <f t="shared" si="6"/>
        <v>68</v>
      </c>
      <c r="E11" s="31">
        <f t="shared" si="7"/>
        <v>0</v>
      </c>
      <c r="F11" s="24">
        <f t="shared" si="2"/>
        <v>68</v>
      </c>
      <c r="G11" s="31">
        <f t="shared" si="3"/>
        <v>156</v>
      </c>
      <c r="H11" s="31">
        <f>'2024 - Q2'!Q14+'2024 - Q2'!R14-G11</f>
        <v>0</v>
      </c>
      <c r="J11" s="31">
        <v>50</v>
      </c>
      <c r="K11" s="31">
        <v>11</v>
      </c>
      <c r="L11" s="31">
        <v>6</v>
      </c>
      <c r="M11" s="31">
        <v>1</v>
      </c>
      <c r="R11" s="31">
        <f t="shared" si="8"/>
        <v>68</v>
      </c>
      <c r="T11" s="154"/>
      <c r="U11" s="154"/>
      <c r="V11" s="154"/>
      <c r="W11" s="154"/>
      <c r="X11" s="154"/>
    </row>
    <row r="12" spans="2:24">
      <c r="B12" s="24" t="s">
        <v>54</v>
      </c>
      <c r="D12" s="199">
        <f t="shared" ref="D12:E12" si="9">SUM(D8:D11)</f>
        <v>224</v>
      </c>
      <c r="E12" s="199">
        <f t="shared" si="9"/>
        <v>2</v>
      </c>
      <c r="F12" s="199">
        <f t="shared" si="2"/>
        <v>226</v>
      </c>
      <c r="G12" s="199">
        <f t="shared" si="3"/>
        <v>490</v>
      </c>
      <c r="H12" s="199">
        <f>'2024 - Q2'!Q15+'2024 - Q2'!R15-G12</f>
        <v>0</v>
      </c>
      <c r="T12" s="154"/>
      <c r="U12" s="154"/>
      <c r="V12" s="154"/>
      <c r="W12" s="154"/>
      <c r="X12" s="154"/>
    </row>
    <row r="13" spans="2:24">
      <c r="B13" s="31" t="s">
        <v>55</v>
      </c>
      <c r="D13" s="31">
        <f t="shared" ref="D13:D15" si="10">R13-N13</f>
        <v>32</v>
      </c>
      <c r="E13" s="31">
        <f t="shared" ref="E13:E15" si="11">N13</f>
        <v>23</v>
      </c>
      <c r="F13" s="24">
        <f t="shared" si="2"/>
        <v>55</v>
      </c>
      <c r="G13" s="31">
        <f t="shared" si="3"/>
        <v>127</v>
      </c>
      <c r="H13" s="31">
        <f>'2024 - Q2'!Q16+'2024 - Q2'!R16-G13</f>
        <v>0</v>
      </c>
      <c r="J13" s="31">
        <v>18</v>
      </c>
      <c r="K13" s="31">
        <v>8</v>
      </c>
      <c r="L13" s="31">
        <v>1</v>
      </c>
      <c r="M13" s="31">
        <v>4</v>
      </c>
      <c r="N13" s="31">
        <v>23</v>
      </c>
      <c r="P13" s="31">
        <v>1</v>
      </c>
      <c r="R13" s="31">
        <f t="shared" ref="R13:R15" si="12">SUM(J13:Q13)</f>
        <v>55</v>
      </c>
      <c r="T13" s="154"/>
      <c r="U13" s="154"/>
      <c r="V13" s="154"/>
      <c r="W13" s="154"/>
      <c r="X13" s="154"/>
    </row>
    <row r="14" spans="2:24">
      <c r="B14" s="31" t="s">
        <v>57</v>
      </c>
      <c r="D14" s="31">
        <f t="shared" si="10"/>
        <v>53</v>
      </c>
      <c r="E14" s="31">
        <f t="shared" si="11"/>
        <v>0</v>
      </c>
      <c r="F14" s="24">
        <f t="shared" si="2"/>
        <v>53</v>
      </c>
      <c r="G14" s="31">
        <f t="shared" si="3"/>
        <v>112</v>
      </c>
      <c r="H14" s="31">
        <f>'2024 - Q2'!Q17+'2024 - Q2'!R17-G14</f>
        <v>0</v>
      </c>
      <c r="J14" s="31">
        <v>26</v>
      </c>
      <c r="K14" s="31">
        <v>15</v>
      </c>
      <c r="L14" s="31">
        <v>7</v>
      </c>
      <c r="M14" s="31">
        <v>5</v>
      </c>
      <c r="R14" s="31">
        <f t="shared" si="12"/>
        <v>53</v>
      </c>
      <c r="T14" s="154"/>
      <c r="U14" s="154"/>
      <c r="V14" s="154"/>
      <c r="W14" s="154"/>
      <c r="X14" s="154"/>
    </row>
    <row r="15" spans="2:24">
      <c r="B15" s="31" t="s">
        <v>58</v>
      </c>
      <c r="D15" s="31">
        <f t="shared" si="10"/>
        <v>25</v>
      </c>
      <c r="E15" s="31">
        <f t="shared" si="11"/>
        <v>0</v>
      </c>
      <c r="F15" s="24">
        <f t="shared" si="2"/>
        <v>25</v>
      </c>
      <c r="G15" s="31">
        <f t="shared" si="3"/>
        <v>47</v>
      </c>
      <c r="H15" s="31">
        <f>'2024 - Q2'!Q18+'2024 - Q2'!R18-G15</f>
        <v>0</v>
      </c>
      <c r="J15" s="31">
        <v>23</v>
      </c>
      <c r="K15" s="31">
        <v>2</v>
      </c>
      <c r="R15" s="31">
        <f t="shared" si="12"/>
        <v>25</v>
      </c>
      <c r="T15" s="154"/>
      <c r="U15" s="154"/>
      <c r="V15" s="154"/>
      <c r="W15" s="154"/>
      <c r="X15" s="154"/>
    </row>
    <row r="16" spans="2:24">
      <c r="B16" s="24" t="s">
        <v>59</v>
      </c>
      <c r="D16" s="199">
        <f t="shared" ref="D16:E16" si="13">SUM(D13:D15)</f>
        <v>110</v>
      </c>
      <c r="E16" s="199">
        <f t="shared" si="13"/>
        <v>23</v>
      </c>
      <c r="F16" s="199">
        <f t="shared" si="2"/>
        <v>133</v>
      </c>
      <c r="G16" s="199">
        <f t="shared" si="3"/>
        <v>286</v>
      </c>
      <c r="H16" s="199">
        <f>'2024 - Q2'!Q19+'2024 - Q2'!R19-G16</f>
        <v>0</v>
      </c>
      <c r="T16" s="154"/>
      <c r="U16" s="154"/>
      <c r="V16" s="154"/>
      <c r="W16" s="154"/>
      <c r="X16" s="154"/>
    </row>
    <row r="17" spans="2:24">
      <c r="T17" s="154"/>
      <c r="U17" s="154"/>
      <c r="V17" s="154"/>
      <c r="W17" s="154"/>
      <c r="X17" s="154"/>
    </row>
    <row r="18" spans="2:24">
      <c r="T18" s="154"/>
      <c r="U18" s="154"/>
      <c r="V18" s="154"/>
      <c r="W18" s="154"/>
      <c r="X18" s="154"/>
    </row>
    <row r="19" spans="2:24">
      <c r="B19" s="24" t="s">
        <v>14</v>
      </c>
      <c r="D19" s="199">
        <f t="shared" ref="D19:E19" si="14">D16+D12+D7</f>
        <v>547</v>
      </c>
      <c r="E19" s="199">
        <f t="shared" si="14"/>
        <v>28</v>
      </c>
      <c r="F19" s="199">
        <f>SUM(D19:E19)</f>
        <v>575</v>
      </c>
      <c r="G19" s="199">
        <f>F19+F42+F64</f>
        <v>1254</v>
      </c>
      <c r="H19" s="199">
        <f>'2024 - Q2'!Q22+'2024 - Q2'!R22-G19</f>
        <v>0</v>
      </c>
      <c r="T19" s="154"/>
      <c r="U19" s="154"/>
      <c r="V19" s="154"/>
      <c r="W19" s="154"/>
      <c r="X19" s="154"/>
    </row>
    <row r="20" spans="2:24">
      <c r="T20" s="154"/>
      <c r="U20" s="154"/>
      <c r="V20" s="154"/>
      <c r="W20" s="154"/>
      <c r="X20" s="154"/>
    </row>
    <row r="21" spans="2:24">
      <c r="T21" s="154"/>
      <c r="U21" s="154"/>
      <c r="V21" s="154"/>
      <c r="W21" s="154"/>
      <c r="X21" s="154"/>
    </row>
    <row r="22" spans="2:24">
      <c r="T22" s="154"/>
      <c r="U22" s="154"/>
      <c r="V22" s="154"/>
      <c r="W22" s="154"/>
      <c r="X22" s="154"/>
    </row>
    <row r="23" spans="2:24">
      <c r="T23" s="294" t="s">
        <v>173</v>
      </c>
      <c r="U23" s="285"/>
      <c r="V23" s="285"/>
      <c r="W23" s="285"/>
      <c r="X23" s="285"/>
    </row>
    <row r="24" spans="2:24">
      <c r="B24" s="24" t="s">
        <v>174</v>
      </c>
      <c r="J24" s="24" t="s">
        <v>175</v>
      </c>
      <c r="K24" s="24" t="s">
        <v>175</v>
      </c>
      <c r="L24" s="24" t="s">
        <v>176</v>
      </c>
      <c r="M24" s="24" t="s">
        <v>176</v>
      </c>
      <c r="N24" s="24" t="s">
        <v>177</v>
      </c>
      <c r="O24" s="24" t="s">
        <v>177</v>
      </c>
      <c r="P24" s="24" t="s">
        <v>168</v>
      </c>
      <c r="Q24" s="24" t="s">
        <v>168</v>
      </c>
      <c r="T24" s="24" t="s">
        <v>178</v>
      </c>
    </row>
    <row r="25" spans="2:24" ht="15.75" customHeight="1">
      <c r="B25" s="24" t="s">
        <v>167</v>
      </c>
      <c r="D25" s="132" t="s">
        <v>26</v>
      </c>
      <c r="E25" s="132" t="s">
        <v>27</v>
      </c>
      <c r="F25" s="24" t="s">
        <v>28</v>
      </c>
      <c r="H25" s="24" t="s">
        <v>167</v>
      </c>
      <c r="I25" s="31" t="s">
        <v>179</v>
      </c>
      <c r="J25" s="24" t="s">
        <v>180</v>
      </c>
      <c r="K25" s="24" t="s">
        <v>181</v>
      </c>
      <c r="L25" s="24" t="s">
        <v>180</v>
      </c>
      <c r="M25" s="24" t="s">
        <v>181</v>
      </c>
      <c r="N25" s="24" t="s">
        <v>180</v>
      </c>
      <c r="O25" s="24" t="s">
        <v>181</v>
      </c>
      <c r="P25" s="24" t="s">
        <v>180</v>
      </c>
      <c r="Q25" s="24" t="s">
        <v>181</v>
      </c>
      <c r="R25" s="24" t="s">
        <v>14</v>
      </c>
      <c r="T25" s="24" t="s">
        <v>167</v>
      </c>
      <c r="V25" s="132" t="s">
        <v>182</v>
      </c>
      <c r="W25" s="132"/>
      <c r="X25" s="24" t="s">
        <v>28</v>
      </c>
    </row>
    <row r="26" spans="2:24">
      <c r="B26" s="31" t="s">
        <v>24</v>
      </c>
      <c r="D26" s="31">
        <v>50</v>
      </c>
      <c r="E26" s="31">
        <v>2</v>
      </c>
      <c r="F26" s="24">
        <f t="shared" ref="F26:F39" si="15">SUM(D26:E26)</f>
        <v>52</v>
      </c>
      <c r="H26" s="31" t="s">
        <v>24</v>
      </c>
      <c r="I26" s="31">
        <v>5</v>
      </c>
      <c r="J26" s="58">
        <v>1</v>
      </c>
      <c r="K26" s="31">
        <v>1</v>
      </c>
      <c r="M26" s="31">
        <v>2</v>
      </c>
      <c r="P26" s="58">
        <f t="shared" ref="P26:P29" si="16">J26+L26+N26</f>
        <v>1</v>
      </c>
      <c r="Q26" s="31">
        <f t="shared" ref="Q26:Q29" si="17">O26+M26+K26</f>
        <v>3</v>
      </c>
      <c r="R26" s="58">
        <f t="shared" ref="R26:R29" si="18">P26+I26</f>
        <v>6</v>
      </c>
      <c r="T26" s="31" t="s">
        <v>24</v>
      </c>
      <c r="V26" s="31">
        <v>136</v>
      </c>
      <c r="X26" s="24">
        <f t="shared" ref="X26:X39" si="19">SUM(V26:W26)</f>
        <v>136</v>
      </c>
    </row>
    <row r="27" spans="2:24" ht="13.2">
      <c r="B27" s="31" t="s">
        <v>36</v>
      </c>
      <c r="D27" s="31">
        <v>30</v>
      </c>
      <c r="E27" s="31">
        <v>1</v>
      </c>
      <c r="F27" s="24">
        <f t="shared" si="15"/>
        <v>31</v>
      </c>
      <c r="H27" s="31" t="s">
        <v>36</v>
      </c>
      <c r="I27" s="31">
        <v>3</v>
      </c>
      <c r="J27" s="58"/>
      <c r="K27" s="31">
        <v>1</v>
      </c>
      <c r="M27" s="31">
        <v>3</v>
      </c>
      <c r="O27" s="31">
        <v>1</v>
      </c>
      <c r="P27" s="58">
        <f t="shared" si="16"/>
        <v>0</v>
      </c>
      <c r="Q27" s="31">
        <f t="shared" si="17"/>
        <v>5</v>
      </c>
      <c r="R27" s="58">
        <f t="shared" si="18"/>
        <v>3</v>
      </c>
      <c r="T27" s="31" t="s">
        <v>36</v>
      </c>
      <c r="V27" s="31">
        <v>27</v>
      </c>
      <c r="X27" s="24">
        <f t="shared" si="19"/>
        <v>27</v>
      </c>
    </row>
    <row r="28" spans="2:24" ht="13.2">
      <c r="B28" s="31" t="s">
        <v>40</v>
      </c>
      <c r="D28" s="31">
        <v>15</v>
      </c>
      <c r="E28" s="31"/>
      <c r="F28" s="24">
        <f t="shared" si="15"/>
        <v>15</v>
      </c>
      <c r="H28" s="31" t="s">
        <v>40</v>
      </c>
      <c r="I28" s="31">
        <v>8</v>
      </c>
      <c r="J28" s="58"/>
      <c r="K28" s="31">
        <v>4</v>
      </c>
      <c r="P28" s="58">
        <f t="shared" si="16"/>
        <v>0</v>
      </c>
      <c r="Q28" s="31">
        <f t="shared" si="17"/>
        <v>4</v>
      </c>
      <c r="R28" s="58">
        <f t="shared" si="18"/>
        <v>8</v>
      </c>
      <c r="T28" s="31" t="s">
        <v>40</v>
      </c>
      <c r="X28" s="24">
        <f t="shared" si="19"/>
        <v>0</v>
      </c>
    </row>
    <row r="29" spans="2:24" ht="13.2">
      <c r="B29" s="31" t="s">
        <v>41</v>
      </c>
      <c r="D29" s="31">
        <v>27</v>
      </c>
      <c r="E29" s="31">
        <v>1</v>
      </c>
      <c r="F29" s="24">
        <f t="shared" si="15"/>
        <v>28</v>
      </c>
      <c r="H29" s="31" t="s">
        <v>41</v>
      </c>
      <c r="I29" s="31">
        <v>1</v>
      </c>
      <c r="J29" s="58"/>
      <c r="K29" s="31">
        <v>1</v>
      </c>
      <c r="L29" s="31">
        <v>1</v>
      </c>
      <c r="M29" s="31">
        <v>1</v>
      </c>
      <c r="O29" s="31">
        <v>4</v>
      </c>
      <c r="P29" s="58">
        <f t="shared" si="16"/>
        <v>1</v>
      </c>
      <c r="Q29" s="31">
        <f t="shared" si="17"/>
        <v>6</v>
      </c>
      <c r="R29" s="58">
        <f t="shared" si="18"/>
        <v>2</v>
      </c>
      <c r="T29" s="31" t="s">
        <v>41</v>
      </c>
      <c r="V29" s="31">
        <v>1</v>
      </c>
      <c r="X29" s="24">
        <f t="shared" si="19"/>
        <v>1</v>
      </c>
    </row>
    <row r="30" spans="2:24" ht="13.2">
      <c r="B30" s="24" t="s">
        <v>44</v>
      </c>
      <c r="D30" s="199">
        <f t="shared" ref="D30:E30" si="20">SUM(D26:D29)</f>
        <v>122</v>
      </c>
      <c r="E30" s="199">
        <f t="shared" si="20"/>
        <v>4</v>
      </c>
      <c r="F30" s="199">
        <f t="shared" si="15"/>
        <v>126</v>
      </c>
      <c r="H30" s="24" t="s">
        <v>44</v>
      </c>
      <c r="I30" s="199">
        <f t="shared" ref="I30:R30" si="21">SUM(I26:I29)</f>
        <v>17</v>
      </c>
      <c r="J30" s="199">
        <f t="shared" si="21"/>
        <v>1</v>
      </c>
      <c r="K30" s="199">
        <f t="shared" si="21"/>
        <v>7</v>
      </c>
      <c r="L30" s="199">
        <f t="shared" si="21"/>
        <v>1</v>
      </c>
      <c r="M30" s="199">
        <f t="shared" si="21"/>
        <v>6</v>
      </c>
      <c r="N30" s="199">
        <f t="shared" si="21"/>
        <v>0</v>
      </c>
      <c r="O30" s="199">
        <f t="shared" si="21"/>
        <v>5</v>
      </c>
      <c r="P30" s="199">
        <f t="shared" si="21"/>
        <v>2</v>
      </c>
      <c r="Q30" s="199">
        <f t="shared" si="21"/>
        <v>18</v>
      </c>
      <c r="R30" s="199">
        <f t="shared" si="21"/>
        <v>19</v>
      </c>
      <c r="T30" s="24" t="s">
        <v>44</v>
      </c>
      <c r="V30" s="199">
        <f t="shared" ref="V30:W30" si="22">SUM(V26:V29)</f>
        <v>164</v>
      </c>
      <c r="W30" s="199">
        <f t="shared" si="22"/>
        <v>0</v>
      </c>
      <c r="X30" s="199">
        <f t="shared" si="19"/>
        <v>164</v>
      </c>
    </row>
    <row r="31" spans="2:24" ht="13.2">
      <c r="B31" s="31" t="s">
        <v>46</v>
      </c>
      <c r="D31" s="31">
        <v>40</v>
      </c>
      <c r="E31" s="31">
        <v>1</v>
      </c>
      <c r="F31" s="24">
        <f t="shared" si="15"/>
        <v>41</v>
      </c>
      <c r="H31" s="31" t="s">
        <v>46</v>
      </c>
      <c r="I31" s="31">
        <v>6</v>
      </c>
      <c r="J31" s="58"/>
      <c r="K31" s="31">
        <v>1</v>
      </c>
      <c r="O31" s="31">
        <v>1</v>
      </c>
      <c r="P31" s="58">
        <f t="shared" ref="P31:P34" si="23">J31+L31+N31</f>
        <v>0</v>
      </c>
      <c r="Q31" s="31">
        <f t="shared" ref="Q31:Q34" si="24">O31+M31+K31</f>
        <v>2</v>
      </c>
      <c r="R31" s="58">
        <f t="shared" ref="R31:R34" si="25">P31+I31</f>
        <v>6</v>
      </c>
      <c r="T31" s="31" t="s">
        <v>46</v>
      </c>
      <c r="V31" s="58"/>
      <c r="X31" s="199">
        <f t="shared" si="19"/>
        <v>0</v>
      </c>
    </row>
    <row r="32" spans="2:24" ht="13.2">
      <c r="B32" s="31" t="s">
        <v>51</v>
      </c>
      <c r="D32" s="31">
        <v>27</v>
      </c>
      <c r="E32" s="31"/>
      <c r="F32" s="24">
        <f t="shared" si="15"/>
        <v>27</v>
      </c>
      <c r="H32" s="31" t="s">
        <v>51</v>
      </c>
      <c r="I32" s="31">
        <v>2</v>
      </c>
      <c r="J32" s="58"/>
      <c r="K32" s="31">
        <v>5</v>
      </c>
      <c r="O32" s="31">
        <v>1</v>
      </c>
      <c r="P32" s="58">
        <f t="shared" si="23"/>
        <v>0</v>
      </c>
      <c r="Q32" s="31">
        <f t="shared" si="24"/>
        <v>6</v>
      </c>
      <c r="R32" s="58">
        <f t="shared" si="25"/>
        <v>2</v>
      </c>
      <c r="T32" s="31" t="s">
        <v>51</v>
      </c>
      <c r="V32" s="58">
        <v>19</v>
      </c>
      <c r="X32" s="199">
        <f t="shared" si="19"/>
        <v>19</v>
      </c>
    </row>
    <row r="33" spans="2:27" ht="13.2">
      <c r="B33" s="31" t="s">
        <v>52</v>
      </c>
      <c r="D33" s="31">
        <v>24</v>
      </c>
      <c r="E33" s="31">
        <v>0</v>
      </c>
      <c r="F33" s="24">
        <f t="shared" si="15"/>
        <v>24</v>
      </c>
      <c r="H33" s="31" t="s">
        <v>52</v>
      </c>
      <c r="I33" s="31">
        <v>2</v>
      </c>
      <c r="J33" s="58"/>
      <c r="K33" s="31">
        <v>3</v>
      </c>
      <c r="N33" s="31">
        <v>1</v>
      </c>
      <c r="P33" s="58">
        <f t="shared" si="23"/>
        <v>1</v>
      </c>
      <c r="Q33" s="31">
        <f t="shared" si="24"/>
        <v>3</v>
      </c>
      <c r="R33" s="58">
        <f t="shared" si="25"/>
        <v>3</v>
      </c>
      <c r="T33" s="31" t="s">
        <v>52</v>
      </c>
      <c r="V33" s="58"/>
      <c r="X33" s="199">
        <f t="shared" si="19"/>
        <v>0</v>
      </c>
    </row>
    <row r="34" spans="2:27" ht="13.2">
      <c r="B34" s="31" t="s">
        <v>53</v>
      </c>
      <c r="D34" s="31">
        <v>43</v>
      </c>
      <c r="E34" s="31"/>
      <c r="F34" s="24">
        <f t="shared" si="15"/>
        <v>43</v>
      </c>
      <c r="H34" s="31" t="s">
        <v>53</v>
      </c>
      <c r="I34" s="31">
        <v>7</v>
      </c>
      <c r="J34" s="58">
        <v>1</v>
      </c>
      <c r="M34" s="31">
        <v>1</v>
      </c>
      <c r="O34" s="31">
        <v>3</v>
      </c>
      <c r="P34" s="58">
        <f t="shared" si="23"/>
        <v>1</v>
      </c>
      <c r="Q34" s="31">
        <f t="shared" si="24"/>
        <v>4</v>
      </c>
      <c r="R34" s="58">
        <f t="shared" si="25"/>
        <v>8</v>
      </c>
      <c r="T34" s="31" t="s">
        <v>53</v>
      </c>
      <c r="V34" s="58"/>
      <c r="X34" s="199">
        <f t="shared" si="19"/>
        <v>0</v>
      </c>
    </row>
    <row r="35" spans="2:27" ht="13.2">
      <c r="B35" s="24" t="s">
        <v>54</v>
      </c>
      <c r="D35" s="199">
        <f t="shared" ref="D35:E35" si="26">SUM(D31:D34)</f>
        <v>134</v>
      </c>
      <c r="E35" s="199">
        <f t="shared" si="26"/>
        <v>1</v>
      </c>
      <c r="F35" s="199">
        <f t="shared" si="15"/>
        <v>135</v>
      </c>
      <c r="H35" s="24" t="s">
        <v>54</v>
      </c>
      <c r="I35" s="199">
        <f t="shared" ref="I35:R35" si="27">SUM(I31:I34)</f>
        <v>17</v>
      </c>
      <c r="J35" s="199">
        <f t="shared" si="27"/>
        <v>1</v>
      </c>
      <c r="K35" s="199">
        <f t="shared" si="27"/>
        <v>9</v>
      </c>
      <c r="L35" s="199">
        <f t="shared" si="27"/>
        <v>0</v>
      </c>
      <c r="M35" s="199">
        <f t="shared" si="27"/>
        <v>1</v>
      </c>
      <c r="N35" s="199">
        <f t="shared" si="27"/>
        <v>1</v>
      </c>
      <c r="O35" s="199">
        <f t="shared" si="27"/>
        <v>5</v>
      </c>
      <c r="P35" s="199">
        <f t="shared" si="27"/>
        <v>2</v>
      </c>
      <c r="Q35" s="199">
        <f t="shared" si="27"/>
        <v>15</v>
      </c>
      <c r="R35" s="199">
        <f t="shared" si="27"/>
        <v>19</v>
      </c>
      <c r="T35" s="24" t="s">
        <v>54</v>
      </c>
      <c r="V35" s="199">
        <f t="shared" ref="V35:W35" si="28">SUM(V31:V34)</f>
        <v>19</v>
      </c>
      <c r="W35" s="199">
        <f t="shared" si="28"/>
        <v>0</v>
      </c>
      <c r="X35" s="199">
        <f t="shared" si="19"/>
        <v>19</v>
      </c>
    </row>
    <row r="36" spans="2:27" ht="13.2">
      <c r="B36" s="31" t="s">
        <v>55</v>
      </c>
      <c r="D36" s="31">
        <v>27</v>
      </c>
      <c r="E36" s="31">
        <v>7</v>
      </c>
      <c r="F36" s="24">
        <f t="shared" si="15"/>
        <v>34</v>
      </c>
      <c r="H36" s="31" t="s">
        <v>55</v>
      </c>
      <c r="I36" s="31">
        <v>3</v>
      </c>
      <c r="J36" s="58"/>
      <c r="K36" s="31">
        <v>8</v>
      </c>
      <c r="M36" s="31">
        <v>1</v>
      </c>
      <c r="P36" s="58">
        <f t="shared" ref="P36:P38" si="29">J36+L36+N36</f>
        <v>0</v>
      </c>
      <c r="Q36" s="31">
        <f t="shared" ref="Q36:Q38" si="30">O36+M36+K36</f>
        <v>9</v>
      </c>
      <c r="R36" s="58">
        <f t="shared" ref="R36:R38" si="31">P36+I36</f>
        <v>3</v>
      </c>
      <c r="T36" s="31" t="s">
        <v>55</v>
      </c>
      <c r="V36" s="58">
        <v>64</v>
      </c>
      <c r="X36" s="199">
        <f t="shared" si="19"/>
        <v>64</v>
      </c>
    </row>
    <row r="37" spans="2:27" ht="13.2">
      <c r="B37" s="31" t="s">
        <v>57</v>
      </c>
      <c r="D37" s="31">
        <v>32</v>
      </c>
      <c r="E37" s="31">
        <v>1</v>
      </c>
      <c r="F37" s="24">
        <f t="shared" si="15"/>
        <v>33</v>
      </c>
      <c r="H37" s="31" t="s">
        <v>57</v>
      </c>
      <c r="I37" s="31">
        <v>4</v>
      </c>
      <c r="J37" s="58"/>
      <c r="K37" s="31">
        <v>2</v>
      </c>
      <c r="M37" s="31">
        <v>1</v>
      </c>
      <c r="P37" s="58">
        <f t="shared" si="29"/>
        <v>0</v>
      </c>
      <c r="Q37" s="31">
        <f t="shared" si="30"/>
        <v>3</v>
      </c>
      <c r="R37" s="58">
        <f t="shared" si="31"/>
        <v>4</v>
      </c>
      <c r="T37" s="31" t="s">
        <v>57</v>
      </c>
      <c r="V37" s="58"/>
      <c r="X37" s="199">
        <f t="shared" si="19"/>
        <v>0</v>
      </c>
    </row>
    <row r="38" spans="2:27" ht="13.2">
      <c r="B38" s="31" t="s">
        <v>58</v>
      </c>
      <c r="D38" s="31">
        <v>12</v>
      </c>
      <c r="E38" s="31"/>
      <c r="F38" s="24">
        <f t="shared" si="15"/>
        <v>12</v>
      </c>
      <c r="H38" s="31" t="s">
        <v>58</v>
      </c>
      <c r="I38" s="31">
        <v>1</v>
      </c>
      <c r="J38" s="58"/>
      <c r="N38" s="31">
        <v>1</v>
      </c>
      <c r="P38" s="58">
        <f t="shared" si="29"/>
        <v>1</v>
      </c>
      <c r="Q38" s="31">
        <f t="shared" si="30"/>
        <v>0</v>
      </c>
      <c r="R38" s="58">
        <f t="shared" si="31"/>
        <v>2</v>
      </c>
      <c r="T38" s="31" t="s">
        <v>58</v>
      </c>
      <c r="V38" s="58"/>
      <c r="X38" s="199">
        <f t="shared" si="19"/>
        <v>0</v>
      </c>
    </row>
    <row r="39" spans="2:27" ht="13.2">
      <c r="B39" s="24" t="s">
        <v>59</v>
      </c>
      <c r="D39" s="199">
        <f t="shared" ref="D39:E39" si="32">SUM(D36:D38)</f>
        <v>71</v>
      </c>
      <c r="E39" s="199">
        <f t="shared" si="32"/>
        <v>8</v>
      </c>
      <c r="F39" s="199">
        <f t="shared" si="15"/>
        <v>79</v>
      </c>
      <c r="H39" s="24" t="s">
        <v>59</v>
      </c>
      <c r="I39" s="199">
        <f t="shared" ref="I39:R39" si="33">SUM(I36:I38)</f>
        <v>8</v>
      </c>
      <c r="J39" s="199">
        <f t="shared" si="33"/>
        <v>0</v>
      </c>
      <c r="K39" s="199">
        <f t="shared" si="33"/>
        <v>10</v>
      </c>
      <c r="L39" s="199">
        <f t="shared" si="33"/>
        <v>0</v>
      </c>
      <c r="M39" s="199">
        <f t="shared" si="33"/>
        <v>2</v>
      </c>
      <c r="N39" s="199">
        <f t="shared" si="33"/>
        <v>1</v>
      </c>
      <c r="O39" s="199">
        <f t="shared" si="33"/>
        <v>0</v>
      </c>
      <c r="P39" s="199">
        <f t="shared" si="33"/>
        <v>1</v>
      </c>
      <c r="Q39" s="199">
        <f t="shared" si="33"/>
        <v>12</v>
      </c>
      <c r="R39" s="199">
        <f t="shared" si="33"/>
        <v>9</v>
      </c>
      <c r="T39" s="24" t="s">
        <v>59</v>
      </c>
      <c r="V39" s="199">
        <f t="shared" ref="V39:W39" si="34">SUM(V36:V38)</f>
        <v>64</v>
      </c>
      <c r="W39" s="199">
        <f t="shared" si="34"/>
        <v>0</v>
      </c>
      <c r="X39" s="199">
        <f t="shared" si="19"/>
        <v>64</v>
      </c>
    </row>
    <row r="42" spans="2:27" ht="13.2">
      <c r="B42" s="24" t="s">
        <v>14</v>
      </c>
      <c r="D42" s="199">
        <f t="shared" ref="D42:E42" si="35">D39+D35+D30</f>
        <v>327</v>
      </c>
      <c r="E42" s="199">
        <f t="shared" si="35"/>
        <v>13</v>
      </c>
      <c r="F42" s="199">
        <f>SUM(D42:E42)</f>
        <v>340</v>
      </c>
      <c r="H42" s="24" t="s">
        <v>14</v>
      </c>
      <c r="I42" s="199">
        <f t="shared" ref="I42:R42" si="36">I39+I35+I30</f>
        <v>42</v>
      </c>
      <c r="J42" s="199">
        <f t="shared" si="36"/>
        <v>2</v>
      </c>
      <c r="K42" s="199">
        <f t="shared" si="36"/>
        <v>26</v>
      </c>
      <c r="L42" s="199">
        <f t="shared" si="36"/>
        <v>1</v>
      </c>
      <c r="M42" s="199">
        <f t="shared" si="36"/>
        <v>9</v>
      </c>
      <c r="N42" s="199">
        <f t="shared" si="36"/>
        <v>2</v>
      </c>
      <c r="O42" s="199">
        <f t="shared" si="36"/>
        <v>10</v>
      </c>
      <c r="P42" s="199">
        <f t="shared" si="36"/>
        <v>5</v>
      </c>
      <c r="Q42" s="199">
        <f t="shared" si="36"/>
        <v>45</v>
      </c>
      <c r="R42" s="199">
        <f t="shared" si="36"/>
        <v>47</v>
      </c>
      <c r="T42" s="24" t="s">
        <v>14</v>
      </c>
      <c r="V42" s="199">
        <f t="shared" ref="V42:W42" si="37">V39+V35+V30</f>
        <v>247</v>
      </c>
      <c r="W42" s="199">
        <f t="shared" si="37"/>
        <v>0</v>
      </c>
      <c r="X42" s="199">
        <f>SUM(V42:W42)</f>
        <v>247</v>
      </c>
    </row>
    <row r="44" spans="2:27" ht="13.2">
      <c r="H44" s="24" t="s">
        <v>193</v>
      </c>
      <c r="O44" s="228"/>
      <c r="P44" s="249">
        <f>P42+'2024 - Q2'!Z22</f>
        <v>47</v>
      </c>
      <c r="Q44" s="24"/>
      <c r="R44" s="24" t="s">
        <v>194</v>
      </c>
      <c r="T44" s="24" t="s">
        <v>146</v>
      </c>
      <c r="X44" s="250">
        <f>X42+F19</f>
        <v>822</v>
      </c>
      <c r="Y44" s="24">
        <v>824</v>
      </c>
      <c r="AA44" s="24"/>
    </row>
    <row r="46" spans="2:27" ht="13.2">
      <c r="B46" s="24" t="s">
        <v>195</v>
      </c>
      <c r="T46" s="294" t="s">
        <v>173</v>
      </c>
      <c r="U46" s="285"/>
      <c r="V46" s="285"/>
      <c r="W46" s="285"/>
      <c r="X46" s="285"/>
    </row>
    <row r="47" spans="2:27" ht="28.8">
      <c r="B47" s="24" t="s">
        <v>167</v>
      </c>
      <c r="D47" s="132" t="s">
        <v>26</v>
      </c>
      <c r="E47" s="132" t="s">
        <v>27</v>
      </c>
      <c r="F47" s="24" t="s">
        <v>28</v>
      </c>
      <c r="T47" s="24" t="s">
        <v>196</v>
      </c>
    </row>
    <row r="48" spans="2:27" ht="28.8">
      <c r="B48" s="31" t="s">
        <v>24</v>
      </c>
      <c r="D48" s="31">
        <v>33</v>
      </c>
      <c r="E48" s="31">
        <v>1</v>
      </c>
      <c r="F48" s="24">
        <f t="shared" ref="F48:F61" si="38">SUM(D48:E48)</f>
        <v>34</v>
      </c>
      <c r="T48" s="24" t="s">
        <v>167</v>
      </c>
      <c r="V48" s="132" t="s">
        <v>182</v>
      </c>
      <c r="W48" s="132"/>
      <c r="X48" s="24" t="s">
        <v>28</v>
      </c>
    </row>
    <row r="49" spans="2:24" ht="13.2">
      <c r="B49" s="31" t="s">
        <v>36</v>
      </c>
      <c r="D49" s="31">
        <v>45</v>
      </c>
      <c r="E49" s="31">
        <v>1</v>
      </c>
      <c r="F49" s="24">
        <f t="shared" si="38"/>
        <v>46</v>
      </c>
      <c r="T49" s="31" t="s">
        <v>24</v>
      </c>
      <c r="V49" s="31">
        <v>89</v>
      </c>
      <c r="X49" s="24">
        <f t="shared" ref="X49:X62" si="39">SUM(V49:W49)</f>
        <v>89</v>
      </c>
    </row>
    <row r="50" spans="2:24" ht="13.2">
      <c r="B50" s="31" t="s">
        <v>40</v>
      </c>
      <c r="D50" s="31">
        <v>34</v>
      </c>
      <c r="E50" s="31">
        <v>1</v>
      </c>
      <c r="F50" s="24">
        <f t="shared" si="38"/>
        <v>35</v>
      </c>
      <c r="T50" s="31" t="s">
        <v>36</v>
      </c>
      <c r="V50" s="31">
        <f>12-V73</f>
        <v>5</v>
      </c>
      <c r="X50" s="24">
        <f t="shared" si="39"/>
        <v>5</v>
      </c>
    </row>
    <row r="51" spans="2:24" ht="13.2">
      <c r="B51" s="31" t="s">
        <v>41</v>
      </c>
      <c r="D51" s="31">
        <v>21</v>
      </c>
      <c r="E51" s="31"/>
      <c r="F51" s="24">
        <f t="shared" si="38"/>
        <v>21</v>
      </c>
      <c r="T51" s="31" t="s">
        <v>40</v>
      </c>
      <c r="X51" s="24">
        <f t="shared" si="39"/>
        <v>0</v>
      </c>
    </row>
    <row r="52" spans="2:24" ht="13.2">
      <c r="B52" s="24" t="s">
        <v>44</v>
      </c>
      <c r="D52" s="199">
        <f t="shared" ref="D52:E52" si="40">SUM(D48:D51)</f>
        <v>133</v>
      </c>
      <c r="E52" s="199">
        <f t="shared" si="40"/>
        <v>3</v>
      </c>
      <c r="F52" s="199">
        <f t="shared" si="38"/>
        <v>136</v>
      </c>
      <c r="T52" s="31" t="s">
        <v>41</v>
      </c>
      <c r="X52" s="24">
        <f t="shared" si="39"/>
        <v>0</v>
      </c>
    </row>
    <row r="53" spans="2:24" ht="14.4">
      <c r="B53" s="31" t="s">
        <v>46</v>
      </c>
      <c r="D53" s="29">
        <v>13</v>
      </c>
      <c r="E53" s="29"/>
      <c r="F53" s="24">
        <f t="shared" si="38"/>
        <v>13</v>
      </c>
      <c r="T53" s="24" t="s">
        <v>44</v>
      </c>
      <c r="V53" s="199">
        <f t="shared" ref="V53:W53" si="41">SUM(V49:V52)</f>
        <v>94</v>
      </c>
      <c r="W53" s="199">
        <f t="shared" si="41"/>
        <v>0</v>
      </c>
      <c r="X53" s="199">
        <f t="shared" si="39"/>
        <v>94</v>
      </c>
    </row>
    <row r="54" spans="2:24" ht="14.4">
      <c r="B54" s="31" t="s">
        <v>51</v>
      </c>
      <c r="D54" s="29">
        <v>29</v>
      </c>
      <c r="E54" s="29">
        <v>2</v>
      </c>
      <c r="F54" s="24">
        <f t="shared" si="38"/>
        <v>31</v>
      </c>
      <c r="T54" s="31" t="s">
        <v>46</v>
      </c>
      <c r="V54" s="58"/>
      <c r="X54" s="199">
        <f t="shared" si="39"/>
        <v>0</v>
      </c>
    </row>
    <row r="55" spans="2:24" ht="14.4">
      <c r="B55" s="31" t="s">
        <v>52</v>
      </c>
      <c r="D55" s="29">
        <v>40</v>
      </c>
      <c r="E55" s="29"/>
      <c r="F55" s="24">
        <f t="shared" si="38"/>
        <v>40</v>
      </c>
      <c r="T55" s="31" t="s">
        <v>51</v>
      </c>
      <c r="V55" s="58">
        <f>54-V78</f>
        <v>30</v>
      </c>
      <c r="X55" s="199">
        <f t="shared" si="39"/>
        <v>30</v>
      </c>
    </row>
    <row r="56" spans="2:24" ht="14.4">
      <c r="B56" s="31" t="s">
        <v>53</v>
      </c>
      <c r="D56" s="29">
        <v>45</v>
      </c>
      <c r="E56" s="29"/>
      <c r="F56" s="24">
        <f t="shared" si="38"/>
        <v>45</v>
      </c>
      <c r="T56" s="31" t="s">
        <v>52</v>
      </c>
      <c r="V56" s="58"/>
      <c r="X56" s="199">
        <f t="shared" si="39"/>
        <v>0</v>
      </c>
    </row>
    <row r="57" spans="2:24" ht="13.2">
      <c r="B57" s="24" t="s">
        <v>54</v>
      </c>
      <c r="D57" s="199">
        <f t="shared" ref="D57:E57" si="42">SUM(D53:D56)</f>
        <v>127</v>
      </c>
      <c r="E57" s="199">
        <f t="shared" si="42"/>
        <v>2</v>
      </c>
      <c r="F57" s="199">
        <f t="shared" si="38"/>
        <v>129</v>
      </c>
      <c r="T57" s="31" t="s">
        <v>53</v>
      </c>
      <c r="V57" s="58"/>
      <c r="X57" s="199">
        <f t="shared" si="39"/>
        <v>0</v>
      </c>
    </row>
    <row r="58" spans="2:24" ht="14.4">
      <c r="B58" s="31" t="s">
        <v>55</v>
      </c>
      <c r="D58" s="29">
        <v>29</v>
      </c>
      <c r="E58" s="29">
        <v>9</v>
      </c>
      <c r="F58" s="24">
        <f t="shared" si="38"/>
        <v>38</v>
      </c>
      <c r="T58" s="24" t="s">
        <v>54</v>
      </c>
      <c r="V58" s="199">
        <f t="shared" ref="V58:W58" si="43">SUM(V54:V57)</f>
        <v>30</v>
      </c>
      <c r="W58" s="199">
        <f t="shared" si="43"/>
        <v>0</v>
      </c>
      <c r="X58" s="199">
        <f t="shared" si="39"/>
        <v>30</v>
      </c>
    </row>
    <row r="59" spans="2:24" ht="14.4">
      <c r="B59" s="31" t="s">
        <v>57</v>
      </c>
      <c r="D59" s="29">
        <v>26</v>
      </c>
      <c r="E59" s="29"/>
      <c r="F59" s="24">
        <f t="shared" si="38"/>
        <v>26</v>
      </c>
      <c r="T59" s="31" t="s">
        <v>55</v>
      </c>
      <c r="V59" s="58">
        <f>75-V82</f>
        <v>42</v>
      </c>
      <c r="X59" s="199">
        <f t="shared" si="39"/>
        <v>42</v>
      </c>
    </row>
    <row r="60" spans="2:24" ht="14.4">
      <c r="B60" s="31" t="s">
        <v>58</v>
      </c>
      <c r="D60" s="29">
        <v>10</v>
      </c>
      <c r="E60" s="29"/>
      <c r="F60" s="24">
        <f t="shared" si="38"/>
        <v>10</v>
      </c>
      <c r="T60" s="31" t="s">
        <v>57</v>
      </c>
      <c r="V60" s="58"/>
      <c r="X60" s="199">
        <f t="shared" si="39"/>
        <v>0</v>
      </c>
    </row>
    <row r="61" spans="2:24" ht="13.2">
      <c r="B61" s="24" t="s">
        <v>59</v>
      </c>
      <c r="D61" s="199">
        <f t="shared" ref="D61:E61" si="44">SUM(D58:D60)</f>
        <v>65</v>
      </c>
      <c r="E61" s="199">
        <f t="shared" si="44"/>
        <v>9</v>
      </c>
      <c r="F61" s="199">
        <f t="shared" si="38"/>
        <v>74</v>
      </c>
      <c r="T61" s="31" t="s">
        <v>58</v>
      </c>
      <c r="V61" s="58">
        <f>1-V84</f>
        <v>1</v>
      </c>
      <c r="X61" s="199">
        <f t="shared" si="39"/>
        <v>1</v>
      </c>
    </row>
    <row r="62" spans="2:24" ht="13.2">
      <c r="T62" s="24" t="s">
        <v>59</v>
      </c>
      <c r="V62" s="199">
        <f t="shared" ref="V62:W62" si="45">SUM(V59:V61)</f>
        <v>43</v>
      </c>
      <c r="W62" s="199">
        <f t="shared" si="45"/>
        <v>0</v>
      </c>
      <c r="X62" s="199">
        <f t="shared" si="39"/>
        <v>43</v>
      </c>
    </row>
    <row r="64" spans="2:24" ht="13.2">
      <c r="B64" s="24" t="s">
        <v>14</v>
      </c>
      <c r="D64" s="199">
        <f t="shared" ref="D64:E64" si="46">D61+D57+D52</f>
        <v>325</v>
      </c>
      <c r="E64" s="199">
        <f t="shared" si="46"/>
        <v>14</v>
      </c>
      <c r="F64" s="199">
        <f>SUM(D64:E64)</f>
        <v>339</v>
      </c>
    </row>
    <row r="65" spans="20:26" ht="13.2">
      <c r="T65" s="24" t="s">
        <v>14</v>
      </c>
      <c r="V65" s="199">
        <f t="shared" ref="V65:W65" si="47">V62+V58+V53</f>
        <v>167</v>
      </c>
      <c r="W65" s="199">
        <f t="shared" si="47"/>
        <v>0</v>
      </c>
      <c r="X65" s="199">
        <f>SUM(V65:W65)</f>
        <v>167</v>
      </c>
    </row>
    <row r="67" spans="20:26" ht="13.2">
      <c r="T67" s="24" t="s">
        <v>146</v>
      </c>
      <c r="X67" s="250">
        <f>X65+F42</f>
        <v>507</v>
      </c>
      <c r="Y67" s="24">
        <v>506</v>
      </c>
    </row>
    <row r="69" spans="20:26" ht="13.2">
      <c r="T69" s="294" t="s">
        <v>173</v>
      </c>
      <c r="U69" s="285"/>
      <c r="V69" s="285"/>
      <c r="W69" s="285"/>
      <c r="X69" s="285"/>
    </row>
    <row r="70" spans="20:26" ht="13.2">
      <c r="T70" s="24" t="s">
        <v>197</v>
      </c>
    </row>
    <row r="71" spans="20:26" ht="28.8">
      <c r="T71" s="24" t="s">
        <v>167</v>
      </c>
      <c r="V71" s="132" t="s">
        <v>182</v>
      </c>
      <c r="W71" s="132"/>
      <c r="X71" s="24" t="s">
        <v>28</v>
      </c>
    </row>
    <row r="72" spans="20:26" ht="13.2">
      <c r="T72" s="31" t="s">
        <v>24</v>
      </c>
      <c r="V72" s="31">
        <v>78</v>
      </c>
      <c r="X72" s="24">
        <f t="shared" ref="X72:X85" si="48">SUM(V72:W72)</f>
        <v>78</v>
      </c>
    </row>
    <row r="73" spans="20:26" ht="13.2">
      <c r="T73" s="31" t="s">
        <v>36</v>
      </c>
      <c r="V73" s="31">
        <v>7</v>
      </c>
      <c r="X73" s="24">
        <f t="shared" si="48"/>
        <v>7</v>
      </c>
    </row>
    <row r="74" spans="20:26" ht="13.2">
      <c r="T74" s="31" t="s">
        <v>40</v>
      </c>
      <c r="X74" s="24">
        <f t="shared" si="48"/>
        <v>0</v>
      </c>
    </row>
    <row r="75" spans="20:26" ht="13.2">
      <c r="T75" s="31" t="s">
        <v>41</v>
      </c>
      <c r="X75" s="24">
        <f t="shared" si="48"/>
        <v>0</v>
      </c>
    </row>
    <row r="76" spans="20:26" ht="13.2">
      <c r="T76" s="24" t="s">
        <v>44</v>
      </c>
      <c r="V76" s="199">
        <f t="shared" ref="V76:W76" si="49">SUM(V72:V75)</f>
        <v>85</v>
      </c>
      <c r="W76" s="199">
        <f t="shared" si="49"/>
        <v>0</v>
      </c>
      <c r="X76" s="199">
        <f t="shared" si="48"/>
        <v>85</v>
      </c>
      <c r="Z76" s="199"/>
    </row>
    <row r="77" spans="20:26" ht="13.2">
      <c r="T77" s="31" t="s">
        <v>46</v>
      </c>
      <c r="V77" s="58"/>
      <c r="X77" s="199">
        <f t="shared" si="48"/>
        <v>0</v>
      </c>
    </row>
    <row r="78" spans="20:26" ht="13.2">
      <c r="T78" s="31" t="s">
        <v>51</v>
      </c>
      <c r="V78" s="58">
        <v>24</v>
      </c>
      <c r="X78" s="199">
        <f t="shared" si="48"/>
        <v>24</v>
      </c>
    </row>
    <row r="79" spans="20:26" ht="13.2">
      <c r="T79" s="31" t="s">
        <v>52</v>
      </c>
      <c r="V79" s="58"/>
      <c r="X79" s="199">
        <f t="shared" si="48"/>
        <v>0</v>
      </c>
    </row>
    <row r="80" spans="20:26" ht="13.2">
      <c r="T80" s="31" t="s">
        <v>53</v>
      </c>
      <c r="V80" s="58"/>
      <c r="X80" s="199">
        <f t="shared" si="48"/>
        <v>0</v>
      </c>
    </row>
    <row r="81" spans="20:25" ht="13.2">
      <c r="T81" s="24" t="s">
        <v>54</v>
      </c>
      <c r="V81" s="199">
        <f t="shared" ref="V81:W81" si="50">SUM(V77:V80)</f>
        <v>24</v>
      </c>
      <c r="W81" s="199">
        <f t="shared" si="50"/>
        <v>0</v>
      </c>
      <c r="X81" s="199">
        <f t="shared" si="48"/>
        <v>24</v>
      </c>
    </row>
    <row r="82" spans="20:25" ht="13.2">
      <c r="T82" s="31" t="s">
        <v>55</v>
      </c>
      <c r="V82" s="58">
        <v>33</v>
      </c>
      <c r="X82" s="199">
        <f t="shared" si="48"/>
        <v>33</v>
      </c>
    </row>
    <row r="83" spans="20:25" ht="13.2">
      <c r="T83" s="31" t="s">
        <v>57</v>
      </c>
      <c r="V83" s="58"/>
      <c r="X83" s="199">
        <f t="shared" si="48"/>
        <v>0</v>
      </c>
    </row>
    <row r="84" spans="20:25" ht="13.2">
      <c r="T84" s="31" t="s">
        <v>58</v>
      </c>
      <c r="V84" s="58"/>
      <c r="X84" s="199">
        <f t="shared" si="48"/>
        <v>0</v>
      </c>
    </row>
    <row r="85" spans="20:25" ht="13.2">
      <c r="T85" s="24" t="s">
        <v>59</v>
      </c>
      <c r="V85" s="199">
        <f t="shared" ref="V85:W85" si="51">SUM(V82:V84)</f>
        <v>33</v>
      </c>
      <c r="W85" s="199">
        <f t="shared" si="51"/>
        <v>0</v>
      </c>
      <c r="X85" s="199">
        <f t="shared" si="48"/>
        <v>33</v>
      </c>
    </row>
    <row r="88" spans="20:25" ht="13.2">
      <c r="T88" s="24" t="s">
        <v>14</v>
      </c>
      <c r="V88" s="199">
        <f t="shared" ref="V88:W88" si="52">V85+V81+V76</f>
        <v>142</v>
      </c>
      <c r="W88" s="199">
        <f t="shared" si="52"/>
        <v>0</v>
      </c>
      <c r="X88" s="199">
        <f>SUM(V88:W88)</f>
        <v>142</v>
      </c>
    </row>
    <row r="90" spans="20:25" ht="13.2">
      <c r="T90" s="24" t="s">
        <v>146</v>
      </c>
      <c r="X90" s="250">
        <f>X88+F64</f>
        <v>481</v>
      </c>
      <c r="Y90" s="24">
        <v>480</v>
      </c>
    </row>
    <row r="92" spans="20:25" ht="13.2">
      <c r="X92" s="199">
        <f t="shared" ref="X92:Y92" si="53">X90+X67+X44</f>
        <v>1810</v>
      </c>
      <c r="Y92" s="24">
        <f t="shared" si="53"/>
        <v>1810</v>
      </c>
    </row>
  </sheetData>
  <mergeCells count="3">
    <mergeCell ref="T23:X23"/>
    <mergeCell ref="T46:X46"/>
    <mergeCell ref="T69:X6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C81"/>
  <sheetViews>
    <sheetView workbookViewId="0"/>
  </sheetViews>
  <sheetFormatPr defaultColWidth="12.6640625" defaultRowHeight="15.75" customHeight="1"/>
  <sheetData>
    <row r="1" spans="1:26">
      <c r="B1" s="24"/>
      <c r="H1" s="24" t="s">
        <v>89</v>
      </c>
      <c r="I1" s="24" t="s">
        <v>90</v>
      </c>
      <c r="J1" s="24" t="s">
        <v>91</v>
      </c>
      <c r="N1" s="24"/>
      <c r="T1" s="24"/>
      <c r="Z1" s="24"/>
    </row>
    <row r="2" spans="1:26">
      <c r="B2" s="24" t="s">
        <v>183</v>
      </c>
      <c r="G2" s="66" t="s">
        <v>24</v>
      </c>
      <c r="H2" s="58">
        <f t="shared" ref="H2:J2" si="0">B7</f>
        <v>34</v>
      </c>
      <c r="I2" s="58">
        <f t="shared" si="0"/>
        <v>40</v>
      </c>
      <c r="J2" s="58">
        <f t="shared" si="0"/>
        <v>25</v>
      </c>
      <c r="N2" s="24"/>
      <c r="T2" s="24"/>
      <c r="Z2" s="24"/>
    </row>
    <row r="3" spans="1:26">
      <c r="B3" s="24" t="s">
        <v>89</v>
      </c>
      <c r="C3" s="24" t="s">
        <v>90</v>
      </c>
      <c r="D3" s="24" t="s">
        <v>91</v>
      </c>
      <c r="E3" s="24" t="s">
        <v>28</v>
      </c>
      <c r="G3" s="66" t="s">
        <v>36</v>
      </c>
      <c r="H3" s="58">
        <f t="shared" ref="H3:J3" si="1">B4</f>
        <v>28</v>
      </c>
      <c r="I3" s="58">
        <f t="shared" si="1"/>
        <v>37</v>
      </c>
      <c r="J3" s="58">
        <f t="shared" si="1"/>
        <v>29</v>
      </c>
      <c r="N3" s="24"/>
      <c r="T3" s="24"/>
      <c r="Z3" s="24"/>
    </row>
    <row r="4" spans="1:26">
      <c r="A4" s="31" t="s">
        <v>36</v>
      </c>
      <c r="B4" s="58">
        <v>28</v>
      </c>
      <c r="C4" s="58">
        <v>37</v>
      </c>
      <c r="D4" s="58">
        <v>29</v>
      </c>
      <c r="E4" s="199">
        <f t="shared" ref="E4:E15" si="2">SUM(B4:D4)</f>
        <v>94</v>
      </c>
      <c r="G4" s="66" t="s">
        <v>40</v>
      </c>
      <c r="H4" s="58">
        <f t="shared" ref="H4:J4" si="3">B5</f>
        <v>19</v>
      </c>
      <c r="I4" s="58">
        <f t="shared" si="3"/>
        <v>26</v>
      </c>
      <c r="J4" s="58">
        <f t="shared" si="3"/>
        <v>20</v>
      </c>
      <c r="N4" s="24"/>
      <c r="T4" s="24"/>
      <c r="Z4" s="24"/>
    </row>
    <row r="5" spans="1:26">
      <c r="A5" s="31" t="s">
        <v>40</v>
      </c>
      <c r="B5" s="58">
        <v>19</v>
      </c>
      <c r="C5" s="58">
        <v>26</v>
      </c>
      <c r="D5" s="58">
        <v>20</v>
      </c>
      <c r="E5" s="199">
        <f t="shared" si="2"/>
        <v>65</v>
      </c>
      <c r="G5" s="66" t="s">
        <v>41</v>
      </c>
      <c r="H5" s="58">
        <f t="shared" ref="H5:J5" si="4">B6</f>
        <v>26</v>
      </c>
      <c r="I5" s="58">
        <f t="shared" si="4"/>
        <v>34</v>
      </c>
      <c r="J5" s="58">
        <f t="shared" si="4"/>
        <v>24</v>
      </c>
      <c r="N5" s="24"/>
      <c r="T5" s="24"/>
      <c r="Z5" s="24"/>
    </row>
    <row r="6" spans="1:26">
      <c r="A6" s="31" t="s">
        <v>41</v>
      </c>
      <c r="B6" s="58">
        <v>26</v>
      </c>
      <c r="C6" s="58">
        <v>34</v>
      </c>
      <c r="D6" s="58">
        <v>24</v>
      </c>
      <c r="E6" s="199">
        <f t="shared" si="2"/>
        <v>84</v>
      </c>
      <c r="G6" s="157" t="s">
        <v>44</v>
      </c>
      <c r="H6" s="31"/>
      <c r="I6" s="31"/>
      <c r="J6" s="31"/>
      <c r="N6" s="24"/>
      <c r="T6" s="24"/>
      <c r="Z6" s="24"/>
    </row>
    <row r="7" spans="1:26">
      <c r="A7" s="31" t="s">
        <v>24</v>
      </c>
      <c r="B7" s="58">
        <v>34</v>
      </c>
      <c r="C7" s="58">
        <v>40</v>
      </c>
      <c r="D7" s="58">
        <v>25</v>
      </c>
      <c r="E7" s="199">
        <f t="shared" si="2"/>
        <v>99</v>
      </c>
      <c r="G7" s="66" t="s">
        <v>46</v>
      </c>
      <c r="H7" s="58">
        <f t="shared" ref="H7:J7" si="5">B10</f>
        <v>29</v>
      </c>
      <c r="I7" s="58">
        <f t="shared" si="5"/>
        <v>34</v>
      </c>
      <c r="J7" s="58">
        <f t="shared" si="5"/>
        <v>20</v>
      </c>
      <c r="N7" s="24"/>
      <c r="T7" s="24"/>
      <c r="Z7" s="24"/>
    </row>
    <row r="8" spans="1:26">
      <c r="A8" s="31" t="s">
        <v>52</v>
      </c>
      <c r="B8" s="58">
        <v>20</v>
      </c>
      <c r="C8" s="58">
        <v>21</v>
      </c>
      <c r="D8" s="58">
        <v>13</v>
      </c>
      <c r="E8" s="199">
        <f t="shared" si="2"/>
        <v>54</v>
      </c>
      <c r="G8" s="66" t="s">
        <v>51</v>
      </c>
      <c r="H8" s="58">
        <f t="shared" ref="H8:J8" si="6">B9</f>
        <v>22</v>
      </c>
      <c r="I8" s="58">
        <f t="shared" si="6"/>
        <v>31</v>
      </c>
      <c r="J8" s="58">
        <f t="shared" si="6"/>
        <v>21</v>
      </c>
      <c r="N8" s="24"/>
      <c r="T8" s="24"/>
      <c r="Z8" s="24"/>
    </row>
    <row r="9" spans="1:26">
      <c r="A9" s="31" t="s">
        <v>51</v>
      </c>
      <c r="B9" s="58">
        <v>22</v>
      </c>
      <c r="C9" s="58">
        <v>31</v>
      </c>
      <c r="D9" s="58">
        <v>21</v>
      </c>
      <c r="E9" s="199">
        <f t="shared" si="2"/>
        <v>74</v>
      </c>
      <c r="G9" s="66" t="s">
        <v>52</v>
      </c>
      <c r="H9" s="58">
        <f t="shared" ref="H9:J9" si="7">B8</f>
        <v>20</v>
      </c>
      <c r="I9" s="58">
        <f t="shared" si="7"/>
        <v>21</v>
      </c>
      <c r="J9" s="58">
        <f t="shared" si="7"/>
        <v>13</v>
      </c>
      <c r="N9" s="24"/>
      <c r="T9" s="24"/>
      <c r="Z9" s="24"/>
    </row>
    <row r="10" spans="1:26">
      <c r="A10" s="31" t="s">
        <v>46</v>
      </c>
      <c r="B10" s="58">
        <v>29</v>
      </c>
      <c r="C10" s="58">
        <v>34</v>
      </c>
      <c r="D10" s="58">
        <v>20</v>
      </c>
      <c r="E10" s="199">
        <f t="shared" si="2"/>
        <v>83</v>
      </c>
      <c r="G10" s="66" t="s">
        <v>53</v>
      </c>
      <c r="H10" s="58">
        <f t="shared" ref="H10:J10" si="8">B11</f>
        <v>33</v>
      </c>
      <c r="I10" s="58">
        <f t="shared" si="8"/>
        <v>45</v>
      </c>
      <c r="J10" s="58">
        <f t="shared" si="8"/>
        <v>27</v>
      </c>
      <c r="N10" s="24"/>
      <c r="T10" s="24"/>
      <c r="Z10" s="24"/>
    </row>
    <row r="11" spans="1:26">
      <c r="A11" s="31" t="s">
        <v>53</v>
      </c>
      <c r="B11" s="58">
        <v>33</v>
      </c>
      <c r="C11" s="58">
        <v>45</v>
      </c>
      <c r="D11" s="58">
        <v>27</v>
      </c>
      <c r="E11" s="199">
        <f t="shared" si="2"/>
        <v>105</v>
      </c>
      <c r="G11" s="157" t="s">
        <v>54</v>
      </c>
      <c r="H11" s="31"/>
      <c r="I11" s="31"/>
      <c r="J11" s="31"/>
      <c r="N11" s="24"/>
      <c r="T11" s="24"/>
      <c r="Z11" s="24"/>
    </row>
    <row r="12" spans="1:26">
      <c r="A12" s="31" t="s">
        <v>55</v>
      </c>
      <c r="B12" s="58">
        <v>20</v>
      </c>
      <c r="C12" s="58">
        <v>31</v>
      </c>
      <c r="D12" s="58">
        <v>24</v>
      </c>
      <c r="E12" s="199">
        <f t="shared" si="2"/>
        <v>75</v>
      </c>
      <c r="G12" s="66" t="s">
        <v>55</v>
      </c>
      <c r="H12" s="58">
        <f t="shared" ref="H12:J12" si="9">B12</f>
        <v>20</v>
      </c>
      <c r="I12" s="58">
        <f t="shared" si="9"/>
        <v>31</v>
      </c>
      <c r="J12" s="58">
        <f t="shared" si="9"/>
        <v>24</v>
      </c>
      <c r="N12" s="24"/>
      <c r="T12" s="24"/>
      <c r="Z12" s="24"/>
    </row>
    <row r="13" spans="1:26">
      <c r="A13" s="31" t="s">
        <v>57</v>
      </c>
      <c r="B13" s="58">
        <v>28</v>
      </c>
      <c r="C13" s="58">
        <v>36</v>
      </c>
      <c r="D13" s="58">
        <v>24</v>
      </c>
      <c r="E13" s="199">
        <f t="shared" si="2"/>
        <v>88</v>
      </c>
      <c r="G13" s="66" t="s">
        <v>57</v>
      </c>
      <c r="H13" s="58">
        <f t="shared" ref="H13:J13" si="10">B13</f>
        <v>28</v>
      </c>
      <c r="I13" s="58">
        <f t="shared" si="10"/>
        <v>36</v>
      </c>
      <c r="J13" s="58">
        <f t="shared" si="10"/>
        <v>24</v>
      </c>
      <c r="N13" s="24"/>
      <c r="T13" s="24"/>
      <c r="Z13" s="24"/>
    </row>
    <row r="14" spans="1:26">
      <c r="A14" s="31" t="s">
        <v>58</v>
      </c>
      <c r="B14" s="58">
        <v>9</v>
      </c>
      <c r="C14" s="58">
        <v>16</v>
      </c>
      <c r="D14" s="58">
        <v>9</v>
      </c>
      <c r="E14" s="199">
        <f t="shared" si="2"/>
        <v>34</v>
      </c>
      <c r="G14" s="66" t="s">
        <v>58</v>
      </c>
      <c r="H14" s="58">
        <f t="shared" ref="H14:J14" si="11">B14</f>
        <v>9</v>
      </c>
      <c r="I14" s="58">
        <f t="shared" si="11"/>
        <v>16</v>
      </c>
      <c r="J14" s="58">
        <f t="shared" si="11"/>
        <v>9</v>
      </c>
      <c r="N14" s="24"/>
      <c r="T14" s="24"/>
      <c r="Z14" s="24"/>
    </row>
    <row r="15" spans="1:26">
      <c r="B15" s="199">
        <f t="shared" ref="B15:D15" si="12">SUM(B4:B14)</f>
        <v>268</v>
      </c>
      <c r="C15" s="199">
        <f t="shared" si="12"/>
        <v>351</v>
      </c>
      <c r="D15" s="199">
        <f t="shared" si="12"/>
        <v>236</v>
      </c>
      <c r="E15" s="199">
        <f t="shared" si="2"/>
        <v>855</v>
      </c>
      <c r="G15" s="157" t="s">
        <v>59</v>
      </c>
      <c r="H15" s="24"/>
      <c r="N15" s="24"/>
      <c r="T15" s="24"/>
      <c r="Z15" s="24"/>
    </row>
    <row r="16" spans="1:26">
      <c r="B16" s="24"/>
      <c r="H16" s="24"/>
      <c r="N16" s="24"/>
      <c r="T16" s="24"/>
      <c r="Z16" s="24"/>
    </row>
    <row r="17" spans="1:29">
      <c r="B17" s="24"/>
      <c r="H17" s="24"/>
      <c r="N17" s="24"/>
      <c r="T17" s="24"/>
      <c r="Z17" s="24"/>
    </row>
    <row r="18" spans="1:29">
      <c r="B18" s="24"/>
      <c r="H18" s="24"/>
      <c r="N18" s="24"/>
      <c r="T18" s="24"/>
      <c r="Z18" s="24"/>
    </row>
    <row r="19" spans="1:29">
      <c r="B19" s="24"/>
      <c r="H19" s="24"/>
      <c r="N19" s="24"/>
      <c r="T19" s="24"/>
      <c r="Z19" s="24"/>
    </row>
    <row r="20" spans="1:29">
      <c r="B20" s="24"/>
      <c r="H20" s="24"/>
      <c r="N20" s="24"/>
      <c r="T20" s="24"/>
      <c r="Z20" s="24"/>
    </row>
    <row r="21" spans="1:29">
      <c r="B21" s="24"/>
      <c r="H21" s="24"/>
      <c r="N21" s="24"/>
      <c r="T21" s="24"/>
      <c r="Z21" s="24"/>
    </row>
    <row r="22" spans="1:29">
      <c r="B22" s="24"/>
      <c r="H22" s="24"/>
      <c r="N22" s="24"/>
      <c r="T22" s="24"/>
      <c r="Z22" s="24"/>
    </row>
    <row r="23" spans="1:29">
      <c r="B23" s="24"/>
      <c r="H23" s="24"/>
      <c r="N23" s="24"/>
      <c r="T23" s="24"/>
      <c r="Z23" s="24"/>
    </row>
    <row r="24" spans="1:29">
      <c r="B24" s="24"/>
      <c r="H24" s="24"/>
      <c r="N24" s="24"/>
      <c r="T24" s="24"/>
      <c r="Z24" s="24"/>
    </row>
    <row r="25" spans="1:29">
      <c r="B25" s="24" t="s">
        <v>183</v>
      </c>
      <c r="H25" s="24" t="s">
        <v>184</v>
      </c>
      <c r="N25" s="24" t="s">
        <v>185</v>
      </c>
      <c r="T25" s="24" t="s">
        <v>186</v>
      </c>
      <c r="Z25" s="24" t="s">
        <v>187</v>
      </c>
    </row>
    <row r="26" spans="1:29">
      <c r="B26" s="24" t="s">
        <v>101</v>
      </c>
      <c r="C26" s="24" t="s">
        <v>188</v>
      </c>
      <c r="D26" s="24" t="s">
        <v>88</v>
      </c>
      <c r="E26" s="24" t="s">
        <v>28</v>
      </c>
      <c r="H26" s="24" t="s">
        <v>189</v>
      </c>
      <c r="I26" s="24" t="s">
        <v>176</v>
      </c>
      <c r="J26" s="24" t="s">
        <v>177</v>
      </c>
      <c r="K26" s="24" t="s">
        <v>28</v>
      </c>
      <c r="N26" s="24" t="s">
        <v>190</v>
      </c>
      <c r="O26" s="24" t="s">
        <v>191</v>
      </c>
      <c r="P26" s="24" t="s">
        <v>192</v>
      </c>
      <c r="Q26" s="24" t="s">
        <v>28</v>
      </c>
      <c r="T26" s="24" t="s">
        <v>190</v>
      </c>
      <c r="U26" s="24" t="s">
        <v>191</v>
      </c>
      <c r="V26" s="24" t="s">
        <v>192</v>
      </c>
      <c r="W26" s="24" t="s">
        <v>28</v>
      </c>
      <c r="Z26" s="24" t="s">
        <v>190</v>
      </c>
      <c r="AA26" s="24" t="s">
        <v>191</v>
      </c>
      <c r="AB26" s="24" t="s">
        <v>192</v>
      </c>
      <c r="AC26" s="24" t="s">
        <v>28</v>
      </c>
    </row>
    <row r="27" spans="1:29">
      <c r="A27" s="31" t="s">
        <v>36</v>
      </c>
      <c r="B27" s="58">
        <v>37</v>
      </c>
      <c r="C27" s="58">
        <v>16</v>
      </c>
      <c r="D27" s="58">
        <v>115</v>
      </c>
      <c r="E27" s="199">
        <f t="shared" ref="E27:E38" si="13">SUM(B27:D27)</f>
        <v>168</v>
      </c>
      <c r="G27" s="31" t="s">
        <v>36</v>
      </c>
      <c r="H27" s="58">
        <v>2</v>
      </c>
      <c r="I27" s="58">
        <v>2</v>
      </c>
      <c r="J27" s="58">
        <v>2</v>
      </c>
      <c r="K27" s="199">
        <f t="shared" ref="K27:K38" si="14">SUM(H27:J27)</f>
        <v>6</v>
      </c>
      <c r="M27" s="31" t="s">
        <v>36</v>
      </c>
      <c r="N27" s="58">
        <v>4</v>
      </c>
      <c r="O27" s="58">
        <v>1</v>
      </c>
      <c r="P27" s="58">
        <v>9</v>
      </c>
      <c r="Q27" s="199">
        <f t="shared" ref="Q27:Q38" si="15">SUM(N27:P27)</f>
        <v>14</v>
      </c>
      <c r="S27" s="31" t="s">
        <v>36</v>
      </c>
      <c r="T27" s="58">
        <v>13</v>
      </c>
      <c r="U27" s="58">
        <v>2</v>
      </c>
      <c r="V27" s="58">
        <v>15</v>
      </c>
      <c r="W27" s="199">
        <f t="shared" ref="W27:W38" si="16">SUM(T27:V27)</f>
        <v>30</v>
      </c>
      <c r="Y27" s="31" t="s">
        <v>36</v>
      </c>
      <c r="Z27" s="58">
        <v>1</v>
      </c>
      <c r="AA27" s="58"/>
      <c r="AB27" s="58">
        <v>2</v>
      </c>
      <c r="AC27" s="199">
        <f t="shared" ref="AC27:AC38" si="17">SUM(Z27:AB27)</f>
        <v>3</v>
      </c>
    </row>
    <row r="28" spans="1:29">
      <c r="A28" s="31" t="s">
        <v>40</v>
      </c>
      <c r="B28" s="58">
        <v>26</v>
      </c>
      <c r="C28" s="58">
        <v>13</v>
      </c>
      <c r="D28" s="58">
        <v>79</v>
      </c>
      <c r="E28" s="199">
        <f t="shared" si="13"/>
        <v>118</v>
      </c>
      <c r="G28" s="31" t="s">
        <v>40</v>
      </c>
      <c r="H28" s="58">
        <v>1</v>
      </c>
      <c r="I28" s="58">
        <v>1</v>
      </c>
      <c r="J28" s="58">
        <v>2</v>
      </c>
      <c r="K28" s="199">
        <f t="shared" si="14"/>
        <v>4</v>
      </c>
      <c r="M28" s="31" t="s">
        <v>40</v>
      </c>
      <c r="N28" s="58">
        <v>3</v>
      </c>
      <c r="O28" s="58">
        <v>1</v>
      </c>
      <c r="P28" s="58">
        <v>5</v>
      </c>
      <c r="Q28" s="199">
        <f t="shared" si="15"/>
        <v>9</v>
      </c>
      <c r="S28" s="31" t="s">
        <v>40</v>
      </c>
      <c r="T28" s="58">
        <v>10</v>
      </c>
      <c r="U28" s="58">
        <v>1</v>
      </c>
      <c r="V28" s="58">
        <v>7</v>
      </c>
      <c r="W28" s="199">
        <f t="shared" si="16"/>
        <v>18</v>
      </c>
      <c r="Y28" s="31" t="s">
        <v>40</v>
      </c>
      <c r="Z28" s="58">
        <v>7</v>
      </c>
      <c r="AA28" s="58"/>
      <c r="AB28" s="58">
        <v>1</v>
      </c>
      <c r="AC28" s="199">
        <f t="shared" si="17"/>
        <v>8</v>
      </c>
    </row>
    <row r="29" spans="1:29">
      <c r="A29" s="31" t="s">
        <v>41</v>
      </c>
      <c r="B29" s="58">
        <v>35</v>
      </c>
      <c r="C29" s="58">
        <v>17</v>
      </c>
      <c r="D29" s="58">
        <v>96</v>
      </c>
      <c r="E29" s="199">
        <f t="shared" si="13"/>
        <v>148</v>
      </c>
      <c r="G29" s="31" t="s">
        <v>41</v>
      </c>
      <c r="H29" s="58">
        <v>2</v>
      </c>
      <c r="I29" s="58">
        <v>1</v>
      </c>
      <c r="J29" s="58">
        <v>2</v>
      </c>
      <c r="K29" s="199">
        <f t="shared" si="14"/>
        <v>5</v>
      </c>
      <c r="M29" s="31" t="s">
        <v>41</v>
      </c>
      <c r="N29" s="58">
        <v>4</v>
      </c>
      <c r="O29" s="58">
        <v>1</v>
      </c>
      <c r="P29" s="58">
        <v>7</v>
      </c>
      <c r="Q29" s="199">
        <f t="shared" si="15"/>
        <v>12</v>
      </c>
      <c r="S29" s="31" t="s">
        <v>41</v>
      </c>
      <c r="T29" s="58">
        <v>10</v>
      </c>
      <c r="U29" s="58">
        <v>2</v>
      </c>
      <c r="V29" s="58">
        <v>7</v>
      </c>
      <c r="W29" s="199">
        <f t="shared" si="16"/>
        <v>19</v>
      </c>
      <c r="Y29" s="31" t="s">
        <v>41</v>
      </c>
      <c r="Z29" s="58">
        <v>1</v>
      </c>
      <c r="AA29" s="58"/>
      <c r="AB29" s="58"/>
      <c r="AC29" s="199">
        <f t="shared" si="17"/>
        <v>1</v>
      </c>
    </row>
    <row r="30" spans="1:29">
      <c r="A30" s="31" t="s">
        <v>24</v>
      </c>
      <c r="B30" s="58">
        <v>42</v>
      </c>
      <c r="C30" s="58">
        <v>21</v>
      </c>
      <c r="D30" s="58">
        <v>120</v>
      </c>
      <c r="E30" s="199">
        <f t="shared" si="13"/>
        <v>183</v>
      </c>
      <c r="G30" s="31" t="s">
        <v>24</v>
      </c>
      <c r="H30" s="58">
        <v>1</v>
      </c>
      <c r="I30" s="58">
        <v>2</v>
      </c>
      <c r="J30" s="58">
        <v>3</v>
      </c>
      <c r="K30" s="199">
        <f t="shared" si="14"/>
        <v>6</v>
      </c>
      <c r="M30" s="31" t="s">
        <v>24</v>
      </c>
      <c r="N30" s="58">
        <v>5</v>
      </c>
      <c r="O30" s="58">
        <v>1</v>
      </c>
      <c r="P30" s="58">
        <v>9</v>
      </c>
      <c r="Q30" s="199">
        <f t="shared" si="15"/>
        <v>15</v>
      </c>
      <c r="S30" s="31" t="s">
        <v>24</v>
      </c>
      <c r="T30" s="58">
        <v>8</v>
      </c>
      <c r="U30" s="58">
        <v>1</v>
      </c>
      <c r="V30" s="58">
        <v>12</v>
      </c>
      <c r="W30" s="199">
        <f t="shared" si="16"/>
        <v>21</v>
      </c>
      <c r="Y30" s="31" t="s">
        <v>24</v>
      </c>
      <c r="Z30" s="58"/>
      <c r="AA30" s="58">
        <v>1</v>
      </c>
      <c r="AB30" s="58">
        <v>4</v>
      </c>
      <c r="AC30" s="199">
        <f t="shared" si="17"/>
        <v>5</v>
      </c>
    </row>
    <row r="31" spans="1:29">
      <c r="A31" s="31" t="s">
        <v>52</v>
      </c>
      <c r="B31" s="58">
        <v>26</v>
      </c>
      <c r="C31" s="58">
        <v>11</v>
      </c>
      <c r="D31" s="58">
        <v>70</v>
      </c>
      <c r="E31" s="199">
        <f t="shared" si="13"/>
        <v>107</v>
      </c>
      <c r="G31" s="31" t="s">
        <v>52</v>
      </c>
      <c r="H31" s="58">
        <v>1</v>
      </c>
      <c r="I31" s="58">
        <v>1</v>
      </c>
      <c r="J31" s="58">
        <v>2</v>
      </c>
      <c r="K31" s="199">
        <f t="shared" si="14"/>
        <v>4</v>
      </c>
      <c r="M31" s="31" t="s">
        <v>52</v>
      </c>
      <c r="N31" s="58">
        <v>3</v>
      </c>
      <c r="O31" s="58">
        <v>1</v>
      </c>
      <c r="P31" s="58">
        <v>7</v>
      </c>
      <c r="Q31" s="199">
        <f t="shared" si="15"/>
        <v>11</v>
      </c>
      <c r="S31" s="31" t="s">
        <v>52</v>
      </c>
      <c r="T31" s="58">
        <v>7</v>
      </c>
      <c r="U31" s="58">
        <v>2</v>
      </c>
      <c r="V31" s="58">
        <v>7</v>
      </c>
      <c r="W31" s="199">
        <f t="shared" si="16"/>
        <v>16</v>
      </c>
      <c r="Y31" s="31" t="s">
        <v>52</v>
      </c>
      <c r="Z31" s="58">
        <v>1</v>
      </c>
      <c r="AA31" s="58"/>
      <c r="AB31" s="58">
        <v>1</v>
      </c>
      <c r="AC31" s="199">
        <f t="shared" si="17"/>
        <v>2</v>
      </c>
    </row>
    <row r="32" spans="1:29">
      <c r="A32" s="31" t="s">
        <v>51</v>
      </c>
      <c r="B32" s="58">
        <v>31</v>
      </c>
      <c r="C32" s="58">
        <v>14</v>
      </c>
      <c r="D32" s="58">
        <v>82</v>
      </c>
      <c r="E32" s="199">
        <f t="shared" si="13"/>
        <v>127</v>
      </c>
      <c r="G32" s="31" t="s">
        <v>51</v>
      </c>
      <c r="H32" s="58">
        <v>1</v>
      </c>
      <c r="I32" s="58">
        <v>1</v>
      </c>
      <c r="J32" s="58">
        <v>3</v>
      </c>
      <c r="K32" s="199">
        <f t="shared" si="14"/>
        <v>5</v>
      </c>
      <c r="M32" s="31" t="s">
        <v>51</v>
      </c>
      <c r="N32" s="58">
        <v>4</v>
      </c>
      <c r="O32" s="58">
        <v>1</v>
      </c>
      <c r="P32" s="58">
        <v>8</v>
      </c>
      <c r="Q32" s="199">
        <f t="shared" si="15"/>
        <v>13</v>
      </c>
      <c r="S32" s="31" t="s">
        <v>51</v>
      </c>
      <c r="T32" s="58">
        <v>7</v>
      </c>
      <c r="U32" s="58">
        <v>0</v>
      </c>
      <c r="V32" s="58">
        <v>5</v>
      </c>
      <c r="W32" s="199">
        <f t="shared" si="16"/>
        <v>12</v>
      </c>
      <c r="Y32" s="31" t="s">
        <v>51</v>
      </c>
      <c r="Z32" s="58">
        <v>1</v>
      </c>
      <c r="AA32" s="58"/>
      <c r="AB32" s="58">
        <v>1</v>
      </c>
      <c r="AC32" s="199">
        <f t="shared" si="17"/>
        <v>2</v>
      </c>
    </row>
    <row r="33" spans="1:29">
      <c r="A33" s="31" t="s">
        <v>46</v>
      </c>
      <c r="B33" s="58">
        <v>34</v>
      </c>
      <c r="C33" s="58">
        <v>16</v>
      </c>
      <c r="D33" s="58">
        <v>89</v>
      </c>
      <c r="E33" s="199">
        <f t="shared" si="13"/>
        <v>139</v>
      </c>
      <c r="G33" s="31" t="s">
        <v>46</v>
      </c>
      <c r="H33" s="58">
        <v>2</v>
      </c>
      <c r="I33" s="58">
        <v>1</v>
      </c>
      <c r="J33" s="58">
        <v>2</v>
      </c>
      <c r="K33" s="199">
        <f t="shared" si="14"/>
        <v>5</v>
      </c>
      <c r="M33" s="31" t="s">
        <v>46</v>
      </c>
      <c r="N33" s="58">
        <v>5</v>
      </c>
      <c r="O33" s="58">
        <v>1</v>
      </c>
      <c r="P33" s="58">
        <v>8</v>
      </c>
      <c r="Q33" s="199">
        <f t="shared" si="15"/>
        <v>14</v>
      </c>
      <c r="S33" s="31" t="s">
        <v>46</v>
      </c>
      <c r="T33" s="58">
        <v>5</v>
      </c>
      <c r="U33" s="58">
        <v>1</v>
      </c>
      <c r="V33" s="58">
        <v>9</v>
      </c>
      <c r="W33" s="199">
        <f t="shared" si="16"/>
        <v>15</v>
      </c>
      <c r="Y33" s="31" t="s">
        <v>46</v>
      </c>
      <c r="Z33" s="58">
        <v>2</v>
      </c>
      <c r="AA33" s="58"/>
      <c r="AB33" s="58">
        <v>4</v>
      </c>
      <c r="AC33" s="199">
        <f t="shared" si="17"/>
        <v>6</v>
      </c>
    </row>
    <row r="34" spans="1:29">
      <c r="A34" s="31" t="s">
        <v>53</v>
      </c>
      <c r="B34" s="58">
        <v>45</v>
      </c>
      <c r="C34" s="58">
        <v>21</v>
      </c>
      <c r="D34" s="58">
        <v>120</v>
      </c>
      <c r="E34" s="199">
        <f t="shared" si="13"/>
        <v>186</v>
      </c>
      <c r="G34" s="31" t="s">
        <v>53</v>
      </c>
      <c r="H34" s="58">
        <v>2</v>
      </c>
      <c r="I34" s="58">
        <v>2</v>
      </c>
      <c r="J34" s="58">
        <v>4</v>
      </c>
      <c r="K34" s="199">
        <f t="shared" si="14"/>
        <v>8</v>
      </c>
      <c r="M34" s="31" t="s">
        <v>53</v>
      </c>
      <c r="N34" s="58">
        <v>5</v>
      </c>
      <c r="O34" s="58">
        <v>2</v>
      </c>
      <c r="P34" s="58">
        <v>11</v>
      </c>
      <c r="Q34" s="199">
        <f t="shared" si="15"/>
        <v>18</v>
      </c>
      <c r="S34" s="31" t="s">
        <v>53</v>
      </c>
      <c r="T34" s="58">
        <v>15</v>
      </c>
      <c r="U34" s="58">
        <v>2</v>
      </c>
      <c r="V34" s="58">
        <v>13</v>
      </c>
      <c r="W34" s="199">
        <f t="shared" si="16"/>
        <v>30</v>
      </c>
      <c r="Y34" s="31" t="s">
        <v>53</v>
      </c>
      <c r="Z34" s="58">
        <v>2</v>
      </c>
      <c r="AA34" s="58"/>
      <c r="AB34" s="58">
        <v>5</v>
      </c>
      <c r="AC34" s="199">
        <f t="shared" si="17"/>
        <v>7</v>
      </c>
    </row>
    <row r="35" spans="1:29">
      <c r="A35" s="31" t="s">
        <v>55</v>
      </c>
      <c r="B35" s="58">
        <v>30</v>
      </c>
      <c r="C35" s="58">
        <v>14</v>
      </c>
      <c r="D35" s="58">
        <v>82</v>
      </c>
      <c r="E35" s="199">
        <f t="shared" si="13"/>
        <v>126</v>
      </c>
      <c r="G35" s="31" t="s">
        <v>55</v>
      </c>
      <c r="H35" s="58">
        <v>1</v>
      </c>
      <c r="I35" s="58">
        <v>1</v>
      </c>
      <c r="J35" s="58">
        <v>3</v>
      </c>
      <c r="K35" s="199">
        <f t="shared" si="14"/>
        <v>5</v>
      </c>
      <c r="M35" s="31" t="s">
        <v>55</v>
      </c>
      <c r="N35" s="58">
        <v>3</v>
      </c>
      <c r="O35" s="58">
        <v>1</v>
      </c>
      <c r="P35" s="58">
        <v>7</v>
      </c>
      <c r="Q35" s="199">
        <f t="shared" si="15"/>
        <v>11</v>
      </c>
      <c r="S35" s="31" t="s">
        <v>55</v>
      </c>
      <c r="T35" s="58">
        <v>13</v>
      </c>
      <c r="U35" s="58">
        <v>0</v>
      </c>
      <c r="V35" s="58">
        <v>7</v>
      </c>
      <c r="W35" s="199">
        <f t="shared" si="16"/>
        <v>20</v>
      </c>
      <c r="Y35" s="31" t="s">
        <v>55</v>
      </c>
      <c r="Z35" s="58">
        <v>2</v>
      </c>
      <c r="AA35" s="58"/>
      <c r="AB35" s="58">
        <v>1</v>
      </c>
      <c r="AC35" s="199">
        <f t="shared" si="17"/>
        <v>3</v>
      </c>
    </row>
    <row r="36" spans="1:29">
      <c r="A36" s="31" t="s">
        <v>57</v>
      </c>
      <c r="B36" s="58">
        <v>36</v>
      </c>
      <c r="C36" s="58">
        <v>16</v>
      </c>
      <c r="D36" s="58">
        <v>97</v>
      </c>
      <c r="E36" s="199">
        <f t="shared" si="13"/>
        <v>149</v>
      </c>
      <c r="G36" s="31" t="s">
        <v>57</v>
      </c>
      <c r="H36" s="58">
        <v>2</v>
      </c>
      <c r="I36" s="58">
        <v>1</v>
      </c>
      <c r="J36" s="58">
        <v>2</v>
      </c>
      <c r="K36" s="199">
        <f t="shared" si="14"/>
        <v>5</v>
      </c>
      <c r="M36" s="31" t="s">
        <v>57</v>
      </c>
      <c r="N36" s="58">
        <v>4</v>
      </c>
      <c r="O36" s="58">
        <v>1</v>
      </c>
      <c r="P36" s="58">
        <v>8</v>
      </c>
      <c r="Q36" s="199">
        <f t="shared" si="15"/>
        <v>13</v>
      </c>
      <c r="S36" s="31" t="s">
        <v>57</v>
      </c>
      <c r="T36" s="58">
        <v>8</v>
      </c>
      <c r="U36" s="58">
        <v>4</v>
      </c>
      <c r="V36" s="58">
        <v>9</v>
      </c>
      <c r="W36" s="199">
        <f t="shared" si="16"/>
        <v>21</v>
      </c>
      <c r="Y36" s="31" t="s">
        <v>57</v>
      </c>
      <c r="Z36" s="58">
        <v>2</v>
      </c>
      <c r="AA36" s="58"/>
      <c r="AB36" s="58">
        <v>2</v>
      </c>
      <c r="AC36" s="199">
        <f t="shared" si="17"/>
        <v>4</v>
      </c>
    </row>
    <row r="37" spans="1:29">
      <c r="A37" s="31" t="s">
        <v>58</v>
      </c>
      <c r="B37" s="58">
        <v>13</v>
      </c>
      <c r="C37" s="58">
        <v>6</v>
      </c>
      <c r="D37" s="58">
        <v>36</v>
      </c>
      <c r="E37" s="199">
        <f t="shared" si="13"/>
        <v>55</v>
      </c>
      <c r="G37" s="31" t="s">
        <v>58</v>
      </c>
      <c r="H37" s="58">
        <v>1</v>
      </c>
      <c r="I37" s="58">
        <v>0</v>
      </c>
      <c r="J37" s="58">
        <v>1</v>
      </c>
      <c r="K37" s="199">
        <f t="shared" si="14"/>
        <v>2</v>
      </c>
      <c r="M37" s="31" t="s">
        <v>58</v>
      </c>
      <c r="N37" s="58">
        <v>2</v>
      </c>
      <c r="O37" s="58">
        <v>0</v>
      </c>
      <c r="P37" s="58">
        <v>3</v>
      </c>
      <c r="Q37" s="199">
        <f t="shared" si="15"/>
        <v>5</v>
      </c>
      <c r="S37" s="31" t="s">
        <v>58</v>
      </c>
      <c r="T37" s="58">
        <v>2</v>
      </c>
      <c r="U37" s="58">
        <v>1</v>
      </c>
      <c r="V37" s="58">
        <v>2</v>
      </c>
      <c r="W37" s="199">
        <f t="shared" si="16"/>
        <v>5</v>
      </c>
      <c r="Y37" s="31" t="s">
        <v>58</v>
      </c>
      <c r="Z37" s="58">
        <v>1</v>
      </c>
      <c r="AA37" s="58"/>
      <c r="AB37" s="58"/>
      <c r="AC37" s="199">
        <f t="shared" si="17"/>
        <v>1</v>
      </c>
    </row>
    <row r="38" spans="1:29">
      <c r="B38" s="199">
        <f t="shared" ref="B38:D38" si="18">SUM(B27:B37)</f>
        <v>355</v>
      </c>
      <c r="C38" s="199">
        <f t="shared" si="18"/>
        <v>165</v>
      </c>
      <c r="D38" s="199">
        <f t="shared" si="18"/>
        <v>986</v>
      </c>
      <c r="E38" s="199">
        <f t="shared" si="13"/>
        <v>1506</v>
      </c>
      <c r="H38" s="199">
        <f t="shared" ref="H38:J38" si="19">SUM(H27:H37)</f>
        <v>16</v>
      </c>
      <c r="I38" s="199">
        <f t="shared" si="19"/>
        <v>13</v>
      </c>
      <c r="J38" s="199">
        <f t="shared" si="19"/>
        <v>26</v>
      </c>
      <c r="K38" s="199">
        <f t="shared" si="14"/>
        <v>55</v>
      </c>
      <c r="N38" s="199">
        <f t="shared" ref="N38:P38" si="20">SUM(N27:N37)</f>
        <v>42</v>
      </c>
      <c r="O38" s="199">
        <f t="shared" si="20"/>
        <v>11</v>
      </c>
      <c r="P38" s="199">
        <f t="shared" si="20"/>
        <v>82</v>
      </c>
      <c r="Q38" s="199">
        <f t="shared" si="15"/>
        <v>135</v>
      </c>
      <c r="T38" s="199">
        <f t="shared" ref="T38:V38" si="21">SUM(T27:T37)</f>
        <v>98</v>
      </c>
      <c r="U38" s="199">
        <f t="shared" si="21"/>
        <v>16</v>
      </c>
      <c r="V38" s="199">
        <f t="shared" si="21"/>
        <v>93</v>
      </c>
      <c r="W38" s="199">
        <f t="shared" si="16"/>
        <v>207</v>
      </c>
      <c r="Z38" s="199">
        <f t="shared" ref="Z38:AB38" si="22">SUM(Z27:Z37)</f>
        <v>20</v>
      </c>
      <c r="AA38" s="199">
        <f t="shared" si="22"/>
        <v>1</v>
      </c>
      <c r="AB38" s="199">
        <f t="shared" si="22"/>
        <v>21</v>
      </c>
      <c r="AC38" s="199">
        <f t="shared" si="17"/>
        <v>42</v>
      </c>
    </row>
    <row r="39" spans="1:29">
      <c r="B39" s="58"/>
      <c r="C39" s="58"/>
      <c r="D39" s="58"/>
      <c r="E39" s="58"/>
      <c r="H39" s="58"/>
      <c r="I39" s="58"/>
      <c r="J39" s="58"/>
      <c r="K39" s="58"/>
    </row>
    <row r="40" spans="1:29">
      <c r="B40" s="58"/>
      <c r="C40" s="58"/>
      <c r="D40" s="58"/>
      <c r="E40" s="58"/>
    </row>
    <row r="41" spans="1:29">
      <c r="B41" s="58"/>
      <c r="C41" s="58"/>
      <c r="D41" s="58"/>
      <c r="E41" s="58"/>
      <c r="T41" s="31" t="s">
        <v>109</v>
      </c>
      <c r="U41" s="31" t="s">
        <v>168</v>
      </c>
      <c r="V41" s="31" t="s">
        <v>81</v>
      </c>
      <c r="W41" s="31" t="s">
        <v>77</v>
      </c>
      <c r="X41" s="31" t="s">
        <v>14</v>
      </c>
    </row>
    <row r="42" spans="1:29">
      <c r="B42" s="58"/>
      <c r="C42" s="58"/>
      <c r="D42" s="58"/>
      <c r="E42" s="58"/>
    </row>
    <row r="43" spans="1:29" ht="15.75" customHeight="1">
      <c r="B43" s="58"/>
      <c r="C43" s="58"/>
      <c r="D43" s="58"/>
      <c r="E43" s="58"/>
      <c r="S43" s="32" t="s">
        <v>24</v>
      </c>
      <c r="T43" s="31">
        <v>6</v>
      </c>
      <c r="U43" s="31">
        <v>2</v>
      </c>
      <c r="V43" s="31">
        <v>1</v>
      </c>
      <c r="X43" s="31">
        <f t="shared" ref="X43:X46" si="23">SUM(T43:W43)</f>
        <v>9</v>
      </c>
      <c r="Y43" s="58">
        <f>AC30</f>
        <v>5</v>
      </c>
      <c r="Z43" s="58">
        <f t="shared" ref="Z43:Z46" si="24">X43-Y43</f>
        <v>4</v>
      </c>
    </row>
    <row r="44" spans="1:29" ht="15.75" customHeight="1">
      <c r="B44" s="58"/>
      <c r="C44" s="58"/>
      <c r="D44" s="58"/>
      <c r="E44" s="58"/>
      <c r="S44" s="32" t="s">
        <v>36</v>
      </c>
      <c r="T44" s="31">
        <v>5</v>
      </c>
      <c r="U44" s="31">
        <v>2</v>
      </c>
      <c r="V44" s="31">
        <v>1</v>
      </c>
      <c r="X44" s="31">
        <f t="shared" si="23"/>
        <v>8</v>
      </c>
      <c r="Y44" s="58">
        <f t="shared" ref="Y44:Y46" si="25">AC27</f>
        <v>3</v>
      </c>
      <c r="Z44" s="58">
        <f t="shared" si="24"/>
        <v>5</v>
      </c>
    </row>
    <row r="45" spans="1:29" ht="15.75" customHeight="1">
      <c r="B45" s="58"/>
      <c r="C45" s="58"/>
      <c r="D45" s="58"/>
      <c r="E45" s="58"/>
      <c r="S45" s="32" t="s">
        <v>40</v>
      </c>
      <c r="T45" s="31">
        <v>3</v>
      </c>
      <c r="U45" s="31">
        <v>2</v>
      </c>
      <c r="V45" s="31">
        <v>1</v>
      </c>
      <c r="X45" s="31">
        <f t="shared" si="23"/>
        <v>6</v>
      </c>
      <c r="Y45" s="58">
        <f t="shared" si="25"/>
        <v>8</v>
      </c>
      <c r="Z45" s="58">
        <f t="shared" si="24"/>
        <v>-2</v>
      </c>
    </row>
    <row r="46" spans="1:29" ht="15.75" customHeight="1">
      <c r="B46" s="58"/>
      <c r="C46" s="58"/>
      <c r="D46" s="58"/>
      <c r="E46" s="58"/>
      <c r="S46" s="32" t="s">
        <v>41</v>
      </c>
      <c r="T46" s="31">
        <v>4</v>
      </c>
      <c r="U46" s="31">
        <v>2</v>
      </c>
      <c r="V46" s="31">
        <v>1</v>
      </c>
      <c r="X46" s="31">
        <f t="shared" si="23"/>
        <v>7</v>
      </c>
      <c r="Y46" s="58">
        <f t="shared" si="25"/>
        <v>1</v>
      </c>
      <c r="Z46" s="58">
        <f t="shared" si="24"/>
        <v>6</v>
      </c>
    </row>
    <row r="47" spans="1:29" ht="15.75" customHeight="1">
      <c r="B47" s="58"/>
      <c r="C47" s="58"/>
      <c r="D47" s="58"/>
      <c r="E47" s="58"/>
      <c r="S47" s="35" t="s">
        <v>44</v>
      </c>
    </row>
    <row r="48" spans="1:29" ht="15.75" customHeight="1">
      <c r="B48" s="58"/>
      <c r="C48" s="58"/>
      <c r="D48" s="58"/>
      <c r="E48" s="58"/>
      <c r="S48" s="32" t="s">
        <v>46</v>
      </c>
      <c r="T48" s="31">
        <v>5</v>
      </c>
      <c r="U48" s="31">
        <v>2</v>
      </c>
      <c r="V48" s="31">
        <v>1</v>
      </c>
      <c r="X48" s="31">
        <f t="shared" ref="X48:X51" si="26">SUM(T48:W48)</f>
        <v>8</v>
      </c>
      <c r="Y48" s="58">
        <f>AC33</f>
        <v>6</v>
      </c>
      <c r="Z48" s="58">
        <f t="shared" ref="Z48:Z51" si="27">X48-Y48</f>
        <v>2</v>
      </c>
    </row>
    <row r="49" spans="1:26" ht="15.75" customHeight="1">
      <c r="B49" s="58"/>
      <c r="C49" s="58"/>
      <c r="D49" s="58"/>
      <c r="E49" s="58"/>
      <c r="S49" s="32" t="s">
        <v>51</v>
      </c>
      <c r="T49" s="31">
        <v>5</v>
      </c>
      <c r="U49" s="31">
        <v>2</v>
      </c>
      <c r="V49" s="31">
        <v>1</v>
      </c>
      <c r="X49" s="31">
        <f t="shared" si="26"/>
        <v>8</v>
      </c>
      <c r="Y49" s="58">
        <f>AC32</f>
        <v>2</v>
      </c>
      <c r="Z49" s="58">
        <f t="shared" si="27"/>
        <v>6</v>
      </c>
    </row>
    <row r="50" spans="1:26" ht="15.75" customHeight="1">
      <c r="B50" s="58"/>
      <c r="C50" s="58"/>
      <c r="D50" s="58"/>
      <c r="E50" s="58"/>
      <c r="S50" s="32" t="s">
        <v>52</v>
      </c>
      <c r="T50" s="31">
        <v>4</v>
      </c>
      <c r="U50" s="31">
        <v>1</v>
      </c>
      <c r="V50" s="31">
        <v>1</v>
      </c>
      <c r="X50" s="31">
        <f t="shared" si="26"/>
        <v>6</v>
      </c>
      <c r="Y50" s="58">
        <f>AC31</f>
        <v>2</v>
      </c>
      <c r="Z50" s="58">
        <f t="shared" si="27"/>
        <v>4</v>
      </c>
    </row>
    <row r="51" spans="1:26" ht="15.75" customHeight="1">
      <c r="B51" s="58"/>
      <c r="C51" s="58"/>
      <c r="D51" s="58"/>
      <c r="E51" s="58"/>
      <c r="S51" s="32" t="s">
        <v>53</v>
      </c>
      <c r="T51" s="31">
        <v>7</v>
      </c>
      <c r="U51" s="31">
        <v>2</v>
      </c>
      <c r="V51" s="31">
        <v>2</v>
      </c>
      <c r="X51" s="31">
        <f t="shared" si="26"/>
        <v>11</v>
      </c>
      <c r="Y51" s="58">
        <f>AC34</f>
        <v>7</v>
      </c>
      <c r="Z51" s="58">
        <f t="shared" si="27"/>
        <v>4</v>
      </c>
    </row>
    <row r="52" spans="1:26" ht="15.75" customHeight="1">
      <c r="B52" s="58"/>
      <c r="C52" s="58"/>
      <c r="D52" s="58"/>
      <c r="E52" s="58"/>
      <c r="S52" s="35" t="s">
        <v>54</v>
      </c>
    </row>
    <row r="53" spans="1:26" ht="15.75" customHeight="1">
      <c r="B53" s="58"/>
      <c r="C53" s="58"/>
      <c r="D53" s="58"/>
      <c r="E53" s="58"/>
      <c r="S53" s="32" t="s">
        <v>55</v>
      </c>
      <c r="T53" s="31">
        <v>4</v>
      </c>
      <c r="U53" s="31">
        <v>2</v>
      </c>
      <c r="V53" s="31">
        <v>1</v>
      </c>
      <c r="X53" s="31">
        <f t="shared" ref="X53:X55" si="28">SUM(T53:W53)</f>
        <v>7</v>
      </c>
      <c r="Y53" s="58">
        <f t="shared" ref="Y53:Y55" si="29">AC35</f>
        <v>3</v>
      </c>
      <c r="Z53" s="58">
        <f t="shared" ref="Z53:Z55" si="30">X53-Y53</f>
        <v>4</v>
      </c>
    </row>
    <row r="54" spans="1:26" ht="15.75" customHeight="1">
      <c r="B54" s="24" t="s">
        <v>183</v>
      </c>
      <c r="S54" s="32" t="s">
        <v>57</v>
      </c>
      <c r="T54" s="31">
        <f>5</f>
        <v>5</v>
      </c>
      <c r="U54" s="31">
        <v>2</v>
      </c>
      <c r="V54" s="31">
        <v>1</v>
      </c>
      <c r="X54" s="31">
        <f t="shared" si="28"/>
        <v>8</v>
      </c>
      <c r="Y54" s="58">
        <f t="shared" si="29"/>
        <v>4</v>
      </c>
      <c r="Z54" s="58">
        <f t="shared" si="30"/>
        <v>4</v>
      </c>
    </row>
    <row r="55" spans="1:26" ht="15.75" customHeight="1">
      <c r="B55" s="24" t="s">
        <v>189</v>
      </c>
      <c r="C55" s="24" t="s">
        <v>176</v>
      </c>
      <c r="D55" s="24" t="s">
        <v>177</v>
      </c>
      <c r="E55" s="24" t="s">
        <v>28</v>
      </c>
      <c r="S55" s="32" t="s">
        <v>58</v>
      </c>
      <c r="T55" s="31">
        <v>2</v>
      </c>
      <c r="U55" s="31">
        <v>0</v>
      </c>
      <c r="V55" s="31">
        <v>1</v>
      </c>
      <c r="X55" s="31">
        <f t="shared" si="28"/>
        <v>3</v>
      </c>
      <c r="Y55" s="58">
        <f t="shared" si="29"/>
        <v>1</v>
      </c>
      <c r="Z55" s="58">
        <f t="shared" si="30"/>
        <v>2</v>
      </c>
    </row>
    <row r="56" spans="1:26" ht="15.75" customHeight="1">
      <c r="A56" s="31" t="s">
        <v>36</v>
      </c>
      <c r="B56" s="58">
        <v>32</v>
      </c>
      <c r="C56" s="58">
        <v>37</v>
      </c>
      <c r="D56" s="58">
        <v>60</v>
      </c>
      <c r="E56" s="199">
        <f t="shared" ref="E56:E67" si="31">SUM(B56:D56)</f>
        <v>129</v>
      </c>
      <c r="S56" s="35" t="s">
        <v>59</v>
      </c>
    </row>
    <row r="57" spans="1:26">
      <c r="A57" s="31" t="s">
        <v>40</v>
      </c>
      <c r="B57" s="58">
        <v>21</v>
      </c>
      <c r="C57" s="58">
        <v>28</v>
      </c>
      <c r="D57" s="58">
        <v>42</v>
      </c>
      <c r="E57" s="199">
        <f t="shared" si="31"/>
        <v>91</v>
      </c>
    </row>
    <row r="58" spans="1:26">
      <c r="A58" s="31" t="s">
        <v>41</v>
      </c>
      <c r="B58" s="58">
        <v>29</v>
      </c>
      <c r="C58" s="58">
        <v>34</v>
      </c>
      <c r="D58" s="58">
        <v>56</v>
      </c>
      <c r="E58" s="199">
        <f t="shared" si="31"/>
        <v>119</v>
      </c>
    </row>
    <row r="59" spans="1:26">
      <c r="A59" s="31" t="s">
        <v>24</v>
      </c>
      <c r="B59" s="58">
        <v>36</v>
      </c>
      <c r="C59" s="58">
        <v>42</v>
      </c>
      <c r="D59" s="58">
        <v>68</v>
      </c>
      <c r="E59" s="199">
        <f t="shared" si="31"/>
        <v>146</v>
      </c>
    </row>
    <row r="60" spans="1:26">
      <c r="A60" s="31" t="s">
        <v>52</v>
      </c>
      <c r="B60" s="58">
        <v>19</v>
      </c>
      <c r="C60" s="58">
        <v>24</v>
      </c>
      <c r="D60" s="58">
        <v>36</v>
      </c>
      <c r="E60" s="199">
        <f t="shared" si="31"/>
        <v>79</v>
      </c>
    </row>
    <row r="61" spans="1:26">
      <c r="A61" s="31" t="s">
        <v>51</v>
      </c>
      <c r="B61" s="58">
        <v>26</v>
      </c>
      <c r="C61" s="58">
        <v>29</v>
      </c>
      <c r="D61" s="58">
        <v>48</v>
      </c>
      <c r="E61" s="199">
        <f t="shared" si="31"/>
        <v>103</v>
      </c>
    </row>
    <row r="62" spans="1:26">
      <c r="A62" s="31" t="s">
        <v>46</v>
      </c>
      <c r="B62" s="58">
        <v>26</v>
      </c>
      <c r="C62" s="58">
        <v>30</v>
      </c>
      <c r="D62" s="58">
        <v>47</v>
      </c>
      <c r="E62" s="199">
        <f t="shared" si="31"/>
        <v>103</v>
      </c>
    </row>
    <row r="63" spans="1:26">
      <c r="A63" s="31" t="s">
        <v>53</v>
      </c>
      <c r="B63" s="58">
        <v>36</v>
      </c>
      <c r="C63" s="58">
        <v>46</v>
      </c>
      <c r="D63" s="58">
        <v>72</v>
      </c>
      <c r="E63" s="199">
        <f t="shared" si="31"/>
        <v>154</v>
      </c>
    </row>
    <row r="64" spans="1:26">
      <c r="A64" s="31" t="s">
        <v>55</v>
      </c>
      <c r="B64" s="58">
        <v>24</v>
      </c>
      <c r="C64" s="58">
        <v>31</v>
      </c>
      <c r="D64" s="58">
        <v>48</v>
      </c>
      <c r="E64" s="199">
        <f t="shared" si="31"/>
        <v>103</v>
      </c>
    </row>
    <row r="65" spans="1:5">
      <c r="A65" s="31" t="s">
        <v>57</v>
      </c>
      <c r="B65" s="58">
        <v>30</v>
      </c>
      <c r="C65" s="58">
        <v>34</v>
      </c>
      <c r="D65" s="58">
        <v>54</v>
      </c>
      <c r="E65" s="199">
        <f t="shared" si="31"/>
        <v>118</v>
      </c>
    </row>
    <row r="66" spans="1:5">
      <c r="A66" s="31" t="s">
        <v>58</v>
      </c>
      <c r="B66" s="58">
        <v>11</v>
      </c>
      <c r="C66" s="58">
        <v>13</v>
      </c>
      <c r="D66" s="58">
        <v>23</v>
      </c>
      <c r="E66" s="199">
        <f t="shared" si="31"/>
        <v>47</v>
      </c>
    </row>
    <row r="67" spans="1:5">
      <c r="B67" s="199">
        <f t="shared" ref="B67:D67" si="32">SUM(B56:B66)</f>
        <v>290</v>
      </c>
      <c r="C67" s="199">
        <f t="shared" si="32"/>
        <v>348</v>
      </c>
      <c r="D67" s="199">
        <f t="shared" si="32"/>
        <v>554</v>
      </c>
      <c r="E67" s="199">
        <f t="shared" si="31"/>
        <v>1192</v>
      </c>
    </row>
    <row r="68" spans="1:5">
      <c r="B68" s="58"/>
      <c r="C68" s="58"/>
      <c r="D68" s="58"/>
      <c r="E68" s="58"/>
    </row>
    <row r="69" spans="1:5">
      <c r="B69" s="24" t="s">
        <v>189</v>
      </c>
      <c r="C69" s="24" t="s">
        <v>176</v>
      </c>
      <c r="D69" s="24" t="s">
        <v>177</v>
      </c>
      <c r="E69" s="24" t="s">
        <v>28</v>
      </c>
    </row>
    <row r="70" spans="1:5">
      <c r="A70" s="31" t="s">
        <v>36</v>
      </c>
      <c r="B70" s="58">
        <v>28</v>
      </c>
      <c r="C70" s="58">
        <v>32</v>
      </c>
      <c r="D70" s="58">
        <v>58</v>
      </c>
      <c r="E70" s="199">
        <f t="shared" ref="E70:E81" si="33">SUM(B70:D70)</f>
        <v>118</v>
      </c>
    </row>
    <row r="71" spans="1:5">
      <c r="A71" s="31" t="s">
        <v>40</v>
      </c>
      <c r="B71" s="58">
        <v>19</v>
      </c>
      <c r="C71" s="58">
        <v>24</v>
      </c>
      <c r="D71" s="58">
        <v>40</v>
      </c>
      <c r="E71" s="199">
        <f t="shared" si="33"/>
        <v>83</v>
      </c>
    </row>
    <row r="72" spans="1:5">
      <c r="A72" s="31" t="s">
        <v>41</v>
      </c>
      <c r="B72" s="58">
        <v>27</v>
      </c>
      <c r="C72" s="58">
        <v>30</v>
      </c>
      <c r="D72" s="58">
        <v>52</v>
      </c>
      <c r="E72" s="199">
        <f t="shared" si="33"/>
        <v>109</v>
      </c>
    </row>
    <row r="73" spans="1:5">
      <c r="A73" s="31" t="s">
        <v>24</v>
      </c>
      <c r="B73" s="58">
        <v>32</v>
      </c>
      <c r="C73" s="58">
        <v>38</v>
      </c>
      <c r="D73" s="58">
        <v>63</v>
      </c>
      <c r="E73" s="199">
        <f t="shared" si="33"/>
        <v>133</v>
      </c>
    </row>
    <row r="74" spans="1:5">
      <c r="A74" s="31" t="s">
        <v>52</v>
      </c>
      <c r="B74" s="58">
        <v>17</v>
      </c>
      <c r="C74" s="58">
        <v>21</v>
      </c>
      <c r="D74" s="58">
        <v>34</v>
      </c>
      <c r="E74" s="199">
        <f t="shared" si="33"/>
        <v>72</v>
      </c>
    </row>
    <row r="75" spans="1:5">
      <c r="A75" s="31" t="s">
        <v>51</v>
      </c>
      <c r="B75" s="58">
        <v>23</v>
      </c>
      <c r="C75" s="58">
        <v>26</v>
      </c>
      <c r="D75" s="58">
        <v>45</v>
      </c>
      <c r="E75" s="199">
        <f t="shared" si="33"/>
        <v>94</v>
      </c>
    </row>
    <row r="76" spans="1:5">
      <c r="A76" s="31" t="s">
        <v>46</v>
      </c>
      <c r="B76" s="58">
        <v>24</v>
      </c>
      <c r="C76" s="58">
        <v>26</v>
      </c>
      <c r="D76" s="58">
        <v>44</v>
      </c>
      <c r="E76" s="199">
        <f t="shared" si="33"/>
        <v>94</v>
      </c>
    </row>
    <row r="77" spans="1:5">
      <c r="A77" s="31" t="s">
        <v>53</v>
      </c>
      <c r="B77" s="58">
        <v>32</v>
      </c>
      <c r="C77" s="58">
        <v>42</v>
      </c>
      <c r="D77" s="58">
        <v>66</v>
      </c>
      <c r="E77" s="199">
        <f t="shared" si="33"/>
        <v>140</v>
      </c>
    </row>
    <row r="78" spans="1:5">
      <c r="A78" s="31" t="s">
        <v>55</v>
      </c>
      <c r="B78" s="58">
        <v>22</v>
      </c>
      <c r="C78" s="58">
        <v>27</v>
      </c>
      <c r="D78" s="58">
        <v>45</v>
      </c>
      <c r="E78" s="199">
        <f t="shared" si="33"/>
        <v>94</v>
      </c>
    </row>
    <row r="79" spans="1:5">
      <c r="A79" s="31" t="s">
        <v>57</v>
      </c>
      <c r="B79" s="58">
        <v>26</v>
      </c>
      <c r="C79" s="58">
        <v>31</v>
      </c>
      <c r="D79" s="58">
        <v>51</v>
      </c>
      <c r="E79" s="199">
        <f t="shared" si="33"/>
        <v>108</v>
      </c>
    </row>
    <row r="80" spans="1:5">
      <c r="A80" s="31" t="s">
        <v>58</v>
      </c>
      <c r="B80" s="58">
        <v>10</v>
      </c>
      <c r="C80" s="58">
        <v>11</v>
      </c>
      <c r="D80" s="58">
        <v>22</v>
      </c>
      <c r="E80" s="199">
        <f t="shared" si="33"/>
        <v>43</v>
      </c>
    </row>
    <row r="81" spans="2:5">
      <c r="B81" s="199">
        <f t="shared" ref="B81:D81" si="34">SUM(B70:B80)</f>
        <v>260</v>
      </c>
      <c r="C81" s="199">
        <f t="shared" si="34"/>
        <v>308</v>
      </c>
      <c r="D81" s="199">
        <f t="shared" si="34"/>
        <v>520</v>
      </c>
      <c r="E81" s="199">
        <f t="shared" si="33"/>
        <v>1088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2:AS46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.75" customHeight="1"/>
  <cols>
    <col min="2" max="8" width="10.33203125" customWidth="1"/>
    <col min="9" max="9" width="11" customWidth="1"/>
    <col min="10" max="18" width="10.33203125" customWidth="1"/>
    <col min="22" max="26" width="14" customWidth="1"/>
    <col min="27" max="27" width="10.33203125" customWidth="1"/>
    <col min="28" max="36" width="14" customWidth="1"/>
    <col min="37" max="37" width="33.77734375" customWidth="1"/>
    <col min="38" max="38" width="19.88671875" customWidth="1"/>
  </cols>
  <sheetData>
    <row r="2" spans="1:34" ht="15.75" customHeight="1">
      <c r="A2" s="149"/>
      <c r="B2" s="298" t="s">
        <v>183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6"/>
      <c r="S2" s="182"/>
      <c r="T2" s="182"/>
    </row>
    <row r="3" spans="1:34" ht="15.75" customHeight="1">
      <c r="A3" s="32"/>
      <c r="B3" s="277" t="s">
        <v>203</v>
      </c>
      <c r="C3" s="278"/>
      <c r="D3" s="278"/>
      <c r="E3" s="278"/>
      <c r="F3" s="277" t="s">
        <v>204</v>
      </c>
      <c r="G3" s="278"/>
      <c r="H3" s="278"/>
      <c r="I3" s="278"/>
      <c r="J3" s="277" t="s">
        <v>205</v>
      </c>
      <c r="K3" s="278"/>
      <c r="L3" s="278"/>
      <c r="M3" s="278"/>
      <c r="N3" s="29"/>
      <c r="O3" s="277" t="s">
        <v>14</v>
      </c>
      <c r="P3" s="278"/>
      <c r="Q3" s="278"/>
      <c r="R3" s="279"/>
      <c r="S3" s="34"/>
      <c r="T3" s="34"/>
    </row>
    <row r="4" spans="1:34" ht="15.75" customHeight="1">
      <c r="A4" s="35"/>
      <c r="B4" s="132" t="s">
        <v>26</v>
      </c>
      <c r="C4" s="132" t="s">
        <v>27</v>
      </c>
      <c r="D4" s="132" t="s">
        <v>182</v>
      </c>
      <c r="E4" s="132" t="s">
        <v>28</v>
      </c>
      <c r="F4" s="132" t="s">
        <v>26</v>
      </c>
      <c r="G4" s="132" t="s">
        <v>27</v>
      </c>
      <c r="H4" s="132" t="s">
        <v>182</v>
      </c>
      <c r="I4" s="132" t="s">
        <v>28</v>
      </c>
      <c r="J4" s="132" t="s">
        <v>26</v>
      </c>
      <c r="K4" s="132" t="s">
        <v>27</v>
      </c>
      <c r="L4" s="132" t="s">
        <v>182</v>
      </c>
      <c r="M4" s="132" t="s">
        <v>28</v>
      </c>
      <c r="N4" s="38"/>
      <c r="O4" s="132" t="s">
        <v>26</v>
      </c>
      <c r="P4" s="132" t="s">
        <v>27</v>
      </c>
      <c r="Q4" s="132" t="s">
        <v>182</v>
      </c>
      <c r="R4" s="135" t="s">
        <v>28</v>
      </c>
      <c r="S4" s="183" t="s">
        <v>206</v>
      </c>
      <c r="T4" s="183" t="s">
        <v>32</v>
      </c>
      <c r="U4" s="24" t="s">
        <v>207</v>
      </c>
      <c r="V4" s="24" t="s">
        <v>3</v>
      </c>
      <c r="W4" s="26" t="s">
        <v>208</v>
      </c>
      <c r="X4" s="26" t="s">
        <v>209</v>
      </c>
      <c r="Y4" s="26" t="s">
        <v>210</v>
      </c>
      <c r="Z4" s="26" t="s">
        <v>209</v>
      </c>
      <c r="AA4" s="26" t="s">
        <v>211</v>
      </c>
      <c r="AB4" s="24" t="s">
        <v>212</v>
      </c>
      <c r="AC4" s="24" t="s">
        <v>213</v>
      </c>
      <c r="AD4" s="24" t="s">
        <v>214</v>
      </c>
      <c r="AE4" s="24"/>
      <c r="AF4" s="24" t="s">
        <v>215</v>
      </c>
      <c r="AG4" s="24" t="s">
        <v>216</v>
      </c>
      <c r="AH4" s="24" t="s">
        <v>217</v>
      </c>
    </row>
    <row r="5" spans="1:34" ht="15.75" customHeight="1">
      <c r="A5" s="32" t="s">
        <v>24</v>
      </c>
      <c r="B5" s="257">
        <v>34</v>
      </c>
      <c r="C5" s="229">
        <v>2</v>
      </c>
      <c r="D5" s="230">
        <v>76</v>
      </c>
      <c r="E5" s="231">
        <f t="shared" ref="E5:E8" si="0">SUM(B5:D5)</f>
        <v>112</v>
      </c>
      <c r="F5" s="257">
        <v>23</v>
      </c>
      <c r="G5" s="229">
        <v>0</v>
      </c>
      <c r="H5" s="230">
        <v>85</v>
      </c>
      <c r="I5" s="231">
        <f t="shared" ref="I5:I8" si="1">SUM(F5:H5)</f>
        <v>108</v>
      </c>
      <c r="J5" s="257">
        <v>106</v>
      </c>
      <c r="K5" s="229">
        <v>34</v>
      </c>
      <c r="L5" s="230">
        <v>198</v>
      </c>
      <c r="M5" s="231">
        <f t="shared" ref="M5:M8" si="2">SUM(J5:L5)</f>
        <v>338</v>
      </c>
      <c r="N5" s="29"/>
      <c r="O5" s="29">
        <f t="shared" ref="O5:Q5" si="3">J5+F5+B5</f>
        <v>163</v>
      </c>
      <c r="P5" s="29">
        <f t="shared" si="3"/>
        <v>36</v>
      </c>
      <c r="Q5" s="29">
        <f t="shared" si="3"/>
        <v>359</v>
      </c>
      <c r="R5" s="259">
        <f t="shared" ref="R5:R8" si="4">SUM(O5:Q5)</f>
        <v>558</v>
      </c>
      <c r="S5" s="260">
        <v>336</v>
      </c>
      <c r="T5" s="260">
        <f t="shared" ref="T5:T8" si="5">M5-S5</f>
        <v>2</v>
      </c>
      <c r="U5" s="261" t="s">
        <v>218</v>
      </c>
      <c r="V5" s="31" t="s">
        <v>43</v>
      </c>
      <c r="W5" s="31">
        <v>342</v>
      </c>
      <c r="X5" s="228">
        <f t="shared" ref="X5:X18" si="6">M5-W5</f>
        <v>-4</v>
      </c>
      <c r="Y5" s="31">
        <v>140</v>
      </c>
      <c r="Z5" s="228">
        <f t="shared" ref="Z5:Z18" si="7">J5+K5-Y5</f>
        <v>0</v>
      </c>
      <c r="AA5" s="31">
        <v>78</v>
      </c>
      <c r="AB5" s="31">
        <f>Y5+7-AA5</f>
        <v>69</v>
      </c>
      <c r="AC5" s="31">
        <v>130</v>
      </c>
      <c r="AD5" s="31">
        <f t="shared" ref="AD5:AD8" si="8">J5+K5-AC5</f>
        <v>10</v>
      </c>
      <c r="AE5" s="199">
        <f t="shared" ref="AE5:AE8" si="9">AD5*250</f>
        <v>2500</v>
      </c>
      <c r="AF5" s="31" t="s">
        <v>144</v>
      </c>
      <c r="AG5" s="31" t="s">
        <v>221</v>
      </c>
      <c r="AH5" s="31" t="s">
        <v>26</v>
      </c>
    </row>
    <row r="6" spans="1:34" ht="15.75" customHeight="1">
      <c r="A6" s="32" t="s">
        <v>36</v>
      </c>
      <c r="B6" s="257">
        <v>35</v>
      </c>
      <c r="C6" s="229">
        <v>4</v>
      </c>
      <c r="D6" s="230">
        <v>2</v>
      </c>
      <c r="E6" s="231">
        <f t="shared" si="0"/>
        <v>41</v>
      </c>
      <c r="F6" s="257">
        <v>9</v>
      </c>
      <c r="G6" s="229">
        <v>1</v>
      </c>
      <c r="H6" s="230">
        <v>3</v>
      </c>
      <c r="I6" s="231">
        <f t="shared" si="1"/>
        <v>13</v>
      </c>
      <c r="J6" s="257">
        <v>74</v>
      </c>
      <c r="K6" s="229">
        <v>7</v>
      </c>
      <c r="L6" s="230">
        <v>45</v>
      </c>
      <c r="M6" s="231">
        <f t="shared" si="2"/>
        <v>126</v>
      </c>
      <c r="N6" s="29"/>
      <c r="O6" s="29">
        <f t="shared" ref="O6:Q6" si="10">J6+F6+B6</f>
        <v>118</v>
      </c>
      <c r="P6" s="29">
        <f t="shared" si="10"/>
        <v>12</v>
      </c>
      <c r="Q6" s="29">
        <f t="shared" si="10"/>
        <v>50</v>
      </c>
      <c r="R6" s="259">
        <f t="shared" si="4"/>
        <v>180</v>
      </c>
      <c r="S6" s="260">
        <v>127</v>
      </c>
      <c r="T6" s="260">
        <f t="shared" si="5"/>
        <v>-1</v>
      </c>
      <c r="U6" s="261" t="s">
        <v>218</v>
      </c>
      <c r="V6" s="31" t="s">
        <v>43</v>
      </c>
      <c r="W6" s="31">
        <v>126</v>
      </c>
      <c r="X6" s="31">
        <f t="shared" si="6"/>
        <v>0</v>
      </c>
      <c r="Y6" s="31">
        <v>81</v>
      </c>
      <c r="Z6" s="31">
        <f t="shared" si="7"/>
        <v>0</v>
      </c>
      <c r="AA6" s="31">
        <v>87</v>
      </c>
      <c r="AB6" s="31">
        <f t="shared" ref="AB6:AB8" si="11">Y6-AA6</f>
        <v>-6</v>
      </c>
      <c r="AC6" s="31">
        <v>80</v>
      </c>
      <c r="AD6" s="31">
        <f t="shared" si="8"/>
        <v>1</v>
      </c>
      <c r="AE6" s="199">
        <f t="shared" si="9"/>
        <v>250</v>
      </c>
      <c r="AF6" s="31" t="s">
        <v>142</v>
      </c>
      <c r="AG6" s="31" t="s">
        <v>95</v>
      </c>
      <c r="AH6" s="31" t="s">
        <v>26</v>
      </c>
    </row>
    <row r="7" spans="1:34" ht="15.75" customHeight="1">
      <c r="A7" s="32" t="s">
        <v>40</v>
      </c>
      <c r="B7" s="257">
        <v>27</v>
      </c>
      <c r="C7" s="229">
        <v>0</v>
      </c>
      <c r="D7" s="230">
        <v>0</v>
      </c>
      <c r="E7" s="231">
        <f t="shared" si="0"/>
        <v>27</v>
      </c>
      <c r="F7" s="257">
        <v>7</v>
      </c>
      <c r="G7" s="229">
        <v>2</v>
      </c>
      <c r="H7" s="230">
        <v>0</v>
      </c>
      <c r="I7" s="231">
        <f t="shared" si="1"/>
        <v>9</v>
      </c>
      <c r="J7" s="257">
        <v>59</v>
      </c>
      <c r="K7" s="229">
        <v>1</v>
      </c>
      <c r="L7" s="230">
        <v>0</v>
      </c>
      <c r="M7" s="231">
        <f t="shared" si="2"/>
        <v>60</v>
      </c>
      <c r="N7" s="29"/>
      <c r="O7" s="29">
        <f t="shared" ref="O7:Q7" si="12">J7+F7+B7</f>
        <v>93</v>
      </c>
      <c r="P7" s="29">
        <f t="shared" si="12"/>
        <v>3</v>
      </c>
      <c r="Q7" s="29">
        <f t="shared" si="12"/>
        <v>0</v>
      </c>
      <c r="R7" s="259">
        <f t="shared" si="4"/>
        <v>96</v>
      </c>
      <c r="S7" s="260">
        <v>51</v>
      </c>
      <c r="T7" s="260">
        <f t="shared" si="5"/>
        <v>9</v>
      </c>
      <c r="U7" s="261" t="s">
        <v>218</v>
      </c>
      <c r="V7" s="31" t="s">
        <v>43</v>
      </c>
      <c r="W7" s="31">
        <v>60</v>
      </c>
      <c r="X7" s="31">
        <f t="shared" si="6"/>
        <v>0</v>
      </c>
      <c r="Y7" s="31">
        <v>60</v>
      </c>
      <c r="Z7" s="31">
        <f t="shared" si="7"/>
        <v>0</v>
      </c>
      <c r="AA7" s="31">
        <v>44</v>
      </c>
      <c r="AB7" s="31">
        <f t="shared" si="11"/>
        <v>16</v>
      </c>
      <c r="AC7" s="31">
        <v>54</v>
      </c>
      <c r="AD7" s="31">
        <f t="shared" si="8"/>
        <v>6</v>
      </c>
      <c r="AE7" s="199">
        <f t="shared" si="9"/>
        <v>1500</v>
      </c>
      <c r="AF7" s="31" t="s">
        <v>223</v>
      </c>
      <c r="AG7" s="31" t="s">
        <v>224</v>
      </c>
      <c r="AH7" s="31" t="s">
        <v>182</v>
      </c>
    </row>
    <row r="8" spans="1:34" ht="15.75" customHeight="1">
      <c r="A8" s="32" t="s">
        <v>41</v>
      </c>
      <c r="B8" s="257">
        <v>31</v>
      </c>
      <c r="C8" s="229">
        <v>1</v>
      </c>
      <c r="D8" s="230">
        <v>0</v>
      </c>
      <c r="E8" s="231">
        <f t="shared" si="0"/>
        <v>32</v>
      </c>
      <c r="F8" s="257">
        <v>20</v>
      </c>
      <c r="G8" s="229">
        <v>0</v>
      </c>
      <c r="H8" s="230">
        <v>0</v>
      </c>
      <c r="I8" s="231">
        <f t="shared" si="1"/>
        <v>20</v>
      </c>
      <c r="J8" s="257">
        <v>97</v>
      </c>
      <c r="K8" s="229">
        <v>0</v>
      </c>
      <c r="L8" s="230">
        <v>0</v>
      </c>
      <c r="M8" s="231">
        <f t="shared" si="2"/>
        <v>97</v>
      </c>
      <c r="N8" s="29"/>
      <c r="O8" s="29">
        <f t="shared" ref="O8:Q8" si="13">J8+F8+B8</f>
        <v>148</v>
      </c>
      <c r="P8" s="29">
        <f t="shared" si="13"/>
        <v>1</v>
      </c>
      <c r="Q8" s="29">
        <f t="shared" si="13"/>
        <v>0</v>
      </c>
      <c r="R8" s="259">
        <f t="shared" si="4"/>
        <v>149</v>
      </c>
      <c r="S8" s="260">
        <v>75</v>
      </c>
      <c r="T8" s="260">
        <f t="shared" si="5"/>
        <v>22</v>
      </c>
      <c r="U8" s="261" t="s">
        <v>218</v>
      </c>
      <c r="V8" s="31" t="s">
        <v>43</v>
      </c>
      <c r="W8" s="31">
        <v>98</v>
      </c>
      <c r="X8" s="31">
        <f t="shared" si="6"/>
        <v>-1</v>
      </c>
      <c r="Y8" s="31">
        <v>98</v>
      </c>
      <c r="Z8" s="31">
        <f t="shared" si="7"/>
        <v>-1</v>
      </c>
      <c r="AA8" s="31">
        <v>68</v>
      </c>
      <c r="AB8" s="31">
        <f t="shared" si="11"/>
        <v>30</v>
      </c>
      <c r="AC8" s="31">
        <v>83</v>
      </c>
      <c r="AD8" s="31">
        <f t="shared" si="8"/>
        <v>14</v>
      </c>
      <c r="AE8" s="199">
        <f t="shared" si="9"/>
        <v>3500</v>
      </c>
      <c r="AF8" s="31" t="s">
        <v>226</v>
      </c>
      <c r="AG8" s="31" t="s">
        <v>227</v>
      </c>
      <c r="AH8" s="31" t="s">
        <v>26</v>
      </c>
    </row>
    <row r="9" spans="1:34" ht="15.75" customHeight="1">
      <c r="A9" s="35" t="s">
        <v>44</v>
      </c>
      <c r="B9" s="244">
        <f t="shared" ref="B9:C9" si="14">SUM(B5:B8)</f>
        <v>127</v>
      </c>
      <c r="C9" s="244">
        <f t="shared" si="14"/>
        <v>7</v>
      </c>
      <c r="D9" s="244">
        <f>SUM(D5:D8)</f>
        <v>78</v>
      </c>
      <c r="E9" s="244">
        <f t="shared" ref="E9:G9" si="15">SUM(E5:E8)</f>
        <v>212</v>
      </c>
      <c r="F9" s="244">
        <f t="shared" si="15"/>
        <v>59</v>
      </c>
      <c r="G9" s="244">
        <f t="shared" si="15"/>
        <v>3</v>
      </c>
      <c r="H9" s="244">
        <f>SUM(H5:H8)</f>
        <v>88</v>
      </c>
      <c r="I9" s="244">
        <f t="shared" ref="I9:K9" si="16">SUM(I5:I8)</f>
        <v>150</v>
      </c>
      <c r="J9" s="244">
        <f t="shared" si="16"/>
        <v>336</v>
      </c>
      <c r="K9" s="244">
        <f t="shared" si="16"/>
        <v>42</v>
      </c>
      <c r="L9" s="244">
        <f>SUM(L5:L8)</f>
        <v>243</v>
      </c>
      <c r="M9" s="244">
        <f>SUM(M5:M8)</f>
        <v>621</v>
      </c>
      <c r="N9" s="29"/>
      <c r="O9" s="244">
        <f t="shared" ref="O9:P9" si="17">SUM(O5:O8)</f>
        <v>522</v>
      </c>
      <c r="P9" s="244">
        <f t="shared" si="17"/>
        <v>52</v>
      </c>
      <c r="Q9" s="244">
        <f>SUM(Q5:Q8)</f>
        <v>409</v>
      </c>
      <c r="R9" s="248">
        <f t="shared" ref="R9:T9" si="18">SUM(R5:R8)</f>
        <v>983</v>
      </c>
      <c r="S9" s="263">
        <f t="shared" si="18"/>
        <v>589</v>
      </c>
      <c r="T9" s="263">
        <f t="shared" si="18"/>
        <v>32</v>
      </c>
      <c r="U9" s="261"/>
      <c r="W9" s="31">
        <f>SUM(W5:W8)</f>
        <v>626</v>
      </c>
      <c r="X9" s="31">
        <f t="shared" si="6"/>
        <v>-5</v>
      </c>
      <c r="Y9" s="31">
        <f>SUM(Y5:Y8)</f>
        <v>379</v>
      </c>
      <c r="Z9" s="31">
        <f t="shared" si="7"/>
        <v>-1</v>
      </c>
      <c r="AA9" s="24">
        <f t="shared" ref="AA9:AD9" si="19">SUM(AA5:AA8)</f>
        <v>277</v>
      </c>
      <c r="AB9" s="24">
        <f t="shared" si="19"/>
        <v>109</v>
      </c>
      <c r="AC9" s="24">
        <f t="shared" si="19"/>
        <v>347</v>
      </c>
      <c r="AD9" s="24">
        <f t="shared" si="19"/>
        <v>31</v>
      </c>
      <c r="AE9" s="199"/>
      <c r="AF9" s="31" t="s">
        <v>140</v>
      </c>
      <c r="AG9" s="31" t="s">
        <v>233</v>
      </c>
      <c r="AH9" s="31" t="s">
        <v>26</v>
      </c>
    </row>
    <row r="10" spans="1:34" ht="15.75" customHeight="1">
      <c r="A10" s="32" t="s">
        <v>46</v>
      </c>
      <c r="B10" s="264">
        <v>23</v>
      </c>
      <c r="C10" s="264">
        <v>1</v>
      </c>
      <c r="D10" s="29">
        <v>1</v>
      </c>
      <c r="E10" s="231">
        <f t="shared" ref="E10:E13" si="20">SUM(B10:D10)</f>
        <v>25</v>
      </c>
      <c r="F10" s="264">
        <v>17</v>
      </c>
      <c r="G10" s="264"/>
      <c r="H10" s="29"/>
      <c r="I10" s="231">
        <f t="shared" ref="I10:I13" si="21">SUM(F10:H10)</f>
        <v>17</v>
      </c>
      <c r="J10" s="264">
        <v>102</v>
      </c>
      <c r="K10" s="264">
        <v>1</v>
      </c>
      <c r="L10" s="29"/>
      <c r="M10" s="231">
        <f t="shared" ref="M10:M13" si="22">SUM(J10:L10)</f>
        <v>103</v>
      </c>
      <c r="N10" s="29"/>
      <c r="O10" s="29">
        <f t="shared" ref="O10:Q10" si="23">J10+F10+B10</f>
        <v>142</v>
      </c>
      <c r="P10" s="29">
        <f t="shared" si="23"/>
        <v>2</v>
      </c>
      <c r="Q10" s="29">
        <f t="shared" si="23"/>
        <v>1</v>
      </c>
      <c r="R10" s="259">
        <f t="shared" ref="R10:R13" si="24">SUM(O10:Q10)</f>
        <v>145</v>
      </c>
      <c r="S10" s="260">
        <v>75</v>
      </c>
      <c r="T10" s="260">
        <f t="shared" ref="T10:T13" si="25">M10-S10</f>
        <v>28</v>
      </c>
      <c r="U10" s="261" t="s">
        <v>234</v>
      </c>
      <c r="V10" s="31" t="s">
        <v>56</v>
      </c>
      <c r="W10" s="31">
        <v>103</v>
      </c>
      <c r="X10" s="31">
        <f t="shared" si="6"/>
        <v>0</v>
      </c>
      <c r="Y10" s="31">
        <v>103</v>
      </c>
      <c r="Z10" s="31">
        <f t="shared" si="7"/>
        <v>0</v>
      </c>
      <c r="AA10" s="31">
        <v>76</v>
      </c>
      <c r="AB10" s="31">
        <f t="shared" ref="AB10:AB13" si="26">Y10-AA10</f>
        <v>27</v>
      </c>
      <c r="AC10" s="31">
        <v>88</v>
      </c>
      <c r="AD10" s="31">
        <f t="shared" ref="AD10:AD13" si="27">J10+K10-AC10</f>
        <v>15</v>
      </c>
      <c r="AE10" s="199">
        <f t="shared" ref="AE10:AE13" si="28">AD10*250</f>
        <v>3750</v>
      </c>
      <c r="AF10" s="31" t="s">
        <v>235</v>
      </c>
      <c r="AG10" s="31" t="s">
        <v>236</v>
      </c>
      <c r="AH10" s="31" t="s">
        <v>182</v>
      </c>
    </row>
    <row r="11" spans="1:34" ht="15.75" customHeight="1">
      <c r="A11" s="32" t="s">
        <v>51</v>
      </c>
      <c r="B11" s="264">
        <v>25</v>
      </c>
      <c r="C11" s="264">
        <v>4</v>
      </c>
      <c r="D11" s="29">
        <v>12</v>
      </c>
      <c r="E11" s="231">
        <f t="shared" si="20"/>
        <v>41</v>
      </c>
      <c r="F11" s="264">
        <v>11</v>
      </c>
      <c r="G11" s="264">
        <v>1</v>
      </c>
      <c r="H11" s="29">
        <v>1</v>
      </c>
      <c r="I11" s="231">
        <f t="shared" si="21"/>
        <v>13</v>
      </c>
      <c r="J11" s="264">
        <v>82</v>
      </c>
      <c r="K11" s="264">
        <v>3</v>
      </c>
      <c r="L11" s="29">
        <v>133</v>
      </c>
      <c r="M11" s="231">
        <f t="shared" si="22"/>
        <v>218</v>
      </c>
      <c r="N11" s="29"/>
      <c r="O11" s="29">
        <f t="shared" ref="O11:P11" si="29">J11+F11+B11</f>
        <v>118</v>
      </c>
      <c r="P11" s="29">
        <f t="shared" si="29"/>
        <v>8</v>
      </c>
      <c r="Q11" s="29">
        <f>L11+H11+D20</f>
        <v>134</v>
      </c>
      <c r="R11" s="259">
        <f t="shared" si="24"/>
        <v>260</v>
      </c>
      <c r="S11" s="260">
        <v>177</v>
      </c>
      <c r="T11" s="260">
        <f t="shared" si="25"/>
        <v>41</v>
      </c>
      <c r="U11" s="261" t="s">
        <v>218</v>
      </c>
      <c r="V11" s="31" t="s">
        <v>56</v>
      </c>
      <c r="W11" s="31">
        <v>206</v>
      </c>
      <c r="X11" s="228">
        <f t="shared" si="6"/>
        <v>12</v>
      </c>
      <c r="Y11" s="31">
        <v>85</v>
      </c>
      <c r="Z11" s="31">
        <f t="shared" si="7"/>
        <v>0</v>
      </c>
      <c r="AA11" s="31">
        <v>75</v>
      </c>
      <c r="AB11" s="31">
        <f t="shared" si="26"/>
        <v>10</v>
      </c>
      <c r="AC11" s="31">
        <v>70</v>
      </c>
      <c r="AD11" s="31">
        <f t="shared" si="27"/>
        <v>15</v>
      </c>
      <c r="AE11" s="199">
        <f t="shared" si="28"/>
        <v>3750</v>
      </c>
      <c r="AF11" s="31" t="s">
        <v>141</v>
      </c>
      <c r="AG11" s="31" t="s">
        <v>239</v>
      </c>
      <c r="AH11" s="31" t="s">
        <v>27</v>
      </c>
    </row>
    <row r="12" spans="1:34" ht="15.75" customHeight="1">
      <c r="A12" s="32" t="s">
        <v>52</v>
      </c>
      <c r="B12" s="264">
        <v>31</v>
      </c>
      <c r="C12" s="264"/>
      <c r="D12" s="29"/>
      <c r="E12" s="231">
        <f t="shared" si="20"/>
        <v>31</v>
      </c>
      <c r="F12" s="264">
        <v>14</v>
      </c>
      <c r="G12" s="264">
        <v>1</v>
      </c>
      <c r="H12" s="29"/>
      <c r="I12" s="231">
        <f t="shared" si="21"/>
        <v>15</v>
      </c>
      <c r="J12" s="264">
        <v>62</v>
      </c>
      <c r="K12" s="264"/>
      <c r="L12" s="29"/>
      <c r="M12" s="231">
        <f t="shared" si="22"/>
        <v>62</v>
      </c>
      <c r="N12" s="29"/>
      <c r="O12" s="29">
        <f t="shared" ref="O12:Q12" si="30">J12+F12+B12</f>
        <v>107</v>
      </c>
      <c r="P12" s="29">
        <f t="shared" si="30"/>
        <v>1</v>
      </c>
      <c r="Q12" s="29">
        <f t="shared" si="30"/>
        <v>0</v>
      </c>
      <c r="R12" s="259">
        <f t="shared" si="24"/>
        <v>108</v>
      </c>
      <c r="S12" s="260">
        <v>57</v>
      </c>
      <c r="T12" s="260">
        <f t="shared" si="25"/>
        <v>5</v>
      </c>
      <c r="U12" s="261" t="s">
        <v>234</v>
      </c>
      <c r="V12" s="31" t="s">
        <v>56</v>
      </c>
      <c r="W12" s="31">
        <v>62</v>
      </c>
      <c r="X12" s="31">
        <f t="shared" si="6"/>
        <v>0</v>
      </c>
      <c r="Y12" s="31">
        <v>62</v>
      </c>
      <c r="Z12" s="31">
        <f t="shared" si="7"/>
        <v>0</v>
      </c>
      <c r="AA12" s="31">
        <v>50</v>
      </c>
      <c r="AB12" s="31">
        <f t="shared" si="26"/>
        <v>12</v>
      </c>
      <c r="AC12" s="31">
        <v>49</v>
      </c>
      <c r="AD12" s="31">
        <f t="shared" si="27"/>
        <v>13</v>
      </c>
      <c r="AE12" s="199">
        <f t="shared" si="28"/>
        <v>3250</v>
      </c>
      <c r="AF12" s="31" t="s">
        <v>159</v>
      </c>
      <c r="AG12" s="31" t="s">
        <v>240</v>
      </c>
      <c r="AH12" s="31" t="s">
        <v>26</v>
      </c>
    </row>
    <row r="13" spans="1:34" ht="15.75" customHeight="1">
      <c r="A13" s="32" t="s">
        <v>53</v>
      </c>
      <c r="B13" s="264">
        <v>39</v>
      </c>
      <c r="C13" s="264"/>
      <c r="D13" s="29"/>
      <c r="E13" s="231">
        <f t="shared" si="20"/>
        <v>39</v>
      </c>
      <c r="F13" s="264">
        <v>17</v>
      </c>
      <c r="G13" s="264"/>
      <c r="H13" s="29"/>
      <c r="I13" s="231">
        <f t="shared" si="21"/>
        <v>17</v>
      </c>
      <c r="J13" s="264">
        <v>104</v>
      </c>
      <c r="K13" s="264">
        <v>1</v>
      </c>
      <c r="L13" s="29"/>
      <c r="M13" s="231">
        <f t="shared" si="22"/>
        <v>105</v>
      </c>
      <c r="N13" s="29"/>
      <c r="O13" s="29">
        <f t="shared" ref="O13:P13" si="31">J13+F13+B13</f>
        <v>160</v>
      </c>
      <c r="P13" s="29">
        <f t="shared" si="31"/>
        <v>1</v>
      </c>
      <c r="Q13" s="29"/>
      <c r="R13" s="259">
        <f t="shared" si="24"/>
        <v>161</v>
      </c>
      <c r="S13" s="260">
        <v>101</v>
      </c>
      <c r="T13" s="260">
        <f t="shared" si="25"/>
        <v>4</v>
      </c>
      <c r="U13" s="261" t="s">
        <v>234</v>
      </c>
      <c r="V13" s="31" t="s">
        <v>56</v>
      </c>
      <c r="W13" s="31">
        <v>105</v>
      </c>
      <c r="X13" s="31">
        <f t="shared" si="6"/>
        <v>0</v>
      </c>
      <c r="Y13" s="31">
        <v>105</v>
      </c>
      <c r="Z13" s="31">
        <f t="shared" si="7"/>
        <v>0</v>
      </c>
      <c r="AA13" s="31">
        <v>98</v>
      </c>
      <c r="AB13" s="31">
        <f t="shared" si="26"/>
        <v>7</v>
      </c>
      <c r="AC13" s="31">
        <v>92</v>
      </c>
      <c r="AD13" s="31">
        <f t="shared" si="27"/>
        <v>13</v>
      </c>
      <c r="AE13" s="199">
        <f t="shared" si="28"/>
        <v>3250</v>
      </c>
      <c r="AF13" s="31" t="s">
        <v>159</v>
      </c>
      <c r="AG13" s="31" t="s">
        <v>242</v>
      </c>
      <c r="AH13" s="31" t="s">
        <v>182</v>
      </c>
    </row>
    <row r="14" spans="1:34" ht="15.75" customHeight="1">
      <c r="A14" s="35" t="s">
        <v>54</v>
      </c>
      <c r="B14" s="244">
        <f t="shared" ref="B14:C14" si="32">SUM(B10:B13)</f>
        <v>118</v>
      </c>
      <c r="C14" s="244">
        <f t="shared" si="32"/>
        <v>5</v>
      </c>
      <c r="D14" s="244">
        <f>SUM(D10:D13)</f>
        <v>13</v>
      </c>
      <c r="E14" s="244">
        <f t="shared" ref="E14:G14" si="33">SUM(E10:E13)</f>
        <v>136</v>
      </c>
      <c r="F14" s="244">
        <f t="shared" si="33"/>
        <v>59</v>
      </c>
      <c r="G14" s="244">
        <f t="shared" si="33"/>
        <v>2</v>
      </c>
      <c r="H14" s="244">
        <f>SUM(H10:H13)</f>
        <v>1</v>
      </c>
      <c r="I14" s="244">
        <f t="shared" ref="I14:K14" si="34">SUM(I10:I13)</f>
        <v>62</v>
      </c>
      <c r="J14" s="244">
        <f t="shared" si="34"/>
        <v>350</v>
      </c>
      <c r="K14" s="244">
        <f t="shared" si="34"/>
        <v>5</v>
      </c>
      <c r="L14" s="244">
        <f>SUM(L10:L13)</f>
        <v>133</v>
      </c>
      <c r="M14" s="244">
        <f>SUM(M10:M13)</f>
        <v>488</v>
      </c>
      <c r="N14" s="29"/>
      <c r="O14" s="244">
        <f t="shared" ref="O14:P14" si="35">SUM(O10:O13)</f>
        <v>527</v>
      </c>
      <c r="P14" s="244">
        <f t="shared" si="35"/>
        <v>12</v>
      </c>
      <c r="Q14" s="244">
        <f>SUM(Q10:Q13)</f>
        <v>135</v>
      </c>
      <c r="R14" s="248">
        <f t="shared" ref="R14:T14" si="36">SUM(R10:R13)</f>
        <v>674</v>
      </c>
      <c r="S14" s="263">
        <f t="shared" si="36"/>
        <v>410</v>
      </c>
      <c r="T14" s="263">
        <f t="shared" si="36"/>
        <v>78</v>
      </c>
      <c r="U14" s="261"/>
      <c r="W14" s="31">
        <f>SUM(W10:W13)</f>
        <v>476</v>
      </c>
      <c r="X14" s="31">
        <f t="shared" si="6"/>
        <v>12</v>
      </c>
      <c r="Y14" s="31">
        <f>SUM(Y10:Y13)</f>
        <v>355</v>
      </c>
      <c r="Z14" s="31">
        <f t="shared" si="7"/>
        <v>0</v>
      </c>
      <c r="AA14" s="24">
        <f t="shared" ref="AA14:AD14" si="37">SUM(AA10:AA13)</f>
        <v>299</v>
      </c>
      <c r="AB14" s="24">
        <f t="shared" si="37"/>
        <v>56</v>
      </c>
      <c r="AC14" s="24">
        <f t="shared" si="37"/>
        <v>299</v>
      </c>
      <c r="AD14" s="24">
        <f t="shared" si="37"/>
        <v>56</v>
      </c>
      <c r="AE14" s="199"/>
      <c r="AF14" s="31" t="s">
        <v>138</v>
      </c>
      <c r="AG14" s="31" t="s">
        <v>243</v>
      </c>
      <c r="AH14" s="31" t="s">
        <v>26</v>
      </c>
    </row>
    <row r="15" spans="1:34" ht="15.75" customHeight="1">
      <c r="A15" s="32" t="s">
        <v>55</v>
      </c>
      <c r="B15" s="264">
        <v>25</v>
      </c>
      <c r="C15" s="264">
        <v>11</v>
      </c>
      <c r="D15" s="29">
        <v>22</v>
      </c>
      <c r="E15" s="231">
        <f t="shared" ref="E15:E17" si="38">SUM(B15:D15)</f>
        <v>58</v>
      </c>
      <c r="F15" s="264">
        <v>6</v>
      </c>
      <c r="G15" s="264">
        <v>11</v>
      </c>
      <c r="H15" s="29">
        <v>60</v>
      </c>
      <c r="I15" s="231">
        <f t="shared" ref="I15:I17" si="39">SUM(F15:H15)</f>
        <v>77</v>
      </c>
      <c r="J15" s="264">
        <v>65</v>
      </c>
      <c r="K15" s="264">
        <v>13</v>
      </c>
      <c r="L15" s="29">
        <v>98</v>
      </c>
      <c r="M15" s="231">
        <f t="shared" ref="M15:M17" si="40">SUM(J15:L15)</f>
        <v>176</v>
      </c>
      <c r="N15" s="29"/>
      <c r="O15" s="29">
        <f t="shared" ref="O15:P15" si="41">J15+F15+B15</f>
        <v>96</v>
      </c>
      <c r="P15" s="29">
        <f t="shared" si="41"/>
        <v>35</v>
      </c>
      <c r="Q15" s="29">
        <f>L15+H15+O31</f>
        <v>172</v>
      </c>
      <c r="R15" s="259">
        <f t="shared" ref="R15:R17" si="42">SUM(O15:Q15)</f>
        <v>303</v>
      </c>
      <c r="S15" s="260">
        <v>208</v>
      </c>
      <c r="T15" s="260">
        <f t="shared" ref="T15:T17" si="43">M15-S15</f>
        <v>-32</v>
      </c>
      <c r="U15" s="261" t="s">
        <v>218</v>
      </c>
      <c r="V15" s="31" t="s">
        <v>80</v>
      </c>
      <c r="W15" s="31">
        <v>175</v>
      </c>
      <c r="X15" s="31">
        <f t="shared" si="6"/>
        <v>1</v>
      </c>
      <c r="Y15" s="31">
        <v>78</v>
      </c>
      <c r="Z15" s="228">
        <f t="shared" si="7"/>
        <v>0</v>
      </c>
      <c r="AA15" s="31">
        <v>82</v>
      </c>
      <c r="AB15" s="31">
        <f t="shared" ref="AB15:AB17" si="44">Y15-AA15</f>
        <v>-4</v>
      </c>
      <c r="AC15" s="31">
        <v>60</v>
      </c>
      <c r="AD15" s="31">
        <f t="shared" ref="AD15:AD17" si="45">J15+K15-AC15</f>
        <v>18</v>
      </c>
      <c r="AE15" s="199">
        <f t="shared" ref="AE15:AE17" si="46">AD15*250</f>
        <v>4500</v>
      </c>
      <c r="AF15" s="31" t="s">
        <v>137</v>
      </c>
      <c r="AG15" s="31" t="s">
        <v>245</v>
      </c>
      <c r="AH15" s="31" t="s">
        <v>26</v>
      </c>
    </row>
    <row r="16" spans="1:34" ht="15.75" customHeight="1">
      <c r="A16" s="32" t="s">
        <v>57</v>
      </c>
      <c r="B16" s="264">
        <v>28</v>
      </c>
      <c r="C16" s="264">
        <v>0</v>
      </c>
      <c r="D16" s="29"/>
      <c r="E16" s="231">
        <f t="shared" si="38"/>
        <v>28</v>
      </c>
      <c r="F16" s="264">
        <v>9</v>
      </c>
      <c r="G16" s="264">
        <v>0</v>
      </c>
      <c r="H16" s="29">
        <v>0</v>
      </c>
      <c r="I16" s="231">
        <f t="shared" si="39"/>
        <v>9</v>
      </c>
      <c r="J16" s="264">
        <v>76</v>
      </c>
      <c r="K16" s="264">
        <v>0</v>
      </c>
      <c r="L16" s="29"/>
      <c r="M16" s="231">
        <f t="shared" si="40"/>
        <v>76</v>
      </c>
      <c r="N16" s="29"/>
      <c r="O16" s="29">
        <f t="shared" ref="O16:Q16" si="47">J16+F16+B16</f>
        <v>113</v>
      </c>
      <c r="P16" s="29">
        <f t="shared" si="47"/>
        <v>0</v>
      </c>
      <c r="Q16" s="29">
        <f t="shared" si="47"/>
        <v>0</v>
      </c>
      <c r="R16" s="259">
        <f t="shared" si="42"/>
        <v>113</v>
      </c>
      <c r="S16" s="260">
        <v>75</v>
      </c>
      <c r="T16" s="260">
        <f t="shared" si="43"/>
        <v>1</v>
      </c>
      <c r="U16" s="261" t="s">
        <v>218</v>
      </c>
      <c r="V16" s="31" t="s">
        <v>80</v>
      </c>
      <c r="W16" s="31">
        <v>76</v>
      </c>
      <c r="X16" s="31">
        <f t="shared" si="6"/>
        <v>0</v>
      </c>
      <c r="Y16" s="31">
        <v>76</v>
      </c>
      <c r="Z16" s="31">
        <f t="shared" si="7"/>
        <v>0</v>
      </c>
      <c r="AA16" s="31">
        <v>70</v>
      </c>
      <c r="AB16" s="31">
        <f t="shared" si="44"/>
        <v>6</v>
      </c>
      <c r="AC16" s="31">
        <v>70</v>
      </c>
      <c r="AD16" s="31">
        <f t="shared" si="45"/>
        <v>6</v>
      </c>
      <c r="AE16" s="199">
        <f t="shared" si="46"/>
        <v>1500</v>
      </c>
      <c r="AF16" s="31" t="s">
        <v>136</v>
      </c>
      <c r="AG16" s="31" t="s">
        <v>248</v>
      </c>
      <c r="AH16" s="31" t="s">
        <v>26</v>
      </c>
    </row>
    <row r="17" spans="1:45" ht="15.75" customHeight="1">
      <c r="A17" s="32" t="s">
        <v>58</v>
      </c>
      <c r="B17" s="264">
        <v>9</v>
      </c>
      <c r="C17" s="264"/>
      <c r="D17" s="29">
        <v>2</v>
      </c>
      <c r="E17" s="231">
        <f t="shared" si="38"/>
        <v>11</v>
      </c>
      <c r="F17" s="264">
        <v>4</v>
      </c>
      <c r="G17" s="264"/>
      <c r="H17" s="29"/>
      <c r="I17" s="231">
        <f t="shared" si="39"/>
        <v>4</v>
      </c>
      <c r="J17" s="264">
        <v>33</v>
      </c>
      <c r="K17" s="264"/>
      <c r="L17" s="29">
        <v>1</v>
      </c>
      <c r="M17" s="231">
        <f t="shared" si="40"/>
        <v>34</v>
      </c>
      <c r="N17" s="29"/>
      <c r="O17" s="29">
        <f t="shared" ref="O17:Q17" si="48">J17+F17+B17</f>
        <v>46</v>
      </c>
      <c r="P17" s="29">
        <f t="shared" si="48"/>
        <v>0</v>
      </c>
      <c r="Q17" s="29">
        <f t="shared" si="48"/>
        <v>3</v>
      </c>
      <c r="R17" s="259">
        <f t="shared" si="42"/>
        <v>49</v>
      </c>
      <c r="S17" s="260">
        <v>24</v>
      </c>
      <c r="T17" s="260">
        <f t="shared" si="43"/>
        <v>10</v>
      </c>
      <c r="U17" s="261" t="s">
        <v>218</v>
      </c>
      <c r="V17" s="31" t="s">
        <v>80</v>
      </c>
      <c r="W17" s="31">
        <v>34</v>
      </c>
      <c r="X17" s="31">
        <f t="shared" si="6"/>
        <v>0</v>
      </c>
      <c r="Y17" s="31">
        <v>33</v>
      </c>
      <c r="Z17" s="31">
        <f t="shared" si="7"/>
        <v>0</v>
      </c>
      <c r="AA17" s="31">
        <v>19</v>
      </c>
      <c r="AB17" s="31">
        <f t="shared" si="44"/>
        <v>14</v>
      </c>
      <c r="AC17" s="31">
        <v>25</v>
      </c>
      <c r="AD17" s="31">
        <f t="shared" si="45"/>
        <v>8</v>
      </c>
      <c r="AE17" s="199">
        <f t="shared" si="46"/>
        <v>2000</v>
      </c>
      <c r="AS17" s="31" t="s">
        <v>249</v>
      </c>
    </row>
    <row r="18" spans="1:45" ht="15.75" customHeight="1">
      <c r="A18" s="35" t="s">
        <v>59</v>
      </c>
      <c r="B18" s="244">
        <f t="shared" ref="B18:M18" si="49">SUM(B15:B17)</f>
        <v>62</v>
      </c>
      <c r="C18" s="244">
        <f t="shared" si="49"/>
        <v>11</v>
      </c>
      <c r="D18" s="244">
        <f t="shared" si="49"/>
        <v>24</v>
      </c>
      <c r="E18" s="244">
        <f t="shared" si="49"/>
        <v>97</v>
      </c>
      <c r="F18" s="244">
        <f t="shared" si="49"/>
        <v>19</v>
      </c>
      <c r="G18" s="244">
        <f t="shared" si="49"/>
        <v>11</v>
      </c>
      <c r="H18" s="244">
        <f t="shared" si="49"/>
        <v>60</v>
      </c>
      <c r="I18" s="244">
        <f t="shared" si="49"/>
        <v>90</v>
      </c>
      <c r="J18" s="244">
        <f t="shared" si="49"/>
        <v>174</v>
      </c>
      <c r="K18" s="244">
        <f t="shared" si="49"/>
        <v>13</v>
      </c>
      <c r="L18" s="244">
        <f t="shared" si="49"/>
        <v>99</v>
      </c>
      <c r="M18" s="244">
        <f t="shared" si="49"/>
        <v>286</v>
      </c>
      <c r="N18" s="29"/>
      <c r="O18" s="244">
        <f t="shared" ref="O18:T18" si="50">SUM(O15:O17)</f>
        <v>255</v>
      </c>
      <c r="P18" s="244">
        <f t="shared" si="50"/>
        <v>35</v>
      </c>
      <c r="Q18" s="244">
        <f t="shared" si="50"/>
        <v>175</v>
      </c>
      <c r="R18" s="248">
        <f t="shared" si="50"/>
        <v>465</v>
      </c>
      <c r="S18" s="263">
        <f t="shared" si="50"/>
        <v>307</v>
      </c>
      <c r="T18" s="263">
        <f t="shared" si="50"/>
        <v>-21</v>
      </c>
      <c r="W18" s="31">
        <f>SUM(W15:W17)</f>
        <v>285</v>
      </c>
      <c r="X18" s="31">
        <f t="shared" si="6"/>
        <v>1</v>
      </c>
      <c r="Y18" s="31">
        <f>SUM(Y15:Y17)</f>
        <v>187</v>
      </c>
      <c r="Z18" s="31">
        <f t="shared" si="7"/>
        <v>0</v>
      </c>
      <c r="AA18" s="24">
        <f t="shared" ref="AA18:AD18" si="51">SUM(AA15:AA17)</f>
        <v>171</v>
      </c>
      <c r="AB18" s="24">
        <f t="shared" si="51"/>
        <v>16</v>
      </c>
      <c r="AC18" s="24">
        <f t="shared" si="51"/>
        <v>155</v>
      </c>
      <c r="AD18" s="24">
        <f t="shared" si="51"/>
        <v>32</v>
      </c>
    </row>
    <row r="19" spans="1:45" ht="15.75" customHeight="1">
      <c r="A19" s="35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51"/>
      <c r="S19" s="252"/>
      <c r="T19" s="252"/>
    </row>
    <row r="20" spans="1:45" ht="15.75" customHeight="1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51"/>
      <c r="S20" s="252"/>
      <c r="T20" s="252"/>
    </row>
    <row r="21" spans="1:45" ht="15.75" customHeight="1">
      <c r="A21" s="126" t="s">
        <v>14</v>
      </c>
      <c r="B21" s="253">
        <f t="shared" ref="B21:M21" si="52">B18+B14+B9</f>
        <v>307</v>
      </c>
      <c r="C21" s="253">
        <f t="shared" si="52"/>
        <v>23</v>
      </c>
      <c r="D21" s="253">
        <f t="shared" si="52"/>
        <v>115</v>
      </c>
      <c r="E21" s="253">
        <f t="shared" si="52"/>
        <v>445</v>
      </c>
      <c r="F21" s="253">
        <f t="shared" si="52"/>
        <v>137</v>
      </c>
      <c r="G21" s="253">
        <f t="shared" si="52"/>
        <v>16</v>
      </c>
      <c r="H21" s="253">
        <f t="shared" si="52"/>
        <v>149</v>
      </c>
      <c r="I21" s="253">
        <f t="shared" si="52"/>
        <v>302</v>
      </c>
      <c r="J21" s="253">
        <f t="shared" si="52"/>
        <v>860</v>
      </c>
      <c r="K21" s="253">
        <f t="shared" si="52"/>
        <v>60</v>
      </c>
      <c r="L21" s="253">
        <f t="shared" si="52"/>
        <v>475</v>
      </c>
      <c r="M21" s="253">
        <f t="shared" si="52"/>
        <v>1395</v>
      </c>
      <c r="N21" s="162"/>
      <c r="O21" s="253">
        <f t="shared" ref="O21:T21" si="53">O18+O14+O9</f>
        <v>1304</v>
      </c>
      <c r="P21" s="253">
        <f t="shared" si="53"/>
        <v>99</v>
      </c>
      <c r="Q21" s="253">
        <f t="shared" si="53"/>
        <v>719</v>
      </c>
      <c r="R21" s="254">
        <f t="shared" si="53"/>
        <v>2122</v>
      </c>
      <c r="S21" s="255">
        <f t="shared" si="53"/>
        <v>1306</v>
      </c>
      <c r="T21" s="255">
        <f t="shared" si="53"/>
        <v>89</v>
      </c>
      <c r="W21" s="31">
        <f>W18+W14+W9</f>
        <v>1387</v>
      </c>
      <c r="X21" s="58">
        <f>M21-W21</f>
        <v>8</v>
      </c>
      <c r="Y21" s="31">
        <f>Y18+Y14+Y9</f>
        <v>921</v>
      </c>
      <c r="Z21" s="58">
        <f>J21+K21-Y21</f>
        <v>-1</v>
      </c>
      <c r="AA21" s="24">
        <f t="shared" ref="AA21:AD21" si="54">AA18+AA14+AA9</f>
        <v>747</v>
      </c>
      <c r="AB21" s="24">
        <f t="shared" si="54"/>
        <v>181</v>
      </c>
      <c r="AC21" s="24">
        <f t="shared" si="54"/>
        <v>801</v>
      </c>
      <c r="AD21" s="24">
        <f t="shared" si="54"/>
        <v>119</v>
      </c>
    </row>
    <row r="23" spans="1:45" ht="15.75" customHeight="1">
      <c r="J23" s="31">
        <v>801</v>
      </c>
      <c r="Q23" s="31" t="s">
        <v>250</v>
      </c>
      <c r="S23" s="265">
        <v>1415</v>
      </c>
      <c r="W23" s="31">
        <f>W21-Y21</f>
        <v>466</v>
      </c>
    </row>
    <row r="27" spans="1:45" ht="14.4">
      <c r="A27" s="149"/>
      <c r="B27" s="298" t="s">
        <v>251</v>
      </c>
      <c r="C27" s="275"/>
      <c r="D27" s="275"/>
      <c r="E27" s="275"/>
      <c r="F27" s="275"/>
      <c r="G27" s="275"/>
      <c r="H27" s="275"/>
      <c r="I27" s="275"/>
      <c r="J27" s="275"/>
      <c r="K27" s="275"/>
      <c r="L27" s="275"/>
      <c r="M27" s="276"/>
      <c r="N27" s="182"/>
      <c r="O27" s="182"/>
    </row>
    <row r="28" spans="1:45" ht="14.4">
      <c r="A28" s="32"/>
      <c r="B28" s="266" t="s">
        <v>203</v>
      </c>
      <c r="C28" s="128"/>
      <c r="D28" s="128"/>
      <c r="E28" s="277" t="s">
        <v>204</v>
      </c>
      <c r="F28" s="278"/>
      <c r="G28" s="278"/>
      <c r="H28" s="277" t="s">
        <v>108</v>
      </c>
      <c r="I28" s="278"/>
      <c r="J28" s="278"/>
      <c r="K28" s="277" t="s">
        <v>14</v>
      </c>
      <c r="L28" s="278"/>
      <c r="M28" s="279"/>
      <c r="N28" s="34"/>
      <c r="O28" s="34"/>
    </row>
    <row r="29" spans="1:45" ht="28.8">
      <c r="A29" s="35"/>
      <c r="B29" s="132" t="s">
        <v>26</v>
      </c>
      <c r="C29" s="132" t="s">
        <v>27</v>
      </c>
      <c r="D29" s="132" t="s">
        <v>28</v>
      </c>
      <c r="E29" s="132" t="s">
        <v>26</v>
      </c>
      <c r="F29" s="132" t="s">
        <v>27</v>
      </c>
      <c r="G29" s="132" t="s">
        <v>28</v>
      </c>
      <c r="H29" s="132" t="s">
        <v>26</v>
      </c>
      <c r="I29" s="132" t="s">
        <v>27</v>
      </c>
      <c r="J29" s="132" t="s">
        <v>28</v>
      </c>
      <c r="K29" s="132" t="s">
        <v>26</v>
      </c>
      <c r="L29" s="132" t="s">
        <v>27</v>
      </c>
      <c r="M29" s="135" t="s">
        <v>28</v>
      </c>
      <c r="N29" s="183" t="s">
        <v>252</v>
      </c>
      <c r="O29" s="183" t="s">
        <v>32</v>
      </c>
      <c r="P29" s="35"/>
      <c r="Q29" s="26" t="s">
        <v>208</v>
      </c>
      <c r="R29" s="24" t="s">
        <v>209</v>
      </c>
      <c r="T29" s="24"/>
      <c r="U29" s="24" t="s">
        <v>207</v>
      </c>
      <c r="V29" s="24" t="s">
        <v>3</v>
      </c>
    </row>
    <row r="30" spans="1:45" ht="14.4">
      <c r="A30" s="32" t="s">
        <v>24</v>
      </c>
      <c r="B30" s="233"/>
      <c r="C30" s="230">
        <v>1</v>
      </c>
      <c r="D30" s="231">
        <f t="shared" ref="D30:D33" si="55">SUM(A30:C30)</f>
        <v>1</v>
      </c>
      <c r="E30" s="233">
        <v>2</v>
      </c>
      <c r="F30" s="230"/>
      <c r="G30" s="231">
        <f t="shared" ref="G30:G33" si="56">E30+F30</f>
        <v>2</v>
      </c>
      <c r="H30" s="233">
        <v>22</v>
      </c>
      <c r="I30" s="230">
        <v>30</v>
      </c>
      <c r="J30" s="231">
        <f t="shared" ref="J30:J33" si="57">H30+I30</f>
        <v>52</v>
      </c>
      <c r="K30" s="230">
        <f t="shared" ref="K30:L30" si="58">H30+E30+B30</f>
        <v>24</v>
      </c>
      <c r="L30" s="230">
        <f t="shared" si="58"/>
        <v>31</v>
      </c>
      <c r="M30" s="259">
        <f t="shared" ref="M30:M33" si="59">SUM(K30:L30)</f>
        <v>55</v>
      </c>
      <c r="N30" s="260">
        <v>32</v>
      </c>
      <c r="O30" s="260">
        <f t="shared" ref="O30:O33" si="60">N30-M30</f>
        <v>-23</v>
      </c>
      <c r="P30" s="267" t="s">
        <v>24</v>
      </c>
      <c r="Q30" s="31">
        <v>52</v>
      </c>
      <c r="R30" s="31">
        <f t="shared" ref="R30:R38" si="61">J30-Q30</f>
        <v>0</v>
      </c>
      <c r="U30" s="261" t="s">
        <v>218</v>
      </c>
      <c r="V30" s="31" t="s">
        <v>49</v>
      </c>
    </row>
    <row r="31" spans="1:45" ht="14.4">
      <c r="A31" s="32" t="s">
        <v>36</v>
      </c>
      <c r="B31" s="233"/>
      <c r="C31" s="230"/>
      <c r="D31" s="231">
        <f t="shared" si="55"/>
        <v>0</v>
      </c>
      <c r="E31" s="233"/>
      <c r="F31" s="230"/>
      <c r="G31" s="231">
        <f t="shared" si="56"/>
        <v>0</v>
      </c>
      <c r="H31" s="233">
        <v>10</v>
      </c>
      <c r="I31" s="230"/>
      <c r="J31" s="231">
        <f t="shared" si="57"/>
        <v>10</v>
      </c>
      <c r="K31" s="230">
        <f t="shared" ref="K31:L31" si="62">H31+E31+B31</f>
        <v>10</v>
      </c>
      <c r="L31" s="230">
        <f t="shared" si="62"/>
        <v>0</v>
      </c>
      <c r="M31" s="259">
        <f t="shared" si="59"/>
        <v>10</v>
      </c>
      <c r="N31" s="260">
        <v>24</v>
      </c>
      <c r="O31" s="260">
        <f t="shared" si="60"/>
        <v>14</v>
      </c>
      <c r="P31" s="267" t="s">
        <v>36</v>
      </c>
      <c r="Q31" s="31">
        <v>10</v>
      </c>
      <c r="R31" s="31">
        <f t="shared" si="61"/>
        <v>0</v>
      </c>
      <c r="U31" s="261" t="s">
        <v>218</v>
      </c>
      <c r="V31" s="31" t="s">
        <v>49</v>
      </c>
    </row>
    <row r="32" spans="1:45" ht="14.4">
      <c r="A32" s="32" t="s">
        <v>40</v>
      </c>
      <c r="B32" s="233">
        <v>1</v>
      </c>
      <c r="C32" s="230"/>
      <c r="D32" s="231">
        <f t="shared" si="55"/>
        <v>1</v>
      </c>
      <c r="E32" s="233"/>
      <c r="F32" s="230"/>
      <c r="G32" s="231">
        <f t="shared" si="56"/>
        <v>0</v>
      </c>
      <c r="H32" s="233">
        <v>11</v>
      </c>
      <c r="I32" s="230"/>
      <c r="J32" s="231">
        <f t="shared" si="57"/>
        <v>11</v>
      </c>
      <c r="K32" s="230">
        <f t="shared" ref="K32:L32" si="63">H32+E32+B32</f>
        <v>12</v>
      </c>
      <c r="L32" s="230">
        <f t="shared" si="63"/>
        <v>0</v>
      </c>
      <c r="M32" s="259">
        <f t="shared" si="59"/>
        <v>12</v>
      </c>
      <c r="N32" s="260">
        <v>17</v>
      </c>
      <c r="O32" s="260">
        <f t="shared" si="60"/>
        <v>5</v>
      </c>
      <c r="P32" s="267" t="s">
        <v>40</v>
      </c>
      <c r="Q32" s="31">
        <v>11</v>
      </c>
      <c r="R32" s="31">
        <f t="shared" si="61"/>
        <v>0</v>
      </c>
      <c r="U32" s="261" t="s">
        <v>218</v>
      </c>
      <c r="V32" s="31" t="s">
        <v>49</v>
      </c>
    </row>
    <row r="33" spans="1:22" ht="14.4">
      <c r="A33" s="32" t="s">
        <v>41</v>
      </c>
      <c r="B33" s="233">
        <v>1</v>
      </c>
      <c r="C33" s="230"/>
      <c r="D33" s="231">
        <f t="shared" si="55"/>
        <v>1</v>
      </c>
      <c r="E33" s="233"/>
      <c r="F33" s="230"/>
      <c r="G33" s="231">
        <f t="shared" si="56"/>
        <v>0</v>
      </c>
      <c r="H33" s="233">
        <v>23</v>
      </c>
      <c r="I33" s="230"/>
      <c r="J33" s="231">
        <f t="shared" si="57"/>
        <v>23</v>
      </c>
      <c r="K33" s="230">
        <f t="shared" ref="K33:L33" si="64">H33+E33+B33</f>
        <v>24</v>
      </c>
      <c r="L33" s="230">
        <f t="shared" si="64"/>
        <v>0</v>
      </c>
      <c r="M33" s="259">
        <f t="shared" si="59"/>
        <v>24</v>
      </c>
      <c r="N33" s="260">
        <v>21</v>
      </c>
      <c r="O33" s="260">
        <f t="shared" si="60"/>
        <v>-3</v>
      </c>
      <c r="P33" s="267" t="s">
        <v>41</v>
      </c>
      <c r="Q33" s="31">
        <v>23</v>
      </c>
      <c r="R33" s="31">
        <f t="shared" si="61"/>
        <v>0</v>
      </c>
      <c r="U33" s="261" t="s">
        <v>218</v>
      </c>
      <c r="V33" s="31" t="s">
        <v>49</v>
      </c>
    </row>
    <row r="34" spans="1:22" ht="14.4">
      <c r="A34" s="35" t="s">
        <v>44</v>
      </c>
      <c r="B34" s="244">
        <f t="shared" ref="B34:K34" si="65">SUM(B30:B33)</f>
        <v>2</v>
      </c>
      <c r="C34" s="244">
        <f t="shared" si="65"/>
        <v>1</v>
      </c>
      <c r="D34" s="244">
        <f t="shared" si="65"/>
        <v>3</v>
      </c>
      <c r="E34" s="244">
        <f t="shared" si="65"/>
        <v>2</v>
      </c>
      <c r="F34" s="244">
        <f t="shared" si="65"/>
        <v>0</v>
      </c>
      <c r="G34" s="244">
        <f t="shared" si="65"/>
        <v>2</v>
      </c>
      <c r="H34" s="244">
        <f t="shared" si="65"/>
        <v>66</v>
      </c>
      <c r="I34" s="244">
        <f t="shared" si="65"/>
        <v>30</v>
      </c>
      <c r="J34" s="244">
        <f t="shared" si="65"/>
        <v>96</v>
      </c>
      <c r="K34" s="244">
        <f t="shared" si="65"/>
        <v>70</v>
      </c>
      <c r="L34" s="244">
        <f>SUM(L30:L33)</f>
        <v>31</v>
      </c>
      <c r="M34" s="248">
        <f t="shared" ref="M34:O34" si="66">SUM(M30:M33)</f>
        <v>101</v>
      </c>
      <c r="N34" s="263">
        <f t="shared" si="66"/>
        <v>94</v>
      </c>
      <c r="O34" s="263">
        <f t="shared" si="66"/>
        <v>-7</v>
      </c>
      <c r="P34" s="35" t="s">
        <v>44</v>
      </c>
      <c r="Q34" s="31">
        <f>SUM(Q30:Q33)</f>
        <v>96</v>
      </c>
      <c r="R34" s="31">
        <f t="shared" si="61"/>
        <v>0</v>
      </c>
      <c r="U34" s="261"/>
    </row>
    <row r="35" spans="1:22" ht="14.4">
      <c r="A35" s="32" t="s">
        <v>46</v>
      </c>
      <c r="B35" s="29">
        <v>3</v>
      </c>
      <c r="C35" s="29"/>
      <c r="D35" s="231">
        <f t="shared" ref="D35:D38" si="67">SUM(A35:C35)</f>
        <v>3</v>
      </c>
      <c r="E35" s="29">
        <v>1</v>
      </c>
      <c r="F35" s="29"/>
      <c r="G35" s="231">
        <f t="shared" ref="G35:G38" si="68">E35+F35</f>
        <v>1</v>
      </c>
      <c r="H35" s="29">
        <v>16</v>
      </c>
      <c r="I35" s="29"/>
      <c r="J35" s="231">
        <f t="shared" ref="J35:J38" si="69">H35+I35</f>
        <v>16</v>
      </c>
      <c r="K35" s="230">
        <f t="shared" ref="K35:L35" si="70">H35+E35+B35</f>
        <v>20</v>
      </c>
      <c r="L35" s="230">
        <f t="shared" si="70"/>
        <v>0</v>
      </c>
      <c r="M35" s="259">
        <f t="shared" ref="M35:M38" si="71">SUM(K35:L35)</f>
        <v>20</v>
      </c>
      <c r="N35" s="260">
        <v>18</v>
      </c>
      <c r="O35" s="260">
        <f t="shared" ref="O35:O38" si="72">N35-M35</f>
        <v>-2</v>
      </c>
      <c r="P35" s="267" t="s">
        <v>46</v>
      </c>
      <c r="Q35" s="31">
        <v>15</v>
      </c>
      <c r="R35" s="228">
        <f t="shared" si="61"/>
        <v>1</v>
      </c>
      <c r="U35" s="261"/>
    </row>
    <row r="36" spans="1:22" ht="14.4">
      <c r="A36" s="32" t="s">
        <v>51</v>
      </c>
      <c r="B36" s="29">
        <v>5</v>
      </c>
      <c r="C36" s="29"/>
      <c r="D36" s="231">
        <f t="shared" si="67"/>
        <v>5</v>
      </c>
      <c r="E36" s="29"/>
      <c r="F36" s="29"/>
      <c r="G36" s="231">
        <f t="shared" si="68"/>
        <v>0</v>
      </c>
      <c r="H36" s="29">
        <v>18</v>
      </c>
      <c r="I36" s="29"/>
      <c r="J36" s="231">
        <f t="shared" si="69"/>
        <v>18</v>
      </c>
      <c r="K36" s="230">
        <f t="shared" ref="K36:L36" si="73">H36+E36+B36</f>
        <v>23</v>
      </c>
      <c r="L36" s="230">
        <f t="shared" si="73"/>
        <v>0</v>
      </c>
      <c r="M36" s="259">
        <f t="shared" si="71"/>
        <v>23</v>
      </c>
      <c r="N36" s="260">
        <v>20</v>
      </c>
      <c r="O36" s="260">
        <f t="shared" si="72"/>
        <v>-3</v>
      </c>
      <c r="P36" s="267" t="s">
        <v>51</v>
      </c>
      <c r="Q36" s="31">
        <v>17</v>
      </c>
      <c r="R36" s="228">
        <f t="shared" si="61"/>
        <v>1</v>
      </c>
      <c r="U36" s="261"/>
    </row>
    <row r="37" spans="1:22" ht="14.4">
      <c r="A37" s="32" t="s">
        <v>52</v>
      </c>
      <c r="B37" s="29">
        <v>1</v>
      </c>
      <c r="C37" s="29"/>
      <c r="D37" s="231">
        <f t="shared" si="67"/>
        <v>1</v>
      </c>
      <c r="E37" s="29">
        <v>1</v>
      </c>
      <c r="F37" s="29"/>
      <c r="G37" s="231">
        <f t="shared" si="68"/>
        <v>1</v>
      </c>
      <c r="H37" s="29">
        <v>12</v>
      </c>
      <c r="I37" s="29"/>
      <c r="J37" s="231">
        <f t="shared" si="69"/>
        <v>12</v>
      </c>
      <c r="K37" s="230">
        <v>14</v>
      </c>
      <c r="L37" s="230">
        <f>I37+F37+C37</f>
        <v>0</v>
      </c>
      <c r="M37" s="259">
        <f t="shared" si="71"/>
        <v>14</v>
      </c>
      <c r="N37" s="260">
        <v>13</v>
      </c>
      <c r="O37" s="260">
        <f t="shared" si="72"/>
        <v>-1</v>
      </c>
      <c r="P37" s="267" t="s">
        <v>52</v>
      </c>
      <c r="Q37" s="31">
        <v>12</v>
      </c>
      <c r="R37" s="31">
        <f t="shared" si="61"/>
        <v>0</v>
      </c>
      <c r="U37" s="261"/>
    </row>
    <row r="38" spans="1:22" ht="14.4">
      <c r="A38" s="32" t="s">
        <v>53</v>
      </c>
      <c r="B38" s="29">
        <v>1</v>
      </c>
      <c r="C38" s="29"/>
      <c r="D38" s="231">
        <f t="shared" si="67"/>
        <v>1</v>
      </c>
      <c r="E38" s="29">
        <v>1</v>
      </c>
      <c r="F38" s="29"/>
      <c r="G38" s="231">
        <f t="shared" si="68"/>
        <v>1</v>
      </c>
      <c r="H38" s="29">
        <v>10</v>
      </c>
      <c r="I38" s="29"/>
      <c r="J38" s="231">
        <f t="shared" si="69"/>
        <v>10</v>
      </c>
      <c r="K38" s="230">
        <f t="shared" ref="K38:L38" si="74">H38+E38+B38</f>
        <v>12</v>
      </c>
      <c r="L38" s="230">
        <f t="shared" si="74"/>
        <v>0</v>
      </c>
      <c r="M38" s="259">
        <f t="shared" si="71"/>
        <v>12</v>
      </c>
      <c r="N38" s="260">
        <v>25</v>
      </c>
      <c r="O38" s="260">
        <f t="shared" si="72"/>
        <v>13</v>
      </c>
      <c r="P38" s="267" t="s">
        <v>53</v>
      </c>
      <c r="Q38" s="31">
        <v>11</v>
      </c>
      <c r="R38" s="228">
        <f t="shared" si="61"/>
        <v>-1</v>
      </c>
      <c r="U38" s="261"/>
    </row>
    <row r="39" spans="1:22" ht="14.4">
      <c r="A39" s="35" t="s">
        <v>54</v>
      </c>
      <c r="B39" s="244">
        <f t="shared" ref="B39:K39" si="75">SUM(B35:B38)</f>
        <v>10</v>
      </c>
      <c r="C39" s="244">
        <f t="shared" si="75"/>
        <v>0</v>
      </c>
      <c r="D39" s="244">
        <f t="shared" si="75"/>
        <v>10</v>
      </c>
      <c r="E39" s="244">
        <f t="shared" si="75"/>
        <v>3</v>
      </c>
      <c r="F39" s="244">
        <f t="shared" si="75"/>
        <v>0</v>
      </c>
      <c r="G39" s="244">
        <f t="shared" si="75"/>
        <v>3</v>
      </c>
      <c r="H39" s="244">
        <f t="shared" si="75"/>
        <v>56</v>
      </c>
      <c r="I39" s="244">
        <f t="shared" si="75"/>
        <v>0</v>
      </c>
      <c r="J39" s="244">
        <f t="shared" si="75"/>
        <v>56</v>
      </c>
      <c r="K39" s="244">
        <f t="shared" si="75"/>
        <v>69</v>
      </c>
      <c r="L39" s="244">
        <f>SUM(L35:L38)</f>
        <v>0</v>
      </c>
      <c r="M39" s="248">
        <f t="shared" ref="M39:O39" si="76">SUM(M35:M38)</f>
        <v>69</v>
      </c>
      <c r="N39" s="263">
        <f t="shared" si="76"/>
        <v>76</v>
      </c>
      <c r="O39" s="263">
        <f t="shared" si="76"/>
        <v>7</v>
      </c>
      <c r="P39" s="35" t="s">
        <v>54</v>
      </c>
      <c r="Q39" s="31">
        <f>SUM(Q35:Q38)</f>
        <v>55</v>
      </c>
      <c r="R39" s="31">
        <v>0</v>
      </c>
      <c r="U39" s="261"/>
    </row>
    <row r="40" spans="1:22" ht="14.4">
      <c r="A40" s="32" t="s">
        <v>55</v>
      </c>
      <c r="B40" s="29"/>
      <c r="C40" s="29"/>
      <c r="D40" s="231">
        <f t="shared" ref="D40:D42" si="77">SUM(A40:C40)</f>
        <v>0</v>
      </c>
      <c r="E40" s="29">
        <v>1</v>
      </c>
      <c r="F40" s="29">
        <v>1</v>
      </c>
      <c r="G40" s="231">
        <f t="shared" ref="G40:G42" si="78">E40+F40</f>
        <v>2</v>
      </c>
      <c r="H40" s="29">
        <v>10</v>
      </c>
      <c r="I40" s="29"/>
      <c r="J40" s="231">
        <f t="shared" ref="J40:J42" si="79">H40+I40</f>
        <v>10</v>
      </c>
      <c r="K40" s="230">
        <f t="shared" ref="K40:L40" si="80">H40+E40+B40</f>
        <v>11</v>
      </c>
      <c r="L40" s="230">
        <f t="shared" si="80"/>
        <v>1</v>
      </c>
      <c r="M40" s="259">
        <f t="shared" ref="M40:M42" si="81">SUM(K40:L40)</f>
        <v>12</v>
      </c>
      <c r="N40" s="260">
        <v>18</v>
      </c>
      <c r="O40" s="260">
        <f t="shared" ref="O40:O42" si="82">N40-M40</f>
        <v>6</v>
      </c>
      <c r="P40" s="267" t="s">
        <v>55</v>
      </c>
      <c r="Q40" s="31">
        <v>10</v>
      </c>
      <c r="R40" s="31">
        <f t="shared" ref="R40:R43" si="83">J40-Q40</f>
        <v>0</v>
      </c>
      <c r="T40" s="268"/>
      <c r="U40" s="261" t="s">
        <v>218</v>
      </c>
      <c r="V40" s="31" t="s">
        <v>80</v>
      </c>
    </row>
    <row r="41" spans="1:22" ht="14.4">
      <c r="A41" s="32" t="s">
        <v>57</v>
      </c>
      <c r="B41" s="29">
        <v>2</v>
      </c>
      <c r="C41" s="29"/>
      <c r="D41" s="231">
        <f t="shared" si="77"/>
        <v>2</v>
      </c>
      <c r="E41" s="29"/>
      <c r="F41" s="29"/>
      <c r="G41" s="231">
        <f t="shared" si="78"/>
        <v>0</v>
      </c>
      <c r="H41" s="29">
        <v>15</v>
      </c>
      <c r="I41" s="29"/>
      <c r="J41" s="231">
        <f t="shared" si="79"/>
        <v>15</v>
      </c>
      <c r="K41" s="230">
        <f t="shared" ref="K41:L41" si="84">H41+E41+B41</f>
        <v>17</v>
      </c>
      <c r="L41" s="230">
        <f t="shared" si="84"/>
        <v>0</v>
      </c>
      <c r="M41" s="259">
        <f t="shared" si="81"/>
        <v>17</v>
      </c>
      <c r="N41" s="260">
        <v>25</v>
      </c>
      <c r="O41" s="260">
        <f t="shared" si="82"/>
        <v>8</v>
      </c>
      <c r="P41" s="267" t="s">
        <v>57</v>
      </c>
      <c r="Q41" s="31">
        <v>15</v>
      </c>
      <c r="R41" s="31">
        <f t="shared" si="83"/>
        <v>0</v>
      </c>
      <c r="T41" s="268"/>
      <c r="U41" s="261" t="s">
        <v>218</v>
      </c>
      <c r="V41" s="31" t="s">
        <v>80</v>
      </c>
    </row>
    <row r="42" spans="1:22" ht="14.4">
      <c r="A42" s="32" t="s">
        <v>58</v>
      </c>
      <c r="B42" s="29">
        <v>1</v>
      </c>
      <c r="C42" s="29"/>
      <c r="D42" s="231">
        <f t="shared" si="77"/>
        <v>1</v>
      </c>
      <c r="E42" s="29">
        <v>1</v>
      </c>
      <c r="F42" s="29"/>
      <c r="G42" s="231">
        <f t="shared" si="78"/>
        <v>1</v>
      </c>
      <c r="H42" s="29">
        <v>4</v>
      </c>
      <c r="I42" s="29">
        <v>0</v>
      </c>
      <c r="J42" s="231">
        <f t="shared" si="79"/>
        <v>4</v>
      </c>
      <c r="K42" s="230">
        <f t="shared" ref="K42:L42" si="85">H42+E42+B42</f>
        <v>6</v>
      </c>
      <c r="L42" s="230">
        <f t="shared" si="85"/>
        <v>0</v>
      </c>
      <c r="M42" s="259">
        <f t="shared" si="81"/>
        <v>6</v>
      </c>
      <c r="N42" s="260">
        <v>8</v>
      </c>
      <c r="O42" s="260">
        <f t="shared" si="82"/>
        <v>2</v>
      </c>
      <c r="P42" s="267" t="s">
        <v>58</v>
      </c>
      <c r="Q42" s="31">
        <v>4</v>
      </c>
      <c r="R42" s="31">
        <f t="shared" si="83"/>
        <v>0</v>
      </c>
      <c r="T42" s="268"/>
      <c r="U42" s="261" t="s">
        <v>218</v>
      </c>
      <c r="V42" s="31" t="s">
        <v>80</v>
      </c>
    </row>
    <row r="43" spans="1:22" ht="14.4">
      <c r="A43" s="35" t="s">
        <v>59</v>
      </c>
      <c r="B43" s="244">
        <f t="shared" ref="B43:O43" si="86">SUM(B40:B42)</f>
        <v>3</v>
      </c>
      <c r="C43" s="244">
        <f t="shared" si="86"/>
        <v>0</v>
      </c>
      <c r="D43" s="244">
        <f t="shared" si="86"/>
        <v>3</v>
      </c>
      <c r="E43" s="244">
        <f t="shared" si="86"/>
        <v>2</v>
      </c>
      <c r="F43" s="244">
        <f t="shared" si="86"/>
        <v>1</v>
      </c>
      <c r="G43" s="244">
        <f t="shared" si="86"/>
        <v>3</v>
      </c>
      <c r="H43" s="244">
        <f t="shared" si="86"/>
        <v>29</v>
      </c>
      <c r="I43" s="244">
        <f t="shared" si="86"/>
        <v>0</v>
      </c>
      <c r="J43" s="244">
        <f t="shared" si="86"/>
        <v>29</v>
      </c>
      <c r="K43" s="244">
        <f t="shared" si="86"/>
        <v>34</v>
      </c>
      <c r="L43" s="244">
        <f t="shared" si="86"/>
        <v>1</v>
      </c>
      <c r="M43" s="248">
        <f t="shared" si="86"/>
        <v>35</v>
      </c>
      <c r="N43" s="263">
        <f t="shared" si="86"/>
        <v>51</v>
      </c>
      <c r="O43" s="263">
        <f t="shared" si="86"/>
        <v>16</v>
      </c>
      <c r="P43" s="35" t="s">
        <v>59</v>
      </c>
      <c r="Q43" s="31">
        <f>SUM(Q40:Q42)</f>
        <v>29</v>
      </c>
      <c r="R43" s="31">
        <f t="shared" si="83"/>
        <v>0</v>
      </c>
    </row>
    <row r="44" spans="1:22" ht="14.4">
      <c r="A44" s="35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51"/>
      <c r="N44" s="252"/>
      <c r="O44" s="252"/>
    </row>
    <row r="45" spans="1:22" ht="14.4">
      <c r="A45" s="32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51"/>
      <c r="N45" s="252"/>
      <c r="O45" s="252"/>
    </row>
    <row r="46" spans="1:22" ht="14.4">
      <c r="A46" s="126" t="s">
        <v>14</v>
      </c>
      <c r="B46" s="253">
        <f t="shared" ref="B46:O46" si="87">B43+B39+B34</f>
        <v>15</v>
      </c>
      <c r="C46" s="253">
        <f t="shared" si="87"/>
        <v>1</v>
      </c>
      <c r="D46" s="253">
        <f t="shared" si="87"/>
        <v>16</v>
      </c>
      <c r="E46" s="253">
        <f t="shared" si="87"/>
        <v>7</v>
      </c>
      <c r="F46" s="253">
        <f t="shared" si="87"/>
        <v>1</v>
      </c>
      <c r="G46" s="253">
        <f t="shared" si="87"/>
        <v>8</v>
      </c>
      <c r="H46" s="253">
        <f t="shared" si="87"/>
        <v>151</v>
      </c>
      <c r="I46" s="253">
        <f t="shared" si="87"/>
        <v>30</v>
      </c>
      <c r="J46" s="253">
        <f t="shared" si="87"/>
        <v>181</v>
      </c>
      <c r="K46" s="253">
        <f t="shared" si="87"/>
        <v>173</v>
      </c>
      <c r="L46" s="253">
        <f t="shared" si="87"/>
        <v>32</v>
      </c>
      <c r="M46" s="254">
        <f t="shared" si="87"/>
        <v>205</v>
      </c>
      <c r="N46" s="255">
        <f t="shared" si="87"/>
        <v>221</v>
      </c>
      <c r="O46" s="255">
        <f t="shared" si="87"/>
        <v>16</v>
      </c>
      <c r="Q46" s="31">
        <f>Q43+Q39+Q34</f>
        <v>180</v>
      </c>
      <c r="R46" s="58">
        <f>J46-Q46</f>
        <v>1</v>
      </c>
    </row>
  </sheetData>
  <mergeCells count="9">
    <mergeCell ref="H28:J28"/>
    <mergeCell ref="K28:M28"/>
    <mergeCell ref="B2:R2"/>
    <mergeCell ref="B3:E3"/>
    <mergeCell ref="F3:I3"/>
    <mergeCell ref="J3:M3"/>
    <mergeCell ref="O3:R3"/>
    <mergeCell ref="B27:M27"/>
    <mergeCell ref="E28:G28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2:AD22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.75" customHeight="1"/>
  <cols>
    <col min="2" max="8" width="10.33203125" customWidth="1"/>
    <col min="9" max="9" width="11" customWidth="1"/>
    <col min="10" max="18" width="10.33203125" customWidth="1"/>
    <col min="20" max="28" width="14" customWidth="1"/>
    <col min="29" max="29" width="33.77734375" customWidth="1"/>
    <col min="30" max="30" width="19.88671875" customWidth="1"/>
  </cols>
  <sheetData>
    <row r="2" spans="1:30" ht="15.75" customHeight="1">
      <c r="A2" s="149"/>
      <c r="B2" s="298" t="s">
        <v>183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6"/>
    </row>
    <row r="3" spans="1:30" ht="15.75" customHeight="1">
      <c r="A3" s="32"/>
      <c r="B3" s="277" t="s">
        <v>219</v>
      </c>
      <c r="C3" s="278"/>
      <c r="D3" s="278"/>
      <c r="E3" s="278"/>
      <c r="F3" s="277" t="s">
        <v>220</v>
      </c>
      <c r="G3" s="278"/>
      <c r="H3" s="278"/>
      <c r="I3" s="278"/>
      <c r="J3" s="277" t="s">
        <v>114</v>
      </c>
      <c r="K3" s="278"/>
      <c r="L3" s="278"/>
      <c r="M3" s="278"/>
      <c r="N3" s="29"/>
      <c r="O3" s="277" t="s">
        <v>14</v>
      </c>
      <c r="P3" s="278"/>
      <c r="Q3" s="278"/>
      <c r="R3" s="279"/>
    </row>
    <row r="4" spans="1:30" ht="15.75" customHeight="1">
      <c r="A4" s="35"/>
      <c r="B4" s="132" t="s">
        <v>26</v>
      </c>
      <c r="C4" s="132" t="s">
        <v>27</v>
      </c>
      <c r="D4" s="132" t="s">
        <v>182</v>
      </c>
      <c r="E4" s="132" t="s">
        <v>28</v>
      </c>
      <c r="F4" s="132" t="s">
        <v>26</v>
      </c>
      <c r="G4" s="132" t="s">
        <v>27</v>
      </c>
      <c r="H4" s="132" t="s">
        <v>182</v>
      </c>
      <c r="I4" s="132" t="s">
        <v>28</v>
      </c>
      <c r="J4" s="132" t="s">
        <v>26</v>
      </c>
      <c r="K4" s="132" t="s">
        <v>27</v>
      </c>
      <c r="L4" s="132" t="s">
        <v>182</v>
      </c>
      <c r="M4" s="132" t="s">
        <v>28</v>
      </c>
      <c r="N4" s="38"/>
      <c r="O4" s="132" t="s">
        <v>26</v>
      </c>
      <c r="P4" s="132" t="s">
        <v>27</v>
      </c>
      <c r="Q4" s="132" t="s">
        <v>182</v>
      </c>
      <c r="R4" s="135" t="s">
        <v>28</v>
      </c>
      <c r="S4" s="31" t="s">
        <v>207</v>
      </c>
      <c r="T4" s="24" t="s">
        <v>3</v>
      </c>
      <c r="U4" s="24" t="s">
        <v>222</v>
      </c>
      <c r="V4" s="24"/>
      <c r="W4" s="132" t="s">
        <v>26</v>
      </c>
      <c r="X4" s="132" t="s">
        <v>27</v>
      </c>
      <c r="Y4" s="132" t="s">
        <v>182</v>
      </c>
      <c r="Z4" s="135" t="s">
        <v>28</v>
      </c>
      <c r="AA4" s="24"/>
      <c r="AB4" s="24" t="s">
        <v>215</v>
      </c>
      <c r="AC4" s="24" t="s">
        <v>216</v>
      </c>
      <c r="AD4" s="24" t="s">
        <v>217</v>
      </c>
    </row>
    <row r="5" spans="1:30" ht="15.75" customHeight="1">
      <c r="A5" s="32" t="s">
        <v>24</v>
      </c>
      <c r="B5" s="233">
        <v>49</v>
      </c>
      <c r="C5" s="230">
        <v>1</v>
      </c>
      <c r="D5" s="230">
        <v>128</v>
      </c>
      <c r="E5" s="231">
        <f t="shared" ref="E5:E8" si="0">SUM(B5:D5)</f>
        <v>178</v>
      </c>
      <c r="F5" s="233">
        <v>46</v>
      </c>
      <c r="G5" s="230">
        <v>0</v>
      </c>
      <c r="H5" s="230">
        <v>124</v>
      </c>
      <c r="I5" s="231">
        <f t="shared" ref="I5:I8" si="1">SUM(F5:H5)</f>
        <v>170</v>
      </c>
      <c r="J5" s="233">
        <v>41</v>
      </c>
      <c r="K5" s="230">
        <v>0</v>
      </c>
      <c r="L5" s="230">
        <v>213</v>
      </c>
      <c r="M5" s="231">
        <f t="shared" ref="M5:M8" si="2">SUM(J5:L5)</f>
        <v>254</v>
      </c>
      <c r="N5" s="29" t="str">
        <f t="shared" ref="N5:N8" si="3">IF(M5&gt;U5,"Over RR","")</f>
        <v/>
      </c>
      <c r="O5" s="29">
        <f t="shared" ref="O5:Q5" si="4">J5+F5+B5</f>
        <v>136</v>
      </c>
      <c r="P5" s="29">
        <f t="shared" si="4"/>
        <v>1</v>
      </c>
      <c r="Q5" s="29">
        <f t="shared" si="4"/>
        <v>465</v>
      </c>
      <c r="R5" s="259">
        <f t="shared" ref="R5:R8" si="5">SUM(O5:Q5)</f>
        <v>602</v>
      </c>
      <c r="S5" s="31" t="s">
        <v>225</v>
      </c>
      <c r="T5" s="31" t="s">
        <v>123</v>
      </c>
      <c r="U5" s="31">
        <v>265</v>
      </c>
      <c r="V5" s="31"/>
      <c r="W5" s="31">
        <v>41</v>
      </c>
      <c r="X5" s="31">
        <v>0</v>
      </c>
      <c r="Y5" s="31">
        <v>213</v>
      </c>
      <c r="Z5" s="31">
        <f t="shared" ref="Z5:Z8" si="6">SUM(W5:Y5)</f>
        <v>254</v>
      </c>
      <c r="AA5" s="31">
        <f t="shared" ref="AA5:AA18" si="7">M5-Z5</f>
        <v>0</v>
      </c>
      <c r="AB5" s="31" t="s">
        <v>144</v>
      </c>
      <c r="AC5" s="31" t="s">
        <v>221</v>
      </c>
      <c r="AD5" s="31" t="s">
        <v>26</v>
      </c>
    </row>
    <row r="6" spans="1:30" ht="15.75" customHeight="1">
      <c r="A6" s="32" t="s">
        <v>36</v>
      </c>
      <c r="B6" s="233">
        <v>33</v>
      </c>
      <c r="C6" s="230">
        <v>4</v>
      </c>
      <c r="D6" s="230">
        <v>18</v>
      </c>
      <c r="E6" s="231">
        <f t="shared" si="0"/>
        <v>55</v>
      </c>
      <c r="F6" s="233">
        <v>39</v>
      </c>
      <c r="G6" s="230">
        <v>4</v>
      </c>
      <c r="H6" s="230">
        <v>43</v>
      </c>
      <c r="I6" s="231">
        <f t="shared" si="1"/>
        <v>86</v>
      </c>
      <c r="J6" s="233">
        <v>29</v>
      </c>
      <c r="K6" s="230">
        <v>0</v>
      </c>
      <c r="L6" s="230">
        <v>34</v>
      </c>
      <c r="M6" s="231">
        <f t="shared" si="2"/>
        <v>63</v>
      </c>
      <c r="N6" s="29" t="str">
        <f t="shared" si="3"/>
        <v>Over RR</v>
      </c>
      <c r="O6" s="29">
        <f t="shared" ref="O6:Q6" si="8">J6+F6+B6</f>
        <v>101</v>
      </c>
      <c r="P6" s="29">
        <f t="shared" si="8"/>
        <v>8</v>
      </c>
      <c r="Q6" s="29">
        <f t="shared" si="8"/>
        <v>95</v>
      </c>
      <c r="R6" s="259">
        <f t="shared" si="5"/>
        <v>204</v>
      </c>
      <c r="S6" s="31" t="s">
        <v>225</v>
      </c>
      <c r="T6" s="31" t="s">
        <v>123</v>
      </c>
      <c r="U6" s="31">
        <v>53</v>
      </c>
      <c r="V6" s="31"/>
      <c r="W6" s="31">
        <v>29</v>
      </c>
      <c r="X6" s="31">
        <v>0</v>
      </c>
      <c r="Y6" s="31">
        <v>34</v>
      </c>
      <c r="Z6" s="31">
        <f t="shared" si="6"/>
        <v>63</v>
      </c>
      <c r="AA6" s="31">
        <f t="shared" si="7"/>
        <v>0</v>
      </c>
      <c r="AB6" s="31" t="s">
        <v>142</v>
      </c>
      <c r="AC6" s="31" t="s">
        <v>95</v>
      </c>
      <c r="AD6" s="31" t="s">
        <v>26</v>
      </c>
    </row>
    <row r="7" spans="1:30" ht="15.75" customHeight="1">
      <c r="A7" s="32" t="s">
        <v>40</v>
      </c>
      <c r="B7" s="233">
        <v>42</v>
      </c>
      <c r="C7" s="230">
        <v>1</v>
      </c>
      <c r="D7" s="230">
        <v>0</v>
      </c>
      <c r="E7" s="231">
        <f t="shared" si="0"/>
        <v>43</v>
      </c>
      <c r="F7" s="233">
        <v>43</v>
      </c>
      <c r="G7" s="230">
        <v>0</v>
      </c>
      <c r="H7" s="230">
        <v>0</v>
      </c>
      <c r="I7" s="231">
        <f t="shared" si="1"/>
        <v>43</v>
      </c>
      <c r="J7" s="233">
        <v>27</v>
      </c>
      <c r="K7" s="230">
        <v>0</v>
      </c>
      <c r="L7" s="230">
        <v>0</v>
      </c>
      <c r="M7" s="231">
        <f t="shared" si="2"/>
        <v>27</v>
      </c>
      <c r="N7" s="29" t="str">
        <f t="shared" si="3"/>
        <v>Over RR</v>
      </c>
      <c r="O7" s="29">
        <f t="shared" ref="O7:Q7" si="9">J7+F7+B7</f>
        <v>112</v>
      </c>
      <c r="P7" s="29">
        <f t="shared" si="9"/>
        <v>1</v>
      </c>
      <c r="Q7" s="29">
        <f t="shared" si="9"/>
        <v>0</v>
      </c>
      <c r="R7" s="259">
        <f t="shared" si="5"/>
        <v>113</v>
      </c>
      <c r="S7" s="31" t="s">
        <v>225</v>
      </c>
      <c r="T7" s="31" t="s">
        <v>123</v>
      </c>
      <c r="U7" s="31">
        <v>12</v>
      </c>
      <c r="V7" s="31"/>
      <c r="W7" s="31">
        <v>27</v>
      </c>
      <c r="X7" s="31">
        <v>0</v>
      </c>
      <c r="Y7" s="31">
        <v>0</v>
      </c>
      <c r="Z7" s="31">
        <f t="shared" si="6"/>
        <v>27</v>
      </c>
      <c r="AA7" s="31">
        <f t="shared" si="7"/>
        <v>0</v>
      </c>
      <c r="AB7" s="31" t="s">
        <v>223</v>
      </c>
      <c r="AC7" s="31" t="s">
        <v>224</v>
      </c>
      <c r="AD7" s="31" t="s">
        <v>182</v>
      </c>
    </row>
    <row r="8" spans="1:30" ht="15.75" customHeight="1">
      <c r="A8" s="32" t="s">
        <v>41</v>
      </c>
      <c r="B8" s="233">
        <v>38</v>
      </c>
      <c r="C8" s="230">
        <v>0</v>
      </c>
      <c r="D8" s="230">
        <v>0</v>
      </c>
      <c r="E8" s="231">
        <f t="shared" si="0"/>
        <v>38</v>
      </c>
      <c r="F8" s="233">
        <v>29</v>
      </c>
      <c r="G8" s="230">
        <v>0</v>
      </c>
      <c r="H8" s="230">
        <v>0</v>
      </c>
      <c r="I8" s="231">
        <f t="shared" si="1"/>
        <v>29</v>
      </c>
      <c r="J8" s="233">
        <v>31</v>
      </c>
      <c r="K8" s="230">
        <v>0</v>
      </c>
      <c r="L8" s="230">
        <v>0</v>
      </c>
      <c r="M8" s="231">
        <f t="shared" si="2"/>
        <v>31</v>
      </c>
      <c r="N8" s="29" t="str">
        <f t="shared" si="3"/>
        <v>Over RR</v>
      </c>
      <c r="O8" s="29">
        <f t="shared" ref="O8:Q8" si="10">J8+F8+B8</f>
        <v>98</v>
      </c>
      <c r="P8" s="29">
        <f t="shared" si="10"/>
        <v>0</v>
      </c>
      <c r="Q8" s="29">
        <f t="shared" si="10"/>
        <v>0</v>
      </c>
      <c r="R8" s="259">
        <f t="shared" si="5"/>
        <v>98</v>
      </c>
      <c r="S8" s="31" t="s">
        <v>225</v>
      </c>
      <c r="T8" s="31" t="s">
        <v>123</v>
      </c>
      <c r="U8" s="31">
        <v>12</v>
      </c>
      <c r="V8" s="31"/>
      <c r="W8" s="31">
        <v>31</v>
      </c>
      <c r="X8" s="31">
        <v>0</v>
      </c>
      <c r="Y8" s="31">
        <v>0</v>
      </c>
      <c r="Z8" s="31">
        <f t="shared" si="6"/>
        <v>31</v>
      </c>
      <c r="AA8" s="31">
        <f t="shared" si="7"/>
        <v>0</v>
      </c>
      <c r="AB8" s="31" t="s">
        <v>226</v>
      </c>
      <c r="AC8" s="31" t="s">
        <v>227</v>
      </c>
      <c r="AD8" s="31" t="s">
        <v>26</v>
      </c>
    </row>
    <row r="9" spans="1:30" ht="15.75" customHeight="1">
      <c r="A9" s="35" t="s">
        <v>44</v>
      </c>
      <c r="B9" s="244">
        <f t="shared" ref="B9:C9" si="11">SUM(B5:B8)</f>
        <v>162</v>
      </c>
      <c r="C9" s="244">
        <f t="shared" si="11"/>
        <v>6</v>
      </c>
      <c r="D9" s="244">
        <f>SUM(D5:D8)</f>
        <v>146</v>
      </c>
      <c r="E9" s="244">
        <f t="shared" ref="E9:G9" si="12">SUM(E5:E8)</f>
        <v>314</v>
      </c>
      <c r="F9" s="244">
        <f t="shared" si="12"/>
        <v>157</v>
      </c>
      <c r="G9" s="244">
        <f t="shared" si="12"/>
        <v>4</v>
      </c>
      <c r="H9" s="244">
        <f>SUM(H5:H8)</f>
        <v>167</v>
      </c>
      <c r="I9" s="244">
        <f t="shared" ref="I9:K9" si="13">SUM(I5:I8)</f>
        <v>328</v>
      </c>
      <c r="J9" s="244">
        <f t="shared" si="13"/>
        <v>128</v>
      </c>
      <c r="K9" s="244">
        <f t="shared" si="13"/>
        <v>0</v>
      </c>
      <c r="L9" s="244">
        <f>SUM(L5:L8)</f>
        <v>247</v>
      </c>
      <c r="M9" s="244">
        <f>SUM(M5:M8)</f>
        <v>375</v>
      </c>
      <c r="N9" s="29"/>
      <c r="O9" s="244">
        <f t="shared" ref="O9:P9" si="14">SUM(O5:O8)</f>
        <v>447</v>
      </c>
      <c r="P9" s="244">
        <f t="shared" si="14"/>
        <v>10</v>
      </c>
      <c r="Q9" s="244">
        <f>SUM(Q5:Q8)</f>
        <v>560</v>
      </c>
      <c r="R9" s="248">
        <f>SUM(R5:R8)</f>
        <v>1017</v>
      </c>
      <c r="T9" s="31"/>
      <c r="U9" s="24">
        <f>SUM(U5:U8)</f>
        <v>342</v>
      </c>
      <c r="V9" s="24"/>
      <c r="W9" s="24">
        <f t="shared" ref="W9:Z9" si="15">SUM(W5:W8)</f>
        <v>128</v>
      </c>
      <c r="X9" s="24">
        <f t="shared" si="15"/>
        <v>0</v>
      </c>
      <c r="Y9" s="24">
        <f t="shared" si="15"/>
        <v>247</v>
      </c>
      <c r="Z9" s="24">
        <f t="shared" si="15"/>
        <v>375</v>
      </c>
      <c r="AA9" s="31">
        <f t="shared" si="7"/>
        <v>0</v>
      </c>
      <c r="AB9" s="31" t="s">
        <v>140</v>
      </c>
      <c r="AC9" s="31" t="s">
        <v>233</v>
      </c>
      <c r="AD9" s="31" t="s">
        <v>26</v>
      </c>
    </row>
    <row r="10" spans="1:30" ht="15.75" customHeight="1">
      <c r="A10" s="32" t="s">
        <v>46</v>
      </c>
      <c r="B10" s="29">
        <v>32</v>
      </c>
      <c r="C10" s="29">
        <v>5</v>
      </c>
      <c r="D10" s="29">
        <v>0</v>
      </c>
      <c r="E10" s="231">
        <f t="shared" ref="E10:E13" si="16">SUM(B10:D10)</f>
        <v>37</v>
      </c>
      <c r="F10" s="29">
        <v>45</v>
      </c>
      <c r="G10" s="29"/>
      <c r="H10" s="29"/>
      <c r="I10" s="231">
        <f t="shared" ref="I10:I13" si="17">SUM(F10:H10)</f>
        <v>45</v>
      </c>
      <c r="J10" s="29">
        <v>26</v>
      </c>
      <c r="K10" s="29"/>
      <c r="L10" s="29">
        <v>0</v>
      </c>
      <c r="M10" s="231">
        <f t="shared" ref="M10:M13" si="18">SUM(J10:L10)</f>
        <v>26</v>
      </c>
      <c r="N10" s="29" t="str">
        <f t="shared" ref="N10:N13" si="19">IF(M10&gt;U10,"Over RR","")</f>
        <v>Over RR</v>
      </c>
      <c r="O10" s="29">
        <f t="shared" ref="O10:Q10" si="20">J10+F10+B10</f>
        <v>103</v>
      </c>
      <c r="P10" s="29">
        <f t="shared" si="20"/>
        <v>5</v>
      </c>
      <c r="Q10" s="29">
        <f t="shared" si="20"/>
        <v>0</v>
      </c>
      <c r="R10" s="259">
        <f t="shared" ref="R10:R13" si="21">SUM(O10:Q10)</f>
        <v>108</v>
      </c>
      <c r="S10" s="31" t="s">
        <v>225</v>
      </c>
      <c r="T10" s="31" t="s">
        <v>237</v>
      </c>
      <c r="U10" s="31">
        <v>13</v>
      </c>
      <c r="V10" s="31"/>
      <c r="W10" s="31">
        <v>26</v>
      </c>
      <c r="X10" s="31">
        <v>0</v>
      </c>
      <c r="Y10" s="31">
        <v>0</v>
      </c>
      <c r="Z10" s="31">
        <f t="shared" ref="Z10:Z13" si="22">SUM(W10:Y10)</f>
        <v>26</v>
      </c>
      <c r="AA10" s="31">
        <f t="shared" si="7"/>
        <v>0</v>
      </c>
      <c r="AB10" s="31" t="s">
        <v>235</v>
      </c>
      <c r="AC10" s="31" t="s">
        <v>236</v>
      </c>
      <c r="AD10" s="31" t="s">
        <v>182</v>
      </c>
    </row>
    <row r="11" spans="1:30" ht="15.75" customHeight="1">
      <c r="A11" s="32" t="s">
        <v>51</v>
      </c>
      <c r="B11" s="29">
        <v>39</v>
      </c>
      <c r="C11" s="29">
        <v>1</v>
      </c>
      <c r="D11" s="29">
        <v>77</v>
      </c>
      <c r="E11" s="231">
        <f t="shared" si="16"/>
        <v>117</v>
      </c>
      <c r="F11" s="29">
        <v>31</v>
      </c>
      <c r="G11" s="29">
        <v>5</v>
      </c>
      <c r="H11" s="29">
        <v>31</v>
      </c>
      <c r="I11" s="231">
        <f t="shared" si="17"/>
        <v>67</v>
      </c>
      <c r="J11" s="29">
        <v>40</v>
      </c>
      <c r="K11" s="29">
        <v>1</v>
      </c>
      <c r="L11" s="29">
        <v>38</v>
      </c>
      <c r="M11" s="231">
        <f t="shared" si="18"/>
        <v>79</v>
      </c>
      <c r="N11" s="29" t="str">
        <f t="shared" si="19"/>
        <v/>
      </c>
      <c r="O11" s="29">
        <f t="shared" ref="O11:Q11" si="23">J11+F11+B11</f>
        <v>110</v>
      </c>
      <c r="P11" s="29">
        <f t="shared" si="23"/>
        <v>7</v>
      </c>
      <c r="Q11" s="29">
        <f t="shared" si="23"/>
        <v>146</v>
      </c>
      <c r="R11" s="259">
        <f t="shared" si="21"/>
        <v>263</v>
      </c>
      <c r="S11" s="31" t="s">
        <v>238</v>
      </c>
      <c r="T11" s="31" t="s">
        <v>103</v>
      </c>
      <c r="U11" s="31">
        <v>107</v>
      </c>
      <c r="V11" s="31"/>
      <c r="W11" s="31">
        <v>40</v>
      </c>
      <c r="X11" s="31">
        <v>1</v>
      </c>
      <c r="Y11" s="31">
        <v>38</v>
      </c>
      <c r="Z11" s="31">
        <f t="shared" si="22"/>
        <v>79</v>
      </c>
      <c r="AA11" s="31">
        <f t="shared" si="7"/>
        <v>0</v>
      </c>
      <c r="AB11" s="31" t="s">
        <v>141</v>
      </c>
      <c r="AC11" s="31" t="s">
        <v>239</v>
      </c>
      <c r="AD11" s="31" t="s">
        <v>27</v>
      </c>
    </row>
    <row r="12" spans="1:30" ht="15.75" customHeight="1">
      <c r="A12" s="32" t="s">
        <v>52</v>
      </c>
      <c r="B12" s="29">
        <v>34</v>
      </c>
      <c r="C12" s="29">
        <v>1</v>
      </c>
      <c r="D12" s="29">
        <v>0</v>
      </c>
      <c r="E12" s="231">
        <f t="shared" si="16"/>
        <v>35</v>
      </c>
      <c r="F12" s="29">
        <v>35</v>
      </c>
      <c r="G12" s="29"/>
      <c r="H12" s="29"/>
      <c r="I12" s="231">
        <f t="shared" si="17"/>
        <v>35</v>
      </c>
      <c r="J12" s="29">
        <v>31</v>
      </c>
      <c r="K12" s="29"/>
      <c r="L12" s="29">
        <v>0</v>
      </c>
      <c r="M12" s="231">
        <f t="shared" si="18"/>
        <v>31</v>
      </c>
      <c r="N12" s="29" t="str">
        <f t="shared" si="19"/>
        <v/>
      </c>
      <c r="O12" s="29">
        <f t="shared" ref="O12:Q12" si="24">J12+F12+B12</f>
        <v>100</v>
      </c>
      <c r="P12" s="29">
        <f t="shared" si="24"/>
        <v>1</v>
      </c>
      <c r="Q12" s="29">
        <f t="shared" si="24"/>
        <v>0</v>
      </c>
      <c r="R12" s="259">
        <f t="shared" si="21"/>
        <v>101</v>
      </c>
      <c r="S12" s="31" t="s">
        <v>238</v>
      </c>
      <c r="T12" s="31" t="s">
        <v>103</v>
      </c>
      <c r="U12" s="31">
        <v>33</v>
      </c>
      <c r="V12" s="31"/>
      <c r="W12" s="31">
        <v>31</v>
      </c>
      <c r="X12" s="31">
        <v>0</v>
      </c>
      <c r="Y12" s="31">
        <v>0</v>
      </c>
      <c r="Z12" s="31">
        <f t="shared" si="22"/>
        <v>31</v>
      </c>
      <c r="AA12" s="31">
        <f t="shared" si="7"/>
        <v>0</v>
      </c>
      <c r="AB12" s="31" t="s">
        <v>159</v>
      </c>
      <c r="AC12" s="31" t="s">
        <v>240</v>
      </c>
      <c r="AD12" s="31" t="s">
        <v>26</v>
      </c>
    </row>
    <row r="13" spans="1:30" ht="15.75" customHeight="1">
      <c r="A13" s="32" t="s">
        <v>53</v>
      </c>
      <c r="B13" s="29">
        <v>63</v>
      </c>
      <c r="C13" s="29">
        <v>1</v>
      </c>
      <c r="D13" s="29">
        <v>0</v>
      </c>
      <c r="E13" s="231">
        <f t="shared" si="16"/>
        <v>64</v>
      </c>
      <c r="F13" s="29">
        <v>71</v>
      </c>
      <c r="G13" s="29"/>
      <c r="H13" s="29"/>
      <c r="I13" s="231">
        <f t="shared" si="17"/>
        <v>71</v>
      </c>
      <c r="J13" s="29">
        <v>34</v>
      </c>
      <c r="K13" s="29"/>
      <c r="L13" s="29">
        <v>0</v>
      </c>
      <c r="M13" s="231">
        <f t="shared" si="18"/>
        <v>34</v>
      </c>
      <c r="N13" s="29" t="str">
        <f t="shared" si="19"/>
        <v>Over RR</v>
      </c>
      <c r="O13" s="29">
        <f t="shared" ref="O13:Q13" si="25">J13+F13+B13</f>
        <v>168</v>
      </c>
      <c r="P13" s="29">
        <f t="shared" si="25"/>
        <v>1</v>
      </c>
      <c r="Q13" s="29">
        <f t="shared" si="25"/>
        <v>0</v>
      </c>
      <c r="R13" s="259">
        <f t="shared" si="21"/>
        <v>169</v>
      </c>
      <c r="S13" s="31" t="s">
        <v>241</v>
      </c>
      <c r="T13" s="31" t="s">
        <v>103</v>
      </c>
      <c r="U13" s="31">
        <v>23</v>
      </c>
      <c r="V13" s="31"/>
      <c r="W13" s="31">
        <v>34</v>
      </c>
      <c r="X13" s="31">
        <v>0</v>
      </c>
      <c r="Y13" s="31">
        <v>0</v>
      </c>
      <c r="Z13" s="31">
        <f t="shared" si="22"/>
        <v>34</v>
      </c>
      <c r="AA13" s="31">
        <f t="shared" si="7"/>
        <v>0</v>
      </c>
      <c r="AB13" s="31" t="s">
        <v>159</v>
      </c>
      <c r="AC13" s="31" t="s">
        <v>242</v>
      </c>
      <c r="AD13" s="31" t="s">
        <v>182</v>
      </c>
    </row>
    <row r="14" spans="1:30" ht="15.75" customHeight="1">
      <c r="A14" s="35" t="s">
        <v>54</v>
      </c>
      <c r="B14" s="244">
        <f t="shared" ref="B14:C14" si="26">SUM(B10:B13)</f>
        <v>168</v>
      </c>
      <c r="C14" s="244">
        <f t="shared" si="26"/>
        <v>8</v>
      </c>
      <c r="D14" s="244">
        <f>SUM(D10:D13)</f>
        <v>77</v>
      </c>
      <c r="E14" s="244">
        <f t="shared" ref="E14:G14" si="27">SUM(E10:E13)</f>
        <v>253</v>
      </c>
      <c r="F14" s="244">
        <f t="shared" si="27"/>
        <v>182</v>
      </c>
      <c r="G14" s="244">
        <f t="shared" si="27"/>
        <v>5</v>
      </c>
      <c r="H14" s="244">
        <f>SUM(H10:H13)</f>
        <v>31</v>
      </c>
      <c r="I14" s="244">
        <f t="shared" ref="I14:K14" si="28">SUM(I10:I13)</f>
        <v>218</v>
      </c>
      <c r="J14" s="244">
        <f t="shared" si="28"/>
        <v>131</v>
      </c>
      <c r="K14" s="244">
        <f t="shared" si="28"/>
        <v>1</v>
      </c>
      <c r="L14" s="244">
        <f>SUM(L10:L13)</f>
        <v>38</v>
      </c>
      <c r="M14" s="244">
        <f>SUM(M10:M13)</f>
        <v>170</v>
      </c>
      <c r="N14" s="29"/>
      <c r="O14" s="244">
        <f t="shared" ref="O14:P14" si="29">SUM(O10:O13)</f>
        <v>481</v>
      </c>
      <c r="P14" s="244">
        <f t="shared" si="29"/>
        <v>14</v>
      </c>
      <c r="Q14" s="244">
        <f>SUM(Q10:Q13)</f>
        <v>146</v>
      </c>
      <c r="R14" s="248">
        <f>SUM(R10:R13)</f>
        <v>641</v>
      </c>
      <c r="T14" s="31"/>
      <c r="U14" s="24">
        <f>SUM(U10:U13)</f>
        <v>176</v>
      </c>
      <c r="V14" s="24"/>
      <c r="W14" s="24">
        <f t="shared" ref="W14:Z14" si="30">SUM(W10:W13)</f>
        <v>131</v>
      </c>
      <c r="X14" s="24">
        <f t="shared" si="30"/>
        <v>1</v>
      </c>
      <c r="Y14" s="24">
        <f t="shared" si="30"/>
        <v>38</v>
      </c>
      <c r="Z14" s="24">
        <f t="shared" si="30"/>
        <v>170</v>
      </c>
      <c r="AA14" s="31">
        <f t="shared" si="7"/>
        <v>0</v>
      </c>
      <c r="AB14" s="31" t="s">
        <v>138</v>
      </c>
      <c r="AC14" s="31" t="s">
        <v>243</v>
      </c>
      <c r="AD14" s="31" t="s">
        <v>26</v>
      </c>
    </row>
    <row r="15" spans="1:30" ht="15.75" customHeight="1">
      <c r="A15" s="32" t="s">
        <v>55</v>
      </c>
      <c r="B15" s="29">
        <v>37</v>
      </c>
      <c r="C15" s="29">
        <v>23</v>
      </c>
      <c r="D15" s="29">
        <v>51</v>
      </c>
      <c r="E15" s="231">
        <f t="shared" ref="E15:E17" si="31">SUM(B15:D15)</f>
        <v>111</v>
      </c>
      <c r="F15" s="29">
        <v>33</v>
      </c>
      <c r="G15" s="29">
        <v>10</v>
      </c>
      <c r="H15" s="29">
        <v>24</v>
      </c>
      <c r="I15" s="231">
        <f t="shared" ref="I15:I17" si="32">SUM(F15:H15)</f>
        <v>67</v>
      </c>
      <c r="J15" s="29">
        <v>29</v>
      </c>
      <c r="K15" s="29">
        <v>8</v>
      </c>
      <c r="L15" s="29">
        <v>81</v>
      </c>
      <c r="M15" s="231">
        <f t="shared" ref="M15:M17" si="33">SUM(J15:L15)</f>
        <v>118</v>
      </c>
      <c r="N15" s="29" t="str">
        <f t="shared" ref="N15:N17" si="34">IF(M15&gt;U15,"Over RR","")</f>
        <v/>
      </c>
      <c r="O15" s="29">
        <f t="shared" ref="O15:Q15" si="35">J15+F15+B15</f>
        <v>99</v>
      </c>
      <c r="P15" s="29">
        <f t="shared" si="35"/>
        <v>41</v>
      </c>
      <c r="Q15" s="29">
        <f t="shared" si="35"/>
        <v>156</v>
      </c>
      <c r="R15" s="259">
        <f t="shared" ref="R15:R17" si="36">SUM(O15:Q15)</f>
        <v>296</v>
      </c>
      <c r="S15" s="31" t="s">
        <v>225</v>
      </c>
      <c r="T15" s="31" t="s">
        <v>244</v>
      </c>
      <c r="U15" s="31">
        <v>132</v>
      </c>
      <c r="V15" s="31"/>
      <c r="W15" s="31">
        <v>29</v>
      </c>
      <c r="X15" s="31">
        <v>8</v>
      </c>
      <c r="Y15" s="31">
        <v>78</v>
      </c>
      <c r="Z15" s="31">
        <f t="shared" ref="Z15:Z17" si="37">SUM(W15:Y15)</f>
        <v>115</v>
      </c>
      <c r="AA15" s="31">
        <f t="shared" si="7"/>
        <v>3</v>
      </c>
      <c r="AB15" s="31" t="s">
        <v>137</v>
      </c>
      <c r="AC15" s="31" t="s">
        <v>245</v>
      </c>
      <c r="AD15" s="31" t="s">
        <v>26</v>
      </c>
    </row>
    <row r="16" spans="1:30" ht="15.75" customHeight="1">
      <c r="A16" s="32" t="s">
        <v>57</v>
      </c>
      <c r="B16" s="29">
        <v>37</v>
      </c>
      <c r="C16" s="29">
        <v>3</v>
      </c>
      <c r="D16" s="29">
        <v>0</v>
      </c>
      <c r="E16" s="231">
        <f t="shared" si="31"/>
        <v>40</v>
      </c>
      <c r="F16" s="29">
        <v>43</v>
      </c>
      <c r="G16" s="29"/>
      <c r="H16" s="29">
        <v>0</v>
      </c>
      <c r="I16" s="231">
        <f t="shared" si="32"/>
        <v>43</v>
      </c>
      <c r="J16" s="29">
        <v>29</v>
      </c>
      <c r="K16" s="29"/>
      <c r="L16" s="29">
        <v>0</v>
      </c>
      <c r="M16" s="231">
        <f t="shared" si="33"/>
        <v>29</v>
      </c>
      <c r="N16" s="29" t="str">
        <f t="shared" si="34"/>
        <v>Over RR</v>
      </c>
      <c r="O16" s="29">
        <f t="shared" ref="O16:Q16" si="38">J16+F16+B16</f>
        <v>109</v>
      </c>
      <c r="P16" s="29">
        <f t="shared" si="38"/>
        <v>3</v>
      </c>
      <c r="Q16" s="29">
        <f t="shared" si="38"/>
        <v>0</v>
      </c>
      <c r="R16" s="259">
        <f t="shared" si="36"/>
        <v>112</v>
      </c>
      <c r="S16" s="31" t="s">
        <v>246</v>
      </c>
      <c r="T16" s="31" t="s">
        <v>247</v>
      </c>
      <c r="U16" s="31">
        <v>12</v>
      </c>
      <c r="V16" s="31"/>
      <c r="W16" s="31">
        <v>29</v>
      </c>
      <c r="X16" s="31">
        <v>0</v>
      </c>
      <c r="Y16" s="31">
        <v>0</v>
      </c>
      <c r="Z16" s="31">
        <f t="shared" si="37"/>
        <v>29</v>
      </c>
      <c r="AA16" s="31">
        <f t="shared" si="7"/>
        <v>0</v>
      </c>
      <c r="AB16" s="31" t="s">
        <v>136</v>
      </c>
      <c r="AC16" s="31" t="s">
        <v>248</v>
      </c>
      <c r="AD16" s="31" t="s">
        <v>26</v>
      </c>
    </row>
    <row r="17" spans="1:27" ht="15.75" customHeight="1">
      <c r="A17" s="32" t="s">
        <v>58</v>
      </c>
      <c r="B17" s="29">
        <v>19</v>
      </c>
      <c r="C17" s="29">
        <v>1</v>
      </c>
      <c r="D17" s="29">
        <v>0</v>
      </c>
      <c r="E17" s="231">
        <f t="shared" si="31"/>
        <v>20</v>
      </c>
      <c r="F17" s="29">
        <v>20</v>
      </c>
      <c r="G17" s="29"/>
      <c r="H17" s="29">
        <v>0</v>
      </c>
      <c r="I17" s="231">
        <f t="shared" si="32"/>
        <v>20</v>
      </c>
      <c r="J17" s="29">
        <v>10</v>
      </c>
      <c r="K17" s="29"/>
      <c r="L17" s="29">
        <v>3</v>
      </c>
      <c r="M17" s="231">
        <f t="shared" si="33"/>
        <v>13</v>
      </c>
      <c r="N17" s="29" t="str">
        <f t="shared" si="34"/>
        <v>Over RR</v>
      </c>
      <c r="O17" s="29">
        <f t="shared" ref="O17:Q17" si="39">J17+F17+B17</f>
        <v>49</v>
      </c>
      <c r="P17" s="29">
        <f t="shared" si="39"/>
        <v>1</v>
      </c>
      <c r="Q17" s="29">
        <f t="shared" si="39"/>
        <v>3</v>
      </c>
      <c r="R17" s="259">
        <f t="shared" si="36"/>
        <v>53</v>
      </c>
      <c r="S17" s="31" t="s">
        <v>246</v>
      </c>
      <c r="T17" s="31" t="s">
        <v>103</v>
      </c>
      <c r="U17" s="31">
        <v>8</v>
      </c>
      <c r="V17" s="31"/>
      <c r="W17" s="31">
        <v>10</v>
      </c>
      <c r="X17" s="31">
        <v>0</v>
      </c>
      <c r="Y17" s="31">
        <v>3</v>
      </c>
      <c r="Z17" s="31">
        <f t="shared" si="37"/>
        <v>13</v>
      </c>
      <c r="AA17" s="31">
        <f t="shared" si="7"/>
        <v>0</v>
      </c>
    </row>
    <row r="18" spans="1:27" ht="15.75" customHeight="1">
      <c r="A18" s="35" t="s">
        <v>59</v>
      </c>
      <c r="B18" s="244">
        <f t="shared" ref="B18:M18" si="40">SUM(B15:B17)</f>
        <v>93</v>
      </c>
      <c r="C18" s="244">
        <f t="shared" si="40"/>
        <v>27</v>
      </c>
      <c r="D18" s="244">
        <f t="shared" si="40"/>
        <v>51</v>
      </c>
      <c r="E18" s="244">
        <f t="shared" si="40"/>
        <v>171</v>
      </c>
      <c r="F18" s="244">
        <f t="shared" si="40"/>
        <v>96</v>
      </c>
      <c r="G18" s="244">
        <f t="shared" si="40"/>
        <v>10</v>
      </c>
      <c r="H18" s="244">
        <f t="shared" si="40"/>
        <v>24</v>
      </c>
      <c r="I18" s="244">
        <f t="shared" si="40"/>
        <v>130</v>
      </c>
      <c r="J18" s="244">
        <f t="shared" si="40"/>
        <v>68</v>
      </c>
      <c r="K18" s="244">
        <f t="shared" si="40"/>
        <v>8</v>
      </c>
      <c r="L18" s="244">
        <f t="shared" si="40"/>
        <v>84</v>
      </c>
      <c r="M18" s="244">
        <f t="shared" si="40"/>
        <v>160</v>
      </c>
      <c r="N18" s="29"/>
      <c r="O18" s="244">
        <f t="shared" ref="O18:R18" si="41">SUM(O15:O17)</f>
        <v>257</v>
      </c>
      <c r="P18" s="244">
        <f t="shared" si="41"/>
        <v>45</v>
      </c>
      <c r="Q18" s="244">
        <f t="shared" si="41"/>
        <v>159</v>
      </c>
      <c r="R18" s="248">
        <f t="shared" si="41"/>
        <v>461</v>
      </c>
      <c r="U18" s="24">
        <f>SUM(U15:U17)</f>
        <v>152</v>
      </c>
      <c r="V18" s="24"/>
      <c r="W18" s="24">
        <f t="shared" ref="W18:Z18" si="42">SUM(W15:W17)</f>
        <v>68</v>
      </c>
      <c r="X18" s="24">
        <f t="shared" si="42"/>
        <v>8</v>
      </c>
      <c r="Y18" s="24">
        <f t="shared" si="42"/>
        <v>81</v>
      </c>
      <c r="Z18" s="24">
        <f t="shared" si="42"/>
        <v>157</v>
      </c>
      <c r="AA18" s="31">
        <f t="shared" si="7"/>
        <v>3</v>
      </c>
    </row>
    <row r="19" spans="1:27" ht="15.75" customHeight="1">
      <c r="A19" s="35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51"/>
    </row>
    <row r="20" spans="1:27" ht="15.75" customHeight="1">
      <c r="A20" s="32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51"/>
    </row>
    <row r="21" spans="1:27" ht="15.75" customHeight="1">
      <c r="A21" s="126" t="s">
        <v>14</v>
      </c>
      <c r="B21" s="253">
        <f t="shared" ref="B21:M21" si="43">B18+B14+B9</f>
        <v>423</v>
      </c>
      <c r="C21" s="253">
        <f t="shared" si="43"/>
        <v>41</v>
      </c>
      <c r="D21" s="253">
        <f t="shared" si="43"/>
        <v>274</v>
      </c>
      <c r="E21" s="253">
        <f t="shared" si="43"/>
        <v>738</v>
      </c>
      <c r="F21" s="253">
        <f t="shared" si="43"/>
        <v>435</v>
      </c>
      <c r="G21" s="253">
        <f t="shared" si="43"/>
        <v>19</v>
      </c>
      <c r="H21" s="253">
        <f t="shared" si="43"/>
        <v>222</v>
      </c>
      <c r="I21" s="253">
        <f t="shared" si="43"/>
        <v>676</v>
      </c>
      <c r="J21" s="253">
        <f t="shared" si="43"/>
        <v>327</v>
      </c>
      <c r="K21" s="253">
        <f t="shared" si="43"/>
        <v>9</v>
      </c>
      <c r="L21" s="253">
        <f t="shared" si="43"/>
        <v>369</v>
      </c>
      <c r="M21" s="253">
        <f t="shared" si="43"/>
        <v>705</v>
      </c>
      <c r="N21" s="162"/>
      <c r="O21" s="253">
        <f t="shared" ref="O21:R21" si="44">O18+O14+O9</f>
        <v>1185</v>
      </c>
      <c r="P21" s="253">
        <f t="shared" si="44"/>
        <v>69</v>
      </c>
      <c r="Q21" s="253">
        <f t="shared" si="44"/>
        <v>865</v>
      </c>
      <c r="R21" s="254">
        <f t="shared" si="44"/>
        <v>2119</v>
      </c>
      <c r="U21" s="24">
        <f>U18+U14+U9</f>
        <v>670</v>
      </c>
      <c r="V21" s="24"/>
      <c r="W21" s="24">
        <f t="shared" ref="W21:Z21" si="45">W18+W14+W9</f>
        <v>327</v>
      </c>
      <c r="X21" s="24">
        <f t="shared" si="45"/>
        <v>9</v>
      </c>
      <c r="Y21" s="24">
        <f t="shared" si="45"/>
        <v>366</v>
      </c>
      <c r="Z21" s="24">
        <f t="shared" si="45"/>
        <v>702</v>
      </c>
      <c r="AA21" s="58">
        <f>M21-Z21</f>
        <v>3</v>
      </c>
    </row>
    <row r="22" spans="1:27">
      <c r="V22" s="180"/>
      <c r="W22" s="180"/>
      <c r="X22" s="180"/>
      <c r="Y22" s="180"/>
      <c r="Z22" s="180">
        <f>Z21/M21</f>
        <v>0.99574468085106382</v>
      </c>
    </row>
  </sheetData>
  <mergeCells count="5">
    <mergeCell ref="B2:R2"/>
    <mergeCell ref="B3:E3"/>
    <mergeCell ref="F3:I3"/>
    <mergeCell ref="J3:M3"/>
    <mergeCell ref="O3:R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B2:O21"/>
  <sheetViews>
    <sheetView workbookViewId="0"/>
  </sheetViews>
  <sheetFormatPr defaultColWidth="12.6640625" defaultRowHeight="15.75" customHeight="1"/>
  <sheetData>
    <row r="2" spans="2:15" ht="15.75" customHeight="1">
      <c r="B2" s="292" t="s">
        <v>183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6"/>
    </row>
    <row r="3" spans="2:15" ht="15.75" customHeight="1">
      <c r="B3" s="32"/>
      <c r="C3" s="277" t="s">
        <v>18</v>
      </c>
      <c r="D3" s="278"/>
      <c r="E3" s="278"/>
      <c r="F3" s="277" t="s">
        <v>73</v>
      </c>
      <c r="G3" s="278"/>
      <c r="H3" s="278"/>
      <c r="I3" s="277" t="s">
        <v>162</v>
      </c>
      <c r="J3" s="278"/>
      <c r="K3" s="278"/>
      <c r="L3" s="29"/>
      <c r="M3" s="277" t="s">
        <v>14</v>
      </c>
      <c r="N3" s="278"/>
      <c r="O3" s="279"/>
    </row>
    <row r="4" spans="2:15" ht="15.75" customHeight="1">
      <c r="B4" s="35"/>
      <c r="C4" s="177" t="s">
        <v>26</v>
      </c>
      <c r="D4" s="177" t="s">
        <v>182</v>
      </c>
      <c r="E4" s="177" t="s">
        <v>28</v>
      </c>
      <c r="F4" s="177" t="s">
        <v>26</v>
      </c>
      <c r="G4" s="177" t="s">
        <v>182</v>
      </c>
      <c r="H4" s="177" t="s">
        <v>28</v>
      </c>
      <c r="I4" s="177" t="s">
        <v>26</v>
      </c>
      <c r="J4" s="177" t="s">
        <v>182</v>
      </c>
      <c r="K4" s="177" t="s">
        <v>28</v>
      </c>
      <c r="L4" s="29"/>
      <c r="M4" s="177" t="s">
        <v>26</v>
      </c>
      <c r="N4" s="177" t="s">
        <v>182</v>
      </c>
      <c r="O4" s="269" t="s">
        <v>28</v>
      </c>
    </row>
    <row r="5" spans="2:15" ht="15.75" customHeight="1">
      <c r="B5" s="32" t="s">
        <v>24</v>
      </c>
      <c r="C5" s="29">
        <v>46</v>
      </c>
      <c r="D5" s="29">
        <v>225</v>
      </c>
      <c r="E5" s="231">
        <f t="shared" ref="E5:E8" si="0">SUM(C5:D5)</f>
        <v>271</v>
      </c>
      <c r="F5" s="29">
        <v>14</v>
      </c>
      <c r="G5" s="29">
        <v>142</v>
      </c>
      <c r="H5" s="231">
        <f t="shared" ref="H5:H8" si="1">SUM(F5:G5)</f>
        <v>156</v>
      </c>
      <c r="I5" s="29">
        <v>68</v>
      </c>
      <c r="J5" s="29">
        <v>313</v>
      </c>
      <c r="K5" s="231">
        <f t="shared" ref="K5:K8" si="2">SUM(I5:J5)</f>
        <v>381</v>
      </c>
      <c r="L5" s="29"/>
      <c r="M5" s="29">
        <v>128</v>
      </c>
      <c r="N5" s="29">
        <v>680</v>
      </c>
      <c r="O5" s="259">
        <f t="shared" ref="O5:O8" si="3">SUM(M5:N5)</f>
        <v>808</v>
      </c>
    </row>
    <row r="6" spans="2:15" ht="15.75" customHeight="1">
      <c r="B6" s="32" t="s">
        <v>36</v>
      </c>
      <c r="C6" s="29">
        <v>30</v>
      </c>
      <c r="D6" s="29">
        <v>2</v>
      </c>
      <c r="E6" s="231">
        <f t="shared" si="0"/>
        <v>32</v>
      </c>
      <c r="F6" s="29">
        <v>11</v>
      </c>
      <c r="G6" s="29" t="s">
        <v>253</v>
      </c>
      <c r="H6" s="231">
        <f t="shared" si="1"/>
        <v>11</v>
      </c>
      <c r="I6" s="29">
        <v>90</v>
      </c>
      <c r="J6" s="29">
        <v>45</v>
      </c>
      <c r="K6" s="231">
        <f t="shared" si="2"/>
        <v>135</v>
      </c>
      <c r="L6" s="29"/>
      <c r="M6" s="29">
        <v>131</v>
      </c>
      <c r="N6" s="29">
        <v>47</v>
      </c>
      <c r="O6" s="259">
        <f t="shared" si="3"/>
        <v>178</v>
      </c>
    </row>
    <row r="7" spans="2:15" ht="15.75" customHeight="1">
      <c r="B7" s="32" t="s">
        <v>40</v>
      </c>
      <c r="C7" s="29">
        <v>31</v>
      </c>
      <c r="D7" s="29" t="s">
        <v>253</v>
      </c>
      <c r="E7" s="231">
        <f t="shared" si="0"/>
        <v>31</v>
      </c>
      <c r="F7" s="29">
        <v>8</v>
      </c>
      <c r="G7" s="29" t="s">
        <v>253</v>
      </c>
      <c r="H7" s="231">
        <f t="shared" si="1"/>
        <v>8</v>
      </c>
      <c r="I7" s="29">
        <v>73</v>
      </c>
      <c r="J7" s="29" t="s">
        <v>253</v>
      </c>
      <c r="K7" s="231">
        <f t="shared" si="2"/>
        <v>73</v>
      </c>
      <c r="L7" s="29"/>
      <c r="M7" s="29">
        <v>112</v>
      </c>
      <c r="N7" s="29" t="s">
        <v>253</v>
      </c>
      <c r="O7" s="259">
        <f t="shared" si="3"/>
        <v>112</v>
      </c>
    </row>
    <row r="8" spans="2:15" ht="15.75" customHeight="1">
      <c r="B8" s="32" t="s">
        <v>41</v>
      </c>
      <c r="C8" s="29">
        <v>43</v>
      </c>
      <c r="D8" s="29">
        <v>2</v>
      </c>
      <c r="E8" s="231">
        <f t="shared" si="0"/>
        <v>45</v>
      </c>
      <c r="F8" s="29">
        <v>9</v>
      </c>
      <c r="G8" s="29">
        <v>3</v>
      </c>
      <c r="H8" s="231">
        <f t="shared" si="1"/>
        <v>12</v>
      </c>
      <c r="I8" s="29">
        <v>101</v>
      </c>
      <c r="J8" s="29">
        <v>2</v>
      </c>
      <c r="K8" s="231">
        <f t="shared" si="2"/>
        <v>103</v>
      </c>
      <c r="L8" s="29"/>
      <c r="M8" s="29">
        <v>153</v>
      </c>
      <c r="N8" s="29">
        <v>7</v>
      </c>
      <c r="O8" s="259">
        <f t="shared" si="3"/>
        <v>160</v>
      </c>
    </row>
    <row r="9" spans="2:15" ht="15.75" customHeight="1">
      <c r="B9" s="35" t="s">
        <v>44</v>
      </c>
      <c r="C9" s="244">
        <f>SUM(C5:C8)</f>
        <v>150</v>
      </c>
      <c r="D9" s="244">
        <f>SUM(D5:D8)</f>
        <v>229</v>
      </c>
      <c r="E9" s="244">
        <f t="shared" ref="E9:F9" si="4">SUM(E5:E8)</f>
        <v>379</v>
      </c>
      <c r="F9" s="244">
        <f t="shared" si="4"/>
        <v>42</v>
      </c>
      <c r="G9" s="244">
        <f>SUM(G5:G8)</f>
        <v>145</v>
      </c>
      <c r="H9" s="244">
        <f t="shared" ref="H9:I9" si="5">SUM(H5:H8)</f>
        <v>187</v>
      </c>
      <c r="I9" s="244">
        <f t="shared" si="5"/>
        <v>332</v>
      </c>
      <c r="J9" s="244">
        <f>SUM(J5:J8)</f>
        <v>360</v>
      </c>
      <c r="K9" s="244">
        <f>SUM(K5:K8)</f>
        <v>692</v>
      </c>
      <c r="L9" s="29"/>
      <c r="M9" s="244">
        <f>SUM(M5:M8)</f>
        <v>524</v>
      </c>
      <c r="N9" s="244">
        <f>SUM(N5:N8)</f>
        <v>734</v>
      </c>
      <c r="O9" s="248">
        <f>SUM(O5:O8)</f>
        <v>1258</v>
      </c>
    </row>
    <row r="10" spans="2:15" ht="15.75" customHeight="1">
      <c r="B10" s="32" t="s">
        <v>46</v>
      </c>
      <c r="C10" s="29">
        <v>40</v>
      </c>
      <c r="D10" s="29" t="s">
        <v>253</v>
      </c>
      <c r="E10" s="231">
        <f t="shared" ref="E10:E13" si="6">SUM(C10:D10)</f>
        <v>40</v>
      </c>
      <c r="F10" s="29">
        <v>12</v>
      </c>
      <c r="G10" s="29">
        <v>1</v>
      </c>
      <c r="H10" s="231">
        <f t="shared" ref="H10:H13" si="7">SUM(F10:G10)</f>
        <v>13</v>
      </c>
      <c r="I10" s="29">
        <v>80</v>
      </c>
      <c r="J10" s="29" t="s">
        <v>253</v>
      </c>
      <c r="K10" s="231">
        <f t="shared" ref="K10:K13" si="8">SUM(I10:J10)</f>
        <v>80</v>
      </c>
      <c r="L10" s="29"/>
      <c r="M10" s="29">
        <v>132</v>
      </c>
      <c r="N10" s="29">
        <v>1</v>
      </c>
      <c r="O10" s="259">
        <f t="shared" ref="O10:O13" si="9">SUM(M10:N10)</f>
        <v>133</v>
      </c>
    </row>
    <row r="11" spans="2:15" ht="15.75" customHeight="1">
      <c r="B11" s="32" t="s">
        <v>51</v>
      </c>
      <c r="C11" s="29">
        <v>39</v>
      </c>
      <c r="D11" s="29">
        <v>39</v>
      </c>
      <c r="E11" s="231">
        <f t="shared" si="6"/>
        <v>78</v>
      </c>
      <c r="F11" s="29">
        <v>9</v>
      </c>
      <c r="G11" s="29">
        <v>2</v>
      </c>
      <c r="H11" s="231">
        <f t="shared" si="7"/>
        <v>11</v>
      </c>
      <c r="I11" s="29">
        <v>71</v>
      </c>
      <c r="J11" s="29">
        <v>127</v>
      </c>
      <c r="K11" s="231">
        <f t="shared" si="8"/>
        <v>198</v>
      </c>
      <c r="L11" s="29"/>
      <c r="M11" s="29">
        <v>119</v>
      </c>
      <c r="N11" s="29">
        <v>168</v>
      </c>
      <c r="O11" s="259">
        <f t="shared" si="9"/>
        <v>287</v>
      </c>
    </row>
    <row r="12" spans="2:15" ht="15.75" customHeight="1">
      <c r="B12" s="32" t="s">
        <v>52</v>
      </c>
      <c r="C12" s="29">
        <v>27</v>
      </c>
      <c r="D12" s="29" t="s">
        <v>253</v>
      </c>
      <c r="E12" s="231">
        <f t="shared" si="6"/>
        <v>27</v>
      </c>
      <c r="F12" s="29">
        <v>21</v>
      </c>
      <c r="G12" s="29" t="s">
        <v>253</v>
      </c>
      <c r="H12" s="231">
        <f t="shared" si="7"/>
        <v>21</v>
      </c>
      <c r="I12" s="29">
        <v>42</v>
      </c>
      <c r="J12" s="29" t="s">
        <v>253</v>
      </c>
      <c r="K12" s="231">
        <f t="shared" si="8"/>
        <v>42</v>
      </c>
      <c r="L12" s="29"/>
      <c r="M12" s="29">
        <v>90</v>
      </c>
      <c r="N12" s="29" t="s">
        <v>253</v>
      </c>
      <c r="O12" s="259">
        <f t="shared" si="9"/>
        <v>90</v>
      </c>
    </row>
    <row r="13" spans="2:15" ht="15.75" customHeight="1">
      <c r="B13" s="32" t="s">
        <v>53</v>
      </c>
      <c r="C13" s="29">
        <v>64</v>
      </c>
      <c r="D13" s="29" t="s">
        <v>253</v>
      </c>
      <c r="E13" s="231">
        <f t="shared" si="6"/>
        <v>64</v>
      </c>
      <c r="F13" s="29">
        <v>12</v>
      </c>
      <c r="G13" s="29" t="s">
        <v>253</v>
      </c>
      <c r="H13" s="231">
        <f t="shared" si="7"/>
        <v>12</v>
      </c>
      <c r="I13" s="29">
        <v>103</v>
      </c>
      <c r="J13" s="29" t="s">
        <v>253</v>
      </c>
      <c r="K13" s="231">
        <f t="shared" si="8"/>
        <v>103</v>
      </c>
      <c r="L13" s="29"/>
      <c r="M13" s="29">
        <v>179</v>
      </c>
      <c r="N13" s="29" t="s">
        <v>253</v>
      </c>
      <c r="O13" s="259">
        <f t="shared" si="9"/>
        <v>179</v>
      </c>
    </row>
    <row r="14" spans="2:15" ht="15.75" customHeight="1">
      <c r="B14" s="35" t="s">
        <v>54</v>
      </c>
      <c r="C14" s="244">
        <f>SUM(C10:C13)</f>
        <v>170</v>
      </c>
      <c r="D14" s="244">
        <f>SUM(D10:D13)</f>
        <v>39</v>
      </c>
      <c r="E14" s="244">
        <f t="shared" ref="E14:F14" si="10">SUM(E10:E13)</f>
        <v>209</v>
      </c>
      <c r="F14" s="244">
        <f t="shared" si="10"/>
        <v>54</v>
      </c>
      <c r="G14" s="244">
        <f>SUM(G10:G13)</f>
        <v>3</v>
      </c>
      <c r="H14" s="244">
        <f t="shared" ref="H14:I14" si="11">SUM(H10:H13)</f>
        <v>57</v>
      </c>
      <c r="I14" s="244">
        <f t="shared" si="11"/>
        <v>296</v>
      </c>
      <c r="J14" s="244">
        <f>SUM(J10:J13)</f>
        <v>127</v>
      </c>
      <c r="K14" s="244">
        <f>SUM(K10:K13)</f>
        <v>423</v>
      </c>
      <c r="L14" s="29"/>
      <c r="M14" s="244">
        <f>SUM(M10:M13)</f>
        <v>520</v>
      </c>
      <c r="N14" s="244">
        <f>SUM(N10:N13)</f>
        <v>169</v>
      </c>
      <c r="O14" s="248">
        <f>SUM(O10:O13)</f>
        <v>689</v>
      </c>
    </row>
    <row r="15" spans="2:15" ht="15.75" customHeight="1">
      <c r="B15" s="32" t="s">
        <v>55</v>
      </c>
      <c r="C15" s="29">
        <v>23</v>
      </c>
      <c r="D15" s="29">
        <v>48</v>
      </c>
      <c r="E15" s="231">
        <f t="shared" ref="E15:E17" si="12">SUM(C15:D15)</f>
        <v>71</v>
      </c>
      <c r="F15" s="29">
        <v>14</v>
      </c>
      <c r="G15" s="29">
        <v>51</v>
      </c>
      <c r="H15" s="231">
        <f t="shared" ref="H15:H17" si="13">SUM(F15:G15)</f>
        <v>65</v>
      </c>
      <c r="I15" s="29">
        <v>80</v>
      </c>
      <c r="J15" s="29">
        <v>100</v>
      </c>
      <c r="K15" s="231">
        <f t="shared" ref="K15:K17" si="14">SUM(I15:J15)</f>
        <v>180</v>
      </c>
      <c r="L15" s="29"/>
      <c r="M15" s="29">
        <v>117</v>
      </c>
      <c r="N15" s="29">
        <v>199</v>
      </c>
      <c r="O15" s="259">
        <f t="shared" ref="O15:O17" si="15">SUM(M15:N15)</f>
        <v>316</v>
      </c>
    </row>
    <row r="16" spans="2:15" ht="15.75" customHeight="1">
      <c r="B16" s="32" t="s">
        <v>57</v>
      </c>
      <c r="C16" s="29">
        <v>47</v>
      </c>
      <c r="D16" s="29">
        <v>1</v>
      </c>
      <c r="E16" s="231">
        <f t="shared" si="12"/>
        <v>48</v>
      </c>
      <c r="F16" s="29">
        <v>9</v>
      </c>
      <c r="G16" s="29">
        <v>1</v>
      </c>
      <c r="H16" s="231">
        <f t="shared" si="13"/>
        <v>10</v>
      </c>
      <c r="I16" s="29">
        <v>87</v>
      </c>
      <c r="J16" s="29">
        <v>2</v>
      </c>
      <c r="K16" s="231">
        <f t="shared" si="14"/>
        <v>89</v>
      </c>
      <c r="L16" s="29"/>
      <c r="M16" s="29">
        <v>143</v>
      </c>
      <c r="N16" s="29">
        <v>4</v>
      </c>
      <c r="O16" s="259">
        <f t="shared" si="15"/>
        <v>147</v>
      </c>
    </row>
    <row r="17" spans="2:15" ht="15.75" customHeight="1">
      <c r="B17" s="32" t="s">
        <v>58</v>
      </c>
      <c r="C17" s="29">
        <v>11</v>
      </c>
      <c r="D17" s="29" t="s">
        <v>253</v>
      </c>
      <c r="E17" s="231">
        <f t="shared" si="12"/>
        <v>11</v>
      </c>
      <c r="F17" s="29">
        <v>6</v>
      </c>
      <c r="G17" s="29" t="s">
        <v>253</v>
      </c>
      <c r="H17" s="231">
        <f t="shared" si="13"/>
        <v>6</v>
      </c>
      <c r="I17" s="29">
        <v>23</v>
      </c>
      <c r="J17" s="29">
        <v>1</v>
      </c>
      <c r="K17" s="231">
        <f t="shared" si="14"/>
        <v>24</v>
      </c>
      <c r="L17" s="29"/>
      <c r="M17" s="29">
        <v>40</v>
      </c>
      <c r="N17" s="29">
        <v>1</v>
      </c>
      <c r="O17" s="259">
        <f t="shared" si="15"/>
        <v>41</v>
      </c>
    </row>
    <row r="18" spans="2:15" ht="15.75" customHeight="1">
      <c r="B18" s="35" t="s">
        <v>59</v>
      </c>
      <c r="C18" s="244">
        <f t="shared" ref="C18:K18" si="16">SUM(C15:C17)</f>
        <v>81</v>
      </c>
      <c r="D18" s="244">
        <f t="shared" si="16"/>
        <v>49</v>
      </c>
      <c r="E18" s="244">
        <f t="shared" si="16"/>
        <v>130</v>
      </c>
      <c r="F18" s="244">
        <f t="shared" si="16"/>
        <v>29</v>
      </c>
      <c r="G18" s="244">
        <f t="shared" si="16"/>
        <v>52</v>
      </c>
      <c r="H18" s="244">
        <f t="shared" si="16"/>
        <v>81</v>
      </c>
      <c r="I18" s="244">
        <f t="shared" si="16"/>
        <v>190</v>
      </c>
      <c r="J18" s="244">
        <f t="shared" si="16"/>
        <v>103</v>
      </c>
      <c r="K18" s="244">
        <f t="shared" si="16"/>
        <v>293</v>
      </c>
      <c r="L18" s="29"/>
      <c r="M18" s="244">
        <f t="shared" ref="M18:O18" si="17">SUM(M15:M17)</f>
        <v>300</v>
      </c>
      <c r="N18" s="244">
        <f t="shared" si="17"/>
        <v>204</v>
      </c>
      <c r="O18" s="248">
        <f t="shared" si="17"/>
        <v>504</v>
      </c>
    </row>
    <row r="19" spans="2:15" ht="15.75" customHeight="1">
      <c r="B19" s="35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51"/>
    </row>
    <row r="20" spans="2:15" ht="15.75" customHeight="1">
      <c r="B20" s="32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51"/>
    </row>
    <row r="21" spans="2:15" ht="15.75" customHeight="1">
      <c r="B21" s="126" t="s">
        <v>14</v>
      </c>
      <c r="C21" s="253">
        <f t="shared" ref="C21:K21" si="18">C18+C14+C9</f>
        <v>401</v>
      </c>
      <c r="D21" s="253">
        <f t="shared" si="18"/>
        <v>317</v>
      </c>
      <c r="E21" s="253">
        <f t="shared" si="18"/>
        <v>718</v>
      </c>
      <c r="F21" s="253">
        <f t="shared" si="18"/>
        <v>125</v>
      </c>
      <c r="G21" s="253">
        <f t="shared" si="18"/>
        <v>200</v>
      </c>
      <c r="H21" s="253">
        <f t="shared" si="18"/>
        <v>325</v>
      </c>
      <c r="I21" s="253">
        <f t="shared" si="18"/>
        <v>818</v>
      </c>
      <c r="J21" s="253">
        <f t="shared" si="18"/>
        <v>590</v>
      </c>
      <c r="K21" s="253">
        <f t="shared" si="18"/>
        <v>1408</v>
      </c>
      <c r="L21" s="162"/>
      <c r="M21" s="253">
        <f t="shared" ref="M21:O21" si="19">M18+M14+M9</f>
        <v>1344</v>
      </c>
      <c r="N21" s="253">
        <f t="shared" si="19"/>
        <v>1107</v>
      </c>
      <c r="O21" s="254">
        <f t="shared" si="19"/>
        <v>2451</v>
      </c>
    </row>
  </sheetData>
  <mergeCells count="5">
    <mergeCell ref="B2:O2"/>
    <mergeCell ref="C3:E3"/>
    <mergeCell ref="F3:H3"/>
    <mergeCell ref="I3:K3"/>
    <mergeCell ref="M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Forecast Q3</vt:lpstr>
      <vt:lpstr>2026 - Q4</vt:lpstr>
      <vt:lpstr>2026 - Q3</vt:lpstr>
      <vt:lpstr>2026 - Q2</vt:lpstr>
      <vt:lpstr>2026 - Q1</vt:lpstr>
      <vt:lpstr>2025 - Q4</vt:lpstr>
      <vt:lpstr>Copy of 2025 - Q4</vt:lpstr>
      <vt:lpstr>2025 - Q3</vt:lpstr>
      <vt:lpstr>2025 - Q2</vt:lpstr>
      <vt:lpstr>Fleet Volumes - Plan</vt:lpstr>
      <vt:lpstr>2025 - Q1</vt:lpstr>
      <vt:lpstr>Sheet17</vt:lpstr>
      <vt:lpstr>2024 - Q4</vt:lpstr>
      <vt:lpstr>Sheet11</vt:lpstr>
      <vt:lpstr>Regs Q1-Q4</vt:lpstr>
      <vt:lpstr>2024 - Q3</vt:lpstr>
      <vt:lpstr>2024 - Q2</vt:lpstr>
      <vt:lpstr>Regs Q2</vt:lpstr>
      <vt:lpstr>Targets</vt:lpstr>
      <vt:lpstr>2024 - Q1</vt:lpstr>
      <vt:lpstr>2023 - Q4</vt:lpstr>
      <vt:lpstr>2023 - 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Barry</dc:creator>
  <cp:lastModifiedBy>Gavin Barry</cp:lastModifiedBy>
  <dcterms:created xsi:type="dcterms:W3CDTF">2026-10-13T13:23:57Z</dcterms:created>
  <dcterms:modified xsi:type="dcterms:W3CDTF">2026-10-13T13:23:58Z</dcterms:modified>
</cp:coreProperties>
</file>