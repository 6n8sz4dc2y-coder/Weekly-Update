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Forecast Q3" sheetId="1" r:id="rId5"/>
    <sheet state="visible" name="2026 - Q4" sheetId="2" r:id="rId6"/>
    <sheet state="visible" name="2026 - Q3" sheetId="3" r:id="rId7"/>
    <sheet state="visible" name="2026 - Q2" sheetId="4" r:id="rId8"/>
    <sheet state="visible" name="2026 - Q1" sheetId="5" r:id="rId9"/>
    <sheet state="visible" name="2025 - Q4" sheetId="6" r:id="rId10"/>
    <sheet state="visible" name="Copy of 2025 - Q4" sheetId="7" r:id="rId11"/>
    <sheet state="visible" name="2025 - Q3" sheetId="8" r:id="rId12"/>
    <sheet state="visible" name="2025 - Q2" sheetId="9" r:id="rId13"/>
    <sheet state="visible" name="Fleet Volumes - Plan" sheetId="10" r:id="rId14"/>
    <sheet state="visible" name="2025 - Q1" sheetId="11" r:id="rId15"/>
    <sheet state="visible" name="Sheet17" sheetId="12" r:id="rId16"/>
    <sheet state="visible" name="2024 - Q4" sheetId="13" r:id="rId17"/>
    <sheet state="visible" name="Sheet11" sheetId="14" r:id="rId18"/>
    <sheet state="visible" name="Regs Q1-Q4" sheetId="15" r:id="rId19"/>
    <sheet state="visible" name="2024 - Q3" sheetId="16" r:id="rId20"/>
    <sheet state="visible" name="2024 - Q2" sheetId="17" r:id="rId21"/>
    <sheet state="visible" name="Regs Q2" sheetId="18" r:id="rId22"/>
    <sheet state="visible" name="Targets" sheetId="19" r:id="rId23"/>
    <sheet state="visible" name="2024 - Q1" sheetId="20" r:id="rId24"/>
    <sheet state="visible" name="2023 - Q4" sheetId="21" r:id="rId25"/>
    <sheet state="visible" name="2023 - Q3" sheetId="22" r:id="rId2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tc={0df58b35-78e8-4a5e-841f-3ad465018896}</author>
    <author>tc={4174263a-2ca0-452a-b423-6e1efcbb4a5b}</author>
    <author>tc={5cae8b87-32a3-46b4-a0a1-7655396ce203}</author>
    <author>tc={68795b99-ce86-44a8-959a-297a33843047}</author>
    <author>tc={73c783bc-63b5-42c4-9473-38347861c4a5}</author>
    <author>tc={98f59f83-e1a0-4f2d-845e-0380b8164268}</author>
    <author>tc={9d4ece7e-60d6-4e1f-96a9-c068506edc25}</author>
    <author>tc={a3cbf33b-16dc-4853-ab4e-0b88157ca099}</author>
    <author>tc={c6ccc065-f9bf-473c-b378-30b9437f66df}</author>
    <author>tc={f4607649-a214-48e5-9476-f13718de3e7d}</author>
  </authors>
  <commentList>
    <comment authorId="0" xr:uid="{0df58b35-78e8-4a5e-841f-3ad465018896}" ref="AJ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taxed
</t>
      </text>
    </comment>
    <comment authorId="1" xr:uid="{4174263a-2ca0-452a-b423-6e1efcbb4a5b}" ref="AL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taxed
</t>
      </text>
    </comment>
    <comment authorId="2" xr:uid="{5cae8b87-32a3-46b4-a0a1-7655396ce203}" ref="AL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
</t>
      </text>
    </comment>
    <comment authorId="3" xr:uid="{68795b99-ce86-44a8-959a-297a33843047}" ref="AJ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 - double count
</t>
      </text>
    </comment>
    <comment authorId="4" xr:uid="{73c783bc-63b5-42c4-9473-38347861c4a5}" ref="AK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
</t>
      </text>
    </comment>
    <comment authorId="5" xr:uid="{98f59f83-e1a0-4f2d-845e-0380b8164268}" ref="AK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taxed
</t>
      </text>
    </comment>
    <comment authorId="6" xr:uid="{9d4ece7e-60d6-4e1f-96a9-c068506edc25}" ref="AL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taxed
</t>
      </text>
    </comment>
    <comment authorId="7" xr:uid="{a3cbf33b-16dc-4853-ab4e-0b88157ca099}" ref="AK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 taxed
</t>
      </text>
    </comment>
    <comment authorId="8" xr:uid="{c6ccc065-f9bf-473c-b378-30b9437f66df}" ref="AL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
</t>
      </text>
    </comment>
    <comment authorId="9" xr:uid="{f4607649-a214-48e5-9476-f13718de3e7d}" ref="AL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 taxed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tc={3653d5c1-7a35-4c53-8a10-7616528ec6ed}</author>
  </authors>
  <commentList>
    <comment authorId="0" xr:uid="{3653d5c1-7a35-4c53-8a10-7616528ec6ed}" ref="L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Could be 20 more, awaiting clearance.
</t>
      </text>
    </comment>
  </commentList>
</comments>
</file>

<file path=xl/sharedStrings.xml><?xml version="1.0" encoding="utf-8"?>
<sst xmlns="http://schemas.openxmlformats.org/spreadsheetml/2006/main" count="2795" uniqueCount="254">
  <si>
    <t xml:space="preserve"> </t>
  </si>
  <si>
    <t>REGISTRATIONS (COUNTING)</t>
  </si>
  <si>
    <t>Updated</t>
  </si>
  <si>
    <t>By</t>
  </si>
  <si>
    <t>Weekly Orders</t>
  </si>
  <si>
    <t>APR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</si>
  <si>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</si>
  <si>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</si>
  <si>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</si>
  <si>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</si>
  <si>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</si>
  <si>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</si>
  <si>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</si>
  <si>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</si>
  <si>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</si>
  <si>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C/FWD</t>
  </si>
  <si>
    <t>MAY</t>
  </si>
  <si>
    <t>JUNE</t>
  </si>
  <si>
    <t>FORECAST 9/9/24</t>
  </si>
  <si>
    <t>FORECAST 15/9/24</t>
  </si>
  <si>
    <t>JULY</t>
  </si>
  <si>
    <t>AUG</t>
  </si>
  <si>
    <t>Salford</t>
  </si>
  <si>
    <t>SEPT</t>
  </si>
  <si>
    <t>Counting</t>
  </si>
  <si>
    <t>Counting Fleet</t>
  </si>
  <si>
    <t>Total</t>
  </si>
  <si>
    <t>Target</t>
  </si>
  <si>
    <t>CLCP Regs</t>
  </si>
  <si>
    <t>OCT</t>
  </si>
  <si>
    <t>NOV</t>
  </si>
  <si>
    <t>TO GO</t>
  </si>
  <si>
    <t>DEC</t>
  </si>
  <si>
    <t>PER WEEK</t>
  </si>
  <si>
    <t>QTR REGS</t>
  </si>
  <si>
    <t>REGS v TGT</t>
  </si>
  <si>
    <t>Bolton</t>
  </si>
  <si>
    <t>BOOST VOUCHERS ALLOCATED</t>
  </si>
  <si>
    <t>BOOST VOUCHERS USED</t>
  </si>
  <si>
    <t>LEFT</t>
  </si>
  <si>
    <t>Bury</t>
  </si>
  <si>
    <t>Rochdale</t>
  </si>
  <si>
    <t>GB</t>
  </si>
  <si>
    <t>DH</t>
  </si>
  <si>
    <t>NORTH CDA</t>
  </si>
  <si>
    <t>TP</t>
  </si>
  <si>
    <t>gb</t>
  </si>
  <si>
    <t>Macclesfield</t>
  </si>
  <si>
    <t>PF</t>
  </si>
  <si>
    <t>SQ</t>
  </si>
  <si>
    <t>DP</t>
  </si>
  <si>
    <t>Denton</t>
  </si>
  <si>
    <t>Altrincham</t>
  </si>
  <si>
    <t>Stockport</t>
  </si>
  <si>
    <t>SOUTH CDA</t>
  </si>
  <si>
    <t>Bradford</t>
  </si>
  <si>
    <t>NF</t>
  </si>
  <si>
    <t>Huddersfield</t>
  </si>
  <si>
    <t>Silsden</t>
  </si>
  <si>
    <t>WY CDA</t>
  </si>
  <si>
    <t>Orders Per Week</t>
  </si>
  <si>
    <t>CM</t>
  </si>
  <si>
    <t>RM</t>
  </si>
  <si>
    <t>REGISTRATIONS (NON-COUNTING)</t>
  </si>
  <si>
    <t>Non-Counting Fleet (Reg)</t>
  </si>
  <si>
    <t>Non-Counting Fleet (Unreg)</t>
  </si>
  <si>
    <t>Budget</t>
  </si>
  <si>
    <t>APRIL</t>
  </si>
  <si>
    <t>AUGUST</t>
  </si>
  <si>
    <t>`</t>
  </si>
  <si>
    <t>WR</t>
  </si>
  <si>
    <t>USED COUNTING VOLUME</t>
  </si>
  <si>
    <t>JAN</t>
  </si>
  <si>
    <t>FEB</t>
  </si>
  <si>
    <t>MAR</t>
  </si>
  <si>
    <t>ALL TAXED</t>
  </si>
  <si>
    <t xml:space="preserve">CENTRE FLEET (BCH ) </t>
  </si>
  <si>
    <t>Q4</t>
  </si>
  <si>
    <t>Active Orders</t>
  </si>
  <si>
    <t>Regs</t>
  </si>
  <si>
    <t>Q3</t>
  </si>
  <si>
    <t>PS</t>
  </si>
  <si>
    <t>Double Counters</t>
  </si>
  <si>
    <t>31/032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</si>
  <si>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</si>
  <si>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</si>
  <si>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</si>
  <si>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</si>
  <si>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</si>
  <si>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</si>
  <si>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</si>
  <si>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</si>
  <si>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</si>
  <si>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</si>
  <si>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</si>
  <si>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</si>
  <si>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</si>
  <si>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</si>
  <si>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</si>
  <si>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</si>
  <si>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</si>
  <si>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</si>
  <si>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</si>
  <si>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Fleet Units</t>
  </si>
  <si>
    <t>AJB</t>
  </si>
  <si>
    <t>JANUARY</t>
  </si>
  <si>
    <t>FEBRUARY</t>
  </si>
  <si>
    <t>MARCH</t>
  </si>
  <si>
    <t>REGISTRATIONS (BZ4X)</t>
  </si>
  <si>
    <t>OCTOBER</t>
  </si>
  <si>
    <t>NOVEMBER</t>
  </si>
  <si>
    <t>DECEMBER</t>
  </si>
  <si>
    <t>Q2 (PBI)</t>
  </si>
  <si>
    <t>Q2 - BZ TARGETS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</si>
  <si>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</si>
  <si>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</si>
  <si>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</si>
  <si>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</si>
  <si>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</si>
  <si>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</si>
  <si>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Q1</t>
  </si>
  <si>
    <t>Catch-back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</si>
  <si>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</si>
  <si>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</si>
  <si>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</si>
  <si>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</si>
  <si>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</si>
  <si>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</si>
  <si>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</si>
  <si>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FY TARGET</t>
  </si>
  <si>
    <t>MONTHLY</t>
  </si>
  <si>
    <t>Q1 - BZ TARGETS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</si>
  <si>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</si>
  <si>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</si>
  <si>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</si>
  <si>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</si>
  <si>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</si>
  <si>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</si>
  <si>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</si>
  <si>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31/033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</si>
  <si>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</si>
  <si>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</si>
  <si>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</si>
  <si>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</si>
  <si>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</si>
  <si>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</si>
  <si>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</si>
  <si>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</si>
  <si>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</si>
  <si>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</si>
  <si>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</si>
  <si>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JULY (PBI)</t>
  </si>
  <si>
    <t>AUGUST (PBI)</t>
  </si>
  <si>
    <t>SEPTEMBER</t>
  </si>
  <si>
    <t>COUNTING REGS - Q2</t>
  </si>
  <si>
    <t>COUNTING REGS - Q3</t>
  </si>
  <si>
    <t>(Counting 145 Rochdale)</t>
  </si>
  <si>
    <t>APRIL (PBI)</t>
  </si>
  <si>
    <t>MAY (PBI)</t>
  </si>
  <si>
    <t>JUNE (PBI)</t>
  </si>
  <si>
    <t>Q2</t>
  </si>
  <si>
    <t>COUNTING REGS - Q4</t>
  </si>
  <si>
    <t>LB (CLCP)</t>
  </si>
  <si>
    <t>LB (BZ4X)</t>
  </si>
  <si>
    <t>LB (COROLLA)</t>
  </si>
  <si>
    <t>ab</t>
  </si>
  <si>
    <t>TOTAL - FULL YEAR</t>
  </si>
  <si>
    <t>LB</t>
  </si>
  <si>
    <t>REGS TO DATE</t>
  </si>
  <si>
    <t>COUNT</t>
  </si>
  <si>
    <t>Aug</t>
  </si>
  <si>
    <t>TO REG</t>
  </si>
  <si>
    <t>TOTAL BZ</t>
  </si>
  <si>
    <t>REGS TO DATE (YEAR)</t>
  </si>
  <si>
    <t>Non-Counting Fleet (Not on PBI)</t>
  </si>
  <si>
    <t>REGS TO DATE (QUARTER)</t>
  </si>
  <si>
    <t>RETAIL + FLEET</t>
  </si>
  <si>
    <t>Centre Network Health Check - Centre Detail</t>
  </si>
  <si>
    <t>CONTROL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</si>
  <si>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</si>
  <si>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</si>
  <si>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</si>
  <si>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</si>
  <si>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</si>
  <si>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</si>
  <si>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</si>
  <si>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</si>
  <si>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</si>
  <si>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</si>
  <si>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</si>
  <si>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</si>
  <si>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</si>
  <si>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</si>
  <si>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</si>
  <si>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</si>
  <si>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</si>
  <si>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</si>
  <si>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</si>
  <si>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</si>
  <si>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</si>
  <si>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</si>
  <si>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</si>
  <si>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</si>
  <si>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</si>
  <si>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</si>
  <si>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</si>
  <si>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</si>
  <si>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</si>
  <si>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</si>
  <si>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</si>
  <si>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</si>
  <si>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</si>
  <si>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</si>
  <si>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</si>
  <si>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</si>
  <si>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</si>
  <si>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</si>
  <si>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</si>
  <si>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</si>
  <si>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</si>
  <si>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</si>
  <si>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</si>
  <si>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</si>
  <si>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</si>
  <si>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</si>
  <si>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OCTOBER (PBI)</t>
  </si>
  <si>
    <t>NOVEMBER (PBI)</t>
  </si>
  <si>
    <t>CHL</t>
  </si>
  <si>
    <t>Contract Hire &amp; Leasing/Broker Programme</t>
  </si>
  <si>
    <t>DEC RR</t>
  </si>
  <si>
    <t>CSS</t>
  </si>
  <si>
    <t>Car Benefit Solutions</t>
  </si>
  <si>
    <t>29/12/23</t>
  </si>
  <si>
    <t>Demonstrator</t>
  </si>
  <si>
    <t>-</t>
  </si>
  <si>
    <t>25/03</t>
  </si>
  <si>
    <t>FP</t>
  </si>
  <si>
    <t>Fleet Partnership/Consortiums/Public Sector</t>
  </si>
  <si>
    <t>Kinto Fleet Partnership/Kinto One BCH</t>
  </si>
  <si>
    <t>Customer Loan Car Programme</t>
  </si>
  <si>
    <t>LB FINAL</t>
  </si>
  <si>
    <t>Limited Badge</t>
  </si>
  <si>
    <t>21/12/23</t>
  </si>
  <si>
    <t>27/12/23</t>
  </si>
  <si>
    <t>Motability</t>
  </si>
  <si>
    <t>Online Retail</t>
  </si>
  <si>
    <t>PS FINAL</t>
  </si>
  <si>
    <t>Private/Retail/Gazoo Racing</t>
  </si>
  <si>
    <t>28/12/23</t>
  </si>
  <si>
    <t>CH FINAL</t>
  </si>
  <si>
    <t>/</t>
  </si>
  <si>
    <t>Reduced on 25.3</t>
  </si>
  <si>
    <t>REGISTRATIONS (C-HR HYBRID ONLY)</t>
  </si>
  <si>
    <t>Target (Power BI)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</si>
</sst>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"/>
    <numFmt numFmtId="165" formatCode="0.0"/>
    <numFmt numFmtId="166" formatCode="#,##0;(#,##0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dd/mm/yyyy"/>
    <numFmt numFmtId="173" formatCode="dd/MM/yyyy"/>
    <numFmt numFmtId="174" formatCode="[$£-809]#,##0"/>
    <numFmt numFmtId="175" formatCode="d/m/yyyy"/>
    <numFmt numFmtId="176" formatCode="mm/dd"/>
  </numFmts>
  <fonts count="18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0.0"/>
      <color theme="1"/>
      <name val="Arial"/>
      <scheme val="minor"/>
    </font>
    <font>
      <sz val="11.0"/>
      <color rgb="FF000000"/>
      <name val="Calibri"/>
    </font>
    <font/>
    <font>
      <color theme="1"/>
      <name val="Arial"/>
    </font>
    <font>
      <b/>
      <color theme="1"/>
      <name val="Arial"/>
    </font>
    <font>
      <b/>
      <sz val="11.0"/>
      <color rgb="FF000000"/>
      <name val="Calibri"/>
    </font>
    <font>
      <sz val="10.0"/>
      <color rgb="FF000000"/>
      <name val="Arial"/>
    </font>
    <font>
      <b/>
      <sz val="8.0"/>
      <color theme="1"/>
      <name val="Arial"/>
      <scheme val="minor"/>
    </font>
    <font>
      <sz val="11.0"/>
      <color theme="1"/>
      <name val="Calibri"/>
    </font>
    <font>
      <b/>
      <sz val="10.0"/>
      <color rgb="FF000000"/>
      <name val="Arial"/>
    </font>
    <font>
      <sz val="10.0"/>
      <color theme="1"/>
      <name val="Arial"/>
    </font>
    <font>
      <b/>
      <sz val="10.0"/>
      <color theme="1"/>
      <name val="Arial"/>
    </font>
    <font>
      <sz val="12.0"/>
      <color theme="1"/>
      <name val="&quot;Aptos&quot;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/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434343"/>
      </left>
      <top style="thick">
        <color rgb="FF434343"/>
      </top>
      <bottom style="thin">
        <color rgb="FF000000"/>
      </bottom>
    </border>
    <border>
      <top style="thick">
        <color rgb="FF434343"/>
      </top>
      <bottom style="thin">
        <color rgb="FF000000"/>
      </bottom>
    </border>
    <border>
      <right style="thick">
        <color rgb="FF000000"/>
      </right>
      <top style="thick">
        <color rgb="FF434343"/>
      </top>
      <bottom style="thin">
        <color rgb="FF000000"/>
      </bottom>
    </border>
    <border>
      <left style="thick">
        <color rgb="FF000000"/>
      </left>
      <top style="thick">
        <color rgb="FF434343"/>
      </top>
    </border>
    <border>
      <top style="thick">
        <color rgb="FF434343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434343"/>
      </left>
    </border>
    <border>
      <left style="thick">
        <color rgb="FF000000"/>
      </left>
    </border>
    <border>
      <top style="thin">
        <color rgb="FF000000"/>
      </top>
    </border>
    <border>
      <right style="thick">
        <color rgb="FF000000"/>
      </right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434343"/>
      </left>
      <bottom style="thick">
        <color rgb="FF434343"/>
      </bottom>
    </border>
    <border>
      <top style="thin">
        <color rgb="FF000000"/>
      </top>
      <bottom style="thick">
        <color rgb="FF434343"/>
      </bottom>
    </border>
    <border>
      <bottom style="thick">
        <color rgb="FF434343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ck">
        <color rgb="FF434343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434343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434343"/>
      </left>
      <top style="thick">
        <color rgb="FF000000"/>
      </top>
      <bottom style="thin">
        <color rgb="FF000000"/>
      </bottom>
    </border>
    <border>
      <right style="thick">
        <color rgb="FF434343"/>
      </right>
      <top style="thick">
        <color rgb="FF434343"/>
      </top>
    </border>
    <border>
      <right style="thick">
        <color rgb="FF434343"/>
      </right>
    </border>
    <border>
      <right style="thick">
        <color rgb="FF434343"/>
      </right>
      <bottom style="thick">
        <color rgb="FF434343"/>
      </bottom>
    </border>
    <border>
      <left style="thin">
        <color rgb="FF000000"/>
      </left>
    </border>
    <border>
      <left style="thick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0" fillId="0" fontId="4" numFmtId="0" xfId="0" applyAlignment="1" applyFont="1">
      <alignment readingOrder="0"/>
    </xf>
    <xf borderId="2" fillId="2" fontId="1" numFmtId="164" xfId="0" applyAlignment="1" applyBorder="1" applyFill="1" applyFont="1" applyNumberFormat="1">
      <alignment readingOrder="0"/>
    </xf>
    <xf borderId="3" fillId="0" fontId="3" numFmtId="0" xfId="0" applyBorder="1" applyFont="1"/>
    <xf borderId="0" fillId="0" fontId="3" numFmtId="164" xfId="0" applyAlignment="1" applyFont="1" applyNumberFormat="1">
      <alignment readingOrder="0"/>
    </xf>
    <xf borderId="4" fillId="0" fontId="5" numFmtId="0" xfId="0" applyAlignment="1" applyBorder="1" applyFont="1">
      <alignment horizontal="center" readingOrder="0" shrinkToFit="0" vertical="bottom" wrapText="0"/>
    </xf>
    <xf borderId="5" fillId="0" fontId="6" numFmtId="0" xfId="0" applyBorder="1" applyFont="1"/>
    <xf borderId="6" fillId="0" fontId="6" numFmtId="0" xfId="0" applyBorder="1" applyFont="1"/>
    <xf borderId="3" fillId="0" fontId="1" numFmtId="0" xfId="0" applyBorder="1" applyFont="1"/>
    <xf borderId="7" fillId="0" fontId="3" numFmtId="0" xfId="0" applyBorder="1" applyFont="1"/>
    <xf borderId="7" fillId="0" fontId="1" numFmtId="0" xfId="0" applyAlignment="1" applyBorder="1" applyFont="1">
      <alignment horizontal="left" readingOrder="0"/>
    </xf>
    <xf borderId="8" fillId="0" fontId="1" numFmtId="0" xfId="0" applyAlignment="1" applyBorder="1" applyFont="1">
      <alignment horizontal="left" readingOrder="0"/>
    </xf>
    <xf borderId="3" fillId="0" fontId="6" numFmtId="0" xfId="0" applyBorder="1" applyFont="1"/>
    <xf borderId="9" fillId="0" fontId="1" numFmtId="0" xfId="0" applyAlignment="1" applyBorder="1" applyFont="1">
      <alignment horizontal="left" readingOrder="0"/>
    </xf>
    <xf borderId="3" fillId="0" fontId="3" numFmtId="9" xfId="0" applyAlignment="1" applyBorder="1" applyFont="1" applyNumberFormat="1">
      <alignment readingOrder="0"/>
    </xf>
    <xf borderId="0" fillId="0" fontId="1" numFmtId="0" xfId="0" applyAlignment="1" applyFont="1">
      <alignment horizontal="left" readingOrder="0"/>
    </xf>
    <xf borderId="0" fillId="0" fontId="5" numFmtId="0" xfId="0" applyAlignment="1" applyFont="1">
      <alignment horizontal="left" readingOrder="0" shrinkToFit="0" vertical="bottom" wrapText="0"/>
    </xf>
    <xf borderId="10" fillId="0" fontId="3" numFmtId="0" xfId="0" applyBorder="1" applyFont="1"/>
    <xf borderId="10" fillId="0" fontId="6" numFmtId="0" xfId="0" applyBorder="1" applyFont="1"/>
    <xf borderId="11" fillId="0" fontId="5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/>
    </xf>
    <xf borderId="1" fillId="0" fontId="7" numFmtId="0" xfId="0" applyAlignment="1" applyBorder="1" applyFont="1">
      <alignment vertical="bottom"/>
    </xf>
    <xf borderId="12" fillId="0" fontId="3" numFmtId="0" xfId="0" applyBorder="1" applyFont="1"/>
    <xf borderId="9" fillId="0" fontId="7" numFmtId="0" xfId="0" applyAlignment="1" applyBorder="1" applyFont="1">
      <alignment vertical="bottom"/>
    </xf>
    <xf borderId="0" fillId="0" fontId="1" numFmtId="0" xfId="0" applyAlignment="1" applyFont="1">
      <alignment readingOrder="0" shrinkToFit="0" wrapText="1"/>
    </xf>
    <xf borderId="13" fillId="0" fontId="5" numFmtId="0" xfId="0" applyAlignment="1" applyBorder="1" applyFont="1">
      <alignment horizontal="center" readingOrder="0" shrinkToFit="0" vertical="bottom" wrapText="0"/>
    </xf>
    <xf borderId="3" fillId="0" fontId="7" numFmtId="0" xfId="0" applyAlignment="1" applyBorder="1" applyFont="1">
      <alignment vertical="bottom"/>
    </xf>
    <xf borderId="13" fillId="0" fontId="6" numFmtId="0" xfId="0" applyBorder="1" applyFont="1"/>
    <xf borderId="0" fillId="0" fontId="8" numFmtId="0" xfId="0" applyAlignment="1" applyFont="1">
      <alignment vertical="bottom"/>
    </xf>
    <xf borderId="13" fillId="0" fontId="5" numFmtId="0" xfId="0" applyAlignment="1" applyBorder="1" applyFont="1">
      <alignment horizontal="center" readingOrder="0" shrinkToFit="0" vertical="bottom" wrapText="0"/>
    </xf>
    <xf borderId="14" fillId="0" fontId="1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0" fontId="3" numFmtId="0" xfId="0" applyAlignment="1" applyFont="1">
      <alignment readingOrder="0"/>
    </xf>
    <xf borderId="0" fillId="0" fontId="5" numFmtId="0" xfId="0" applyAlignment="1" applyFont="1">
      <alignment horizontal="center" readingOrder="0" shrinkToFit="0" vertical="bottom" wrapText="0"/>
    </xf>
    <xf borderId="12" fillId="0" fontId="5" numFmtId="0" xfId="0" applyAlignment="1" applyBorder="1" applyFont="1">
      <alignment shrinkToFit="0" vertical="bottom" wrapText="0"/>
    </xf>
    <xf borderId="3" fillId="0" fontId="2" numFmtId="0" xfId="0" applyAlignment="1" applyBorder="1" applyFont="1">
      <alignment horizontal="center" shrinkToFit="0" vertical="bottom" wrapText="0"/>
    </xf>
    <xf borderId="14" fillId="0" fontId="3" numFmtId="0" xfId="0" applyBorder="1" applyFont="1"/>
    <xf borderId="15" fillId="0" fontId="6" numFmtId="0" xfId="0" applyBorder="1" applyFont="1"/>
    <xf borderId="12" fillId="0" fontId="9" numFmtId="0" xfId="0" applyAlignment="1" applyBorder="1" applyFont="1">
      <alignment shrinkToFit="0" vertical="bottom" wrapText="0"/>
    </xf>
    <xf borderId="16" fillId="0" fontId="3" numFmtId="0" xfId="0" applyBorder="1" applyFont="1"/>
    <xf borderId="3" fillId="0" fontId="2" numFmtId="0" xfId="0" applyAlignment="1" applyBorder="1" applyFont="1">
      <alignment horizontal="center" vertical="bottom"/>
    </xf>
    <xf borderId="12" fillId="0" fontId="10" numFmtId="0" xfId="0" applyAlignment="1" applyBorder="1" applyFont="1">
      <alignment readingOrder="0" shrinkToFit="0" vertical="bottom" wrapText="0"/>
    </xf>
    <xf borderId="11" fillId="0" fontId="9" numFmtId="0" xfId="0" applyAlignment="1" applyBorder="1" applyFont="1">
      <alignment shrinkToFit="0" vertical="bottom" wrapText="0"/>
    </xf>
    <xf borderId="0" fillId="0" fontId="10" numFmtId="0" xfId="0" applyAlignment="1" applyFont="1">
      <alignment horizontal="right" readingOrder="0" vertical="bottom"/>
    </xf>
    <xf borderId="0" fillId="0" fontId="5" numFmtId="0" xfId="0" applyAlignment="1" applyFont="1">
      <alignment readingOrder="0" shrinkToFit="0" vertical="bottom" wrapText="1"/>
    </xf>
    <xf borderId="10" fillId="0" fontId="7" numFmtId="0" xfId="0" applyAlignment="1" applyBorder="1" applyFont="1">
      <alignment vertical="bottom"/>
    </xf>
    <xf borderId="0" fillId="0" fontId="5" numFmtId="0" xfId="0" applyAlignment="1" applyFont="1">
      <alignment horizontal="left" readingOrder="0" shrinkToFit="0" vertical="bottom" wrapText="1"/>
    </xf>
    <xf borderId="12" fillId="0" fontId="7" numFmtId="0" xfId="0" applyAlignment="1" applyBorder="1" applyFont="1">
      <alignment vertical="bottom"/>
    </xf>
    <xf borderId="3" fillId="0" fontId="2" numFmtId="0" xfId="0" applyAlignment="1" applyBorder="1" applyFont="1">
      <alignment horizontal="center" readingOrder="0" shrinkToFit="0" vertical="bottom" wrapText="0"/>
    </xf>
    <xf borderId="0" fillId="3" fontId="1" numFmtId="165" xfId="0" applyFill="1" applyFont="1" applyNumberFormat="1"/>
    <xf borderId="3" fillId="0" fontId="2" numFmtId="0" xfId="0" applyAlignment="1" applyBorder="1" applyFont="1">
      <alignment horizontal="center" readingOrder="0" vertical="bottom"/>
    </xf>
    <xf borderId="14" fillId="0" fontId="5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shrinkToFit="0" vertical="bottom" wrapText="1"/>
    </xf>
    <xf borderId="12" fillId="0" fontId="5" numFmtId="0" xfId="0" applyAlignment="1" applyBorder="1" applyFont="1">
      <alignment readingOrder="0" shrinkToFit="0" vertical="bottom" wrapText="1"/>
    </xf>
    <xf borderId="12" fillId="0" fontId="1" numFmtId="0" xfId="0" applyAlignment="1" applyBorder="1" applyFont="1">
      <alignment readingOrder="0"/>
    </xf>
    <xf borderId="0" fillId="0" fontId="7" numFmtId="0" xfId="0" applyAlignment="1" applyFont="1">
      <alignment horizontal="center" vertical="bottom"/>
    </xf>
    <xf borderId="16" fillId="0" fontId="1" numFmtId="0" xfId="0" applyAlignment="1" applyBorder="1" applyFont="1">
      <alignment readingOrder="0"/>
    </xf>
    <xf borderId="11" fillId="0" fontId="10" numFmtId="0" xfId="0" applyAlignment="1" applyBorder="1" applyFont="1">
      <alignment readingOrder="0" shrinkToFit="0" vertical="bottom" wrapText="0"/>
    </xf>
    <xf borderId="0" fillId="3" fontId="3" numFmtId="0" xfId="0" applyFill="1" applyFont="1"/>
    <xf borderId="14" fillId="0" fontId="8" numFmtId="0" xfId="0" applyAlignment="1" applyBorder="1" applyFont="1">
      <alignment vertical="bottom"/>
    </xf>
    <xf borderId="0" fillId="0" fontId="11" numFmtId="0" xfId="0" applyAlignment="1" applyFont="1">
      <alignment horizontal="center" readingOrder="0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7" numFmtId="0" xfId="0" applyAlignment="1" applyFont="1">
      <alignment horizontal="right" vertical="bottom"/>
    </xf>
    <xf borderId="0" fillId="0" fontId="3" numFmtId="3" xfId="0" applyFont="1" applyNumberFormat="1"/>
    <xf borderId="0" fillId="2" fontId="10" numFmtId="0" xfId="0" applyAlignment="1" applyFill="1" applyFont="1">
      <alignment readingOrder="0" shrinkToFit="0" vertical="bottom" wrapText="0"/>
    </xf>
    <xf borderId="0" fillId="2" fontId="7" numFmtId="0" xfId="0" applyAlignment="1" applyFill="1" applyFont="1">
      <alignment horizontal="right" vertical="bottom"/>
    </xf>
    <xf borderId="0" fillId="4" fontId="10" numFmtId="0" xfId="0" applyAlignment="1" applyFill="1" applyFont="1">
      <alignment horizontal="right" readingOrder="0" vertical="bottom"/>
    </xf>
    <xf borderId="0" fillId="4" fontId="7" numFmtId="0" xfId="0" applyAlignment="1" applyFill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9" xfId="0" applyAlignment="1" applyFont="1" applyNumberFormat="1">
      <alignment horizontal="right" vertical="bottom"/>
    </xf>
    <xf borderId="0" fillId="0" fontId="10" numFmtId="9" xfId="0" applyAlignment="1" applyFont="1" applyNumberFormat="1">
      <alignment horizontal="right" readingOrder="0" vertical="bottom"/>
    </xf>
    <xf borderId="14" fillId="0" fontId="3" numFmtId="3" xfId="0" applyBorder="1" applyFont="1" applyNumberFormat="1"/>
    <xf borderId="0" fillId="0" fontId="3" numFmtId="166" xfId="0" applyAlignment="1" applyFont="1" applyNumberFormat="1">
      <alignment readingOrder="0"/>
    </xf>
    <xf borderId="0" fillId="4" fontId="7" numFmtId="0" xfId="0" applyAlignment="1" applyFill="1" applyFont="1">
      <alignment horizontal="right" readingOrder="0" vertical="bottom"/>
    </xf>
    <xf borderId="0" fillId="0" fontId="3" numFmtId="166" xfId="0" applyFont="1" applyNumberForma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vertical="bottom"/>
    </xf>
    <xf borderId="0" fillId="5" fontId="10" numFmtId="0" xfId="0" applyAlignment="1" applyFill="1" applyFont="1">
      <alignment horizontal="right" readingOrder="0" vertical="bottom"/>
    </xf>
    <xf borderId="0" fillId="0" fontId="10" numFmtId="0" xfId="0" applyAlignment="1" applyFont="1">
      <alignment readingOrder="0" shrinkToFit="0" vertical="bottom" wrapText="0"/>
    </xf>
    <xf borderId="0" fillId="6" fontId="7" numFmtId="0" xfId="0" applyAlignment="1" applyFill="1" applyFont="1">
      <alignment horizontal="right" vertical="bottom"/>
    </xf>
    <xf borderId="14" fillId="4" fontId="10" numFmtId="0" xfId="0" applyAlignment="1" applyBorder="1" applyFill="1" applyFont="1">
      <alignment horizontal="right" readingOrder="0" vertical="bottom"/>
    </xf>
    <xf borderId="17" fillId="0" fontId="10" numFmtId="0" xfId="0" applyAlignment="1" applyBorder="1" applyFont="1">
      <alignment horizontal="right" readingOrder="0" vertical="bottom"/>
    </xf>
    <xf borderId="12" fillId="6" fontId="10" numFmtId="0" xfId="0" applyAlignment="1" applyBorder="1" applyFill="1" applyFont="1">
      <alignment horizontal="right" readingOrder="0" vertical="bottom"/>
    </xf>
    <xf borderId="14" fillId="0" fontId="7" numFmtId="9" xfId="0" applyAlignment="1" applyBorder="1" applyFont="1" applyNumberFormat="1">
      <alignment horizontal="right" vertical="bottom"/>
    </xf>
    <xf borderId="0" fillId="7" fontId="7" numFmtId="167" xfId="0" applyAlignment="1" applyFill="1" applyFont="1" applyNumberFormat="1">
      <alignment horizontal="right" readingOrder="0" vertical="bottom"/>
    </xf>
    <xf borderId="0" fillId="0" fontId="7" numFmtId="167" xfId="0" applyAlignment="1" applyFont="1" applyNumberFormat="1">
      <alignment readingOrder="0" vertical="bottom"/>
    </xf>
    <xf borderId="0" fillId="0" fontId="12" numFmtId="0" xfId="0" applyAlignment="1" applyFont="1">
      <alignment readingOrder="0" vertical="bottom"/>
    </xf>
    <xf borderId="0" fillId="5" fontId="3" numFmtId="0" xfId="0" applyAlignment="1" applyFill="1" applyFont="1">
      <alignment readingOrder="0"/>
    </xf>
    <xf borderId="12" fillId="0" fontId="13" numFmtId="0" xfId="0" applyAlignment="1" applyBorder="1" applyFont="1">
      <alignment readingOrder="0" shrinkToFit="0" vertical="bottom" wrapText="0"/>
    </xf>
    <xf borderId="18" fillId="2" fontId="13" numFmtId="0" xfId="0" applyAlignment="1" applyBorder="1" applyFill="1" applyFont="1">
      <alignment readingOrder="0" shrinkToFit="0" vertical="bottom" wrapText="0"/>
    </xf>
    <xf borderId="16" fillId="0" fontId="14" numFmtId="9" xfId="0" applyAlignment="1" applyBorder="1" applyFont="1" applyNumberFormat="1">
      <alignment readingOrder="0"/>
    </xf>
    <xf borderId="18" fillId="2" fontId="13" numFmtId="165" xfId="0" applyAlignment="1" applyBorder="1" applyFill="1" applyFont="1" applyNumberFormat="1">
      <alignment readingOrder="0" shrinkToFit="0" vertical="bottom" wrapText="0"/>
    </xf>
    <xf borderId="0" fillId="5" fontId="3" numFmtId="167" xfId="0" applyAlignment="1" applyFill="1" applyFont="1" applyNumberFormat="1">
      <alignment readingOrder="0"/>
    </xf>
    <xf borderId="0" fillId="0" fontId="5" numFmtId="0" xfId="0" applyAlignment="1" applyFont="1">
      <alignment readingOrder="0" shrinkToFit="0" vertical="bottom" wrapText="0"/>
    </xf>
    <xf borderId="18" fillId="2" fontId="13" numFmtId="3" xfId="0" applyAlignment="1" applyBorder="1" applyFill="1" applyFont="1" applyNumberFormat="1">
      <alignment readingOrder="0" shrinkToFit="0" vertical="bottom" wrapText="0"/>
    </xf>
    <xf borderId="0" fillId="7" fontId="7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19" fillId="2" fontId="13" numFmtId="3" xfId="0" applyAlignment="1" applyBorder="1" applyFill="1" applyFont="1" applyNumberFormat="1">
      <alignment readingOrder="0" shrinkToFit="0" vertical="bottom" wrapText="0"/>
    </xf>
    <xf borderId="0" fillId="0" fontId="7" numFmtId="0" xfId="0" applyAlignment="1" applyFont="1">
      <alignment vertical="bottom"/>
    </xf>
    <xf borderId="17" fillId="0" fontId="7" numFmtId="0" xfId="0" applyAlignment="1" applyBorder="1" applyFont="1">
      <alignment horizontal="right" vertical="bottom"/>
    </xf>
    <xf borderId="17" fillId="0" fontId="7" numFmtId="0" xfId="0" applyAlignment="1" applyBorder="1" applyFont="1">
      <alignment vertical="bottom"/>
    </xf>
    <xf borderId="0" fillId="0" fontId="10" numFmtId="0" xfId="0" applyAlignment="1" applyFont="1">
      <alignment readingOrder="0" vertical="bottom"/>
    </xf>
    <xf borderId="12" fillId="0" fontId="8" numFmtId="0" xfId="0" applyAlignment="1" applyBorder="1" applyFont="1">
      <alignment vertical="bottom"/>
    </xf>
    <xf borderId="0" fillId="2" fontId="8" numFmtId="0" xfId="0" applyAlignment="1" applyFill="1" applyFont="1">
      <alignment horizontal="right" vertical="bottom"/>
    </xf>
    <xf borderId="0" fillId="0" fontId="8" numFmtId="9" xfId="0" applyAlignment="1" applyFont="1" applyNumberFormat="1">
      <alignment horizontal="right" vertical="bottom"/>
    </xf>
    <xf borderId="17" fillId="0" fontId="10" numFmtId="0" xfId="0" applyAlignment="1" applyBorder="1" applyFont="1">
      <alignment readingOrder="0" vertical="bottom"/>
    </xf>
    <xf borderId="11" fillId="0" fontId="13" numFmtId="0" xfId="0" applyAlignment="1" applyBorder="1" applyFont="1">
      <alignment readingOrder="0" shrinkToFit="0" vertical="bottom" wrapText="0"/>
    </xf>
    <xf borderId="0" fillId="0" fontId="7" numFmtId="10" xfId="0" applyAlignment="1" applyFont="1" applyNumberFormat="1">
      <alignment vertical="bottom"/>
    </xf>
    <xf borderId="0" fillId="0" fontId="13" numFmtId="9" xfId="0" applyAlignment="1" applyFont="1" applyNumberFormat="1">
      <alignment horizontal="right" readingOrder="0" vertical="bottom"/>
    </xf>
    <xf borderId="19" fillId="2" fontId="13" numFmtId="0" xfId="0" applyAlignment="1" applyBorder="1" applyFill="1" applyFont="1">
      <alignment readingOrder="0" shrinkToFit="0" vertical="bottom" wrapText="0"/>
    </xf>
    <xf borderId="20" fillId="2" fontId="13" numFmtId="0" xfId="0" applyAlignment="1" applyBorder="1" applyFill="1" applyFont="1">
      <alignment readingOrder="0" shrinkToFit="0" vertical="bottom" wrapText="0"/>
    </xf>
    <xf borderId="0" fillId="7" fontId="7" numFmtId="167" xfId="0" applyAlignment="1" applyFill="1" applyFont="1" applyNumberFormat="1">
      <alignment readingOrder="0" vertical="bottom"/>
    </xf>
    <xf borderId="16" fillId="0" fontId="15" numFmtId="9" xfId="0" applyBorder="1" applyFont="1" applyNumberFormat="1"/>
    <xf borderId="0" fillId="0" fontId="3" numFmtId="167" xfId="0" applyAlignment="1" applyFont="1" applyNumberFormat="1">
      <alignment readingOrder="0"/>
    </xf>
    <xf borderId="0" fillId="0" fontId="10" numFmtId="0" xfId="0" applyAlignment="1" applyFont="1">
      <alignment shrinkToFit="0" vertical="bottom" wrapText="0"/>
    </xf>
    <xf borderId="12" fillId="0" fontId="10" numFmtId="0" xfId="0" applyAlignment="1" applyBorder="1" applyFont="1">
      <alignment shrinkToFit="0" vertical="bottom" wrapText="0"/>
    </xf>
    <xf borderId="21" fillId="0" fontId="13" numFmtId="0" xfId="0" applyAlignment="1" applyBorder="1" applyFont="1">
      <alignment readingOrder="0" shrinkToFit="0" vertical="bottom" wrapText="0"/>
    </xf>
    <xf borderId="22" fillId="2" fontId="13" numFmtId="3" xfId="0" applyAlignment="1" applyBorder="1" applyFill="1" applyFont="1" applyNumberFormat="1">
      <alignment readingOrder="0" shrinkToFit="0" vertical="bottom" wrapText="0"/>
    </xf>
    <xf borderId="22" fillId="2" fontId="13" numFmtId="168" xfId="0" applyAlignment="1" applyBorder="1" applyFill="1" applyFont="1" applyNumberFormat="1">
      <alignment readingOrder="0" shrinkToFit="0" vertical="bottom" wrapText="0"/>
    </xf>
    <xf borderId="23" fillId="2" fontId="13" numFmtId="3" xfId="0" applyAlignment="1" applyBorder="1" applyFill="1" applyFont="1" applyNumberFormat="1">
      <alignment readingOrder="0" shrinkToFit="0" vertical="bottom" wrapText="0"/>
    </xf>
    <xf borderId="18" fillId="0" fontId="1" numFmtId="166" xfId="0" applyBorder="1" applyFont="1" applyNumberFormat="1"/>
    <xf borderId="0" fillId="0" fontId="1" numFmtId="166" xfId="0" applyFont="1" applyNumberFormat="1"/>
    <xf borderId="0" fillId="0" fontId="3" numFmtId="3" xfId="0" applyAlignment="1" applyFont="1" applyNumberFormat="1">
      <alignment readingOrder="0"/>
    </xf>
    <xf borderId="17" fillId="0" fontId="1" numFmtId="166" xfId="0" applyBorder="1" applyFont="1" applyNumberFormat="1"/>
    <xf borderId="0" fillId="0" fontId="3" numFmtId="169" xfId="0" applyAlignment="1" applyFont="1" applyNumberFormat="1">
      <alignment readingOrder="0"/>
    </xf>
    <xf borderId="0" fillId="0" fontId="1" numFmtId="0" xfId="0" applyFont="1"/>
    <xf borderId="0" fillId="7" fontId="7" numFmtId="167" xfId="0" applyAlignment="1" applyFill="1" applyFont="1" applyNumberFormat="1">
      <alignment vertical="bottom"/>
    </xf>
    <xf borderId="14" fillId="0" fontId="7" numFmtId="0" xfId="0" applyAlignment="1" applyBorder="1" applyFont="1">
      <alignment vertical="bottom"/>
    </xf>
    <xf borderId="21" fillId="0" fontId="8" numFmtId="0" xfId="0" applyAlignment="1" applyBorder="1" applyFont="1">
      <alignment readingOrder="0" vertical="bottom"/>
    </xf>
    <xf borderId="24" fillId="2" fontId="8" numFmtId="0" xfId="0" applyAlignment="1" applyBorder="1" applyFill="1" applyFont="1">
      <alignment horizontal="right" vertical="bottom"/>
    </xf>
    <xf borderId="24" fillId="0" fontId="8" numFmtId="9" xfId="0" applyAlignment="1" applyBorder="1" applyFont="1" applyNumberFormat="1">
      <alignment horizontal="right" vertical="bottom"/>
    </xf>
    <xf borderId="14" fillId="0" fontId="10" numFmtId="0" xfId="0" applyAlignment="1" applyBorder="1" applyFont="1">
      <alignment shrinkToFit="0" vertical="bottom" wrapText="0"/>
    </xf>
    <xf borderId="12" fillId="0" fontId="14" numFmtId="0" xfId="0" applyBorder="1" applyFont="1"/>
    <xf borderId="0" fillId="0" fontId="14" numFmtId="0" xfId="0" applyFont="1"/>
    <xf borderId="16" fillId="0" fontId="14" numFmtId="0" xfId="0" applyBorder="1" applyFont="1"/>
    <xf borderId="11" fillId="0" fontId="10" numFmtId="0" xfId="0" applyAlignment="1" applyBorder="1" applyFont="1">
      <alignment shrinkToFit="0" vertical="bottom" wrapText="0"/>
    </xf>
    <xf borderId="25" fillId="0" fontId="7" numFmtId="9" xfId="0" applyAlignment="1" applyBorder="1" applyFont="1" applyNumberFormat="1">
      <alignment horizontal="right" vertical="bottom"/>
    </xf>
    <xf borderId="26" fillId="0" fontId="13" numFmtId="0" xfId="0" applyAlignment="1" applyBorder="1" applyFont="1">
      <alignment readingOrder="0" shrinkToFit="0" vertical="bottom" wrapText="0"/>
    </xf>
    <xf borderId="27" fillId="2" fontId="13" numFmtId="3" xfId="0" applyAlignment="1" applyBorder="1" applyFill="1" applyFont="1" applyNumberFormat="1">
      <alignment readingOrder="0" shrinkToFit="0" vertical="bottom" wrapText="0"/>
    </xf>
    <xf borderId="0" fillId="0" fontId="8" numFmtId="164" xfId="0" applyAlignment="1" applyFont="1" applyNumberFormat="1">
      <alignment horizontal="right" readingOrder="0" vertical="bottom"/>
    </xf>
    <xf borderId="28" fillId="0" fontId="13" numFmtId="9" xfId="0" applyAlignment="1" applyBorder="1" applyFont="1" applyNumberForma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7" numFmtId="14" xfId="0" applyAlignment="1" applyFont="1" applyNumberFormat="1">
      <alignment horizontal="right" vertical="bottom"/>
    </xf>
    <xf borderId="29" fillId="0" fontId="5" numFmtId="0" xfId="0" applyAlignment="1" applyBorder="1" applyFont="1">
      <alignment horizontal="center" readingOrder="0" shrinkToFit="0" vertical="bottom" wrapText="0"/>
    </xf>
    <xf borderId="30" fillId="2" fontId="13" numFmtId="3" xfId="0" applyAlignment="1" applyBorder="1" applyFill="1" applyFont="1" applyNumberFormat="1">
      <alignment readingOrder="0" shrinkToFit="0" vertical="bottom" wrapText="0"/>
    </xf>
    <xf borderId="31" fillId="0" fontId="6" numFmtId="0" xfId="0" applyBorder="1" applyFont="1"/>
    <xf borderId="32" fillId="0" fontId="6" numFmtId="0" xfId="0" applyBorder="1" applyFont="1"/>
    <xf borderId="33" fillId="2" fontId="13" numFmtId="3" xfId="0" applyAlignment="1" applyBorder="1" applyFill="1" applyFont="1" applyNumberFormat="1">
      <alignment readingOrder="0" shrinkToFit="0" vertical="bottom" wrapText="0"/>
    </xf>
    <xf borderId="0" fillId="0" fontId="8" numFmtId="164" xfId="0" applyAlignment="1" applyFont="1" applyNumberFormat="1">
      <alignment horizontal="right" vertical="bottom"/>
    </xf>
    <xf borderId="34" fillId="2" fontId="13" numFmtId="0" xfId="0" applyAlignment="1" applyBorder="1" applyFill="1" applyFont="1">
      <alignment readingOrder="0" shrinkToFit="0" vertical="bottom" wrapText="0"/>
    </xf>
    <xf borderId="12" fillId="0" fontId="5" numFmtId="0" xfId="0" applyAlignment="1" applyBorder="1" applyFont="1">
      <alignment readingOrder="0" shrinkToFit="0" vertical="bottom" wrapText="0"/>
    </xf>
    <xf borderId="35" fillId="0" fontId="14" numFmtId="9" xfId="0" applyAlignment="1" applyBorder="1" applyFont="1" applyNumberFormat="1">
      <alignment readingOrder="0"/>
    </xf>
    <xf borderId="0" fillId="0" fontId="10" numFmtId="0" xfId="0" applyAlignment="1" applyFont="1">
      <alignment readingOrder="0" shrinkToFit="0" vertical="bottom" wrapText="1"/>
    </xf>
    <xf borderId="0" fillId="0" fontId="7" numFmtId="167" xfId="0" applyAlignment="1" applyFont="1" applyNumberFormat="1">
      <alignment horizontal="right" readingOrder="0" vertical="bottom"/>
    </xf>
    <xf borderId="0" fillId="0" fontId="9" numFmtId="0" xfId="0" applyAlignment="1" applyFont="1">
      <alignment horizontal="left" readingOrder="0" shrinkToFit="0" vertical="bottom" wrapText="0"/>
    </xf>
    <xf borderId="12" fillId="0" fontId="9" numFmtId="0" xfId="0" applyAlignment="1" applyBorder="1" applyFont="1">
      <alignment readingOrder="0" shrinkToFit="0" vertical="bottom" wrapText="0"/>
    </xf>
    <xf borderId="0" fillId="0" fontId="3" numFmtId="14" xfId="0" applyFont="1" applyNumberFormat="1"/>
    <xf borderId="13" fillId="0" fontId="9" numFmtId="0" xfId="0" applyAlignment="1" applyBorder="1" applyFont="1">
      <alignment horizontal="center" readingOrder="0" shrinkToFit="0" vertical="bottom" wrapText="0"/>
    </xf>
    <xf borderId="13" fillId="0" fontId="9" numFmtId="0" xfId="0" applyAlignment="1" applyBorder="1" applyFont="1">
      <alignment horizontal="center" readingOrder="0" shrinkToFit="0" vertical="bottom" wrapText="0"/>
    </xf>
    <xf borderId="21" fillId="0" fontId="9" numFmtId="0" xfId="0" applyAlignment="1" applyBorder="1" applyFont="1">
      <alignment readingOrder="0" shrinkToFit="0" vertical="bottom" wrapText="0"/>
    </xf>
    <xf borderId="24" fillId="0" fontId="10" numFmtId="3" xfId="0" applyAlignment="1" applyBorder="1" applyFont="1" applyNumberFormat="1">
      <alignment shrinkToFit="0" vertical="bottom" wrapText="0"/>
    </xf>
    <xf borderId="0" fillId="0" fontId="3" numFmtId="10" xfId="0" applyFont="1" applyNumberFormat="1"/>
    <xf borderId="36" fillId="0" fontId="5" numFmtId="0" xfId="0" applyAlignment="1" applyBorder="1" applyFont="1">
      <alignment horizontal="center" readingOrder="0" shrinkToFit="0" vertical="bottom" wrapText="0"/>
    </xf>
    <xf borderId="37" fillId="0" fontId="6" numFmtId="0" xfId="0" applyBorder="1" applyFont="1"/>
    <xf borderId="38" fillId="0" fontId="6" numFmtId="0" xfId="0" applyBorder="1" applyFont="1"/>
    <xf borderId="0" fillId="0" fontId="5" numFmtId="0" xfId="0" applyAlignment="1" applyFont="1">
      <alignment horizontal="center" readingOrder="0" shrinkToFit="0" vertical="bottom" wrapText="0"/>
    </xf>
    <xf borderId="14" fillId="0" fontId="5" numFmtId="0" xfId="0" applyAlignment="1" applyBorder="1" applyFont="1">
      <alignment horizontal="center" readingOrder="0" shrinkToFit="0" vertical="bottom" wrapText="0"/>
    </xf>
    <xf borderId="14" fillId="0" fontId="2" numFmtId="0" xfId="0" applyAlignment="1" applyBorder="1" applyFont="1">
      <alignment shrinkToFit="0" vertical="bottom" wrapText="1"/>
    </xf>
    <xf borderId="14" fillId="4" fontId="7" numFmtId="0" xfId="0" applyAlignment="1" applyBorder="1" applyFill="1" applyFont="1">
      <alignment horizontal="right" vertical="bottom"/>
    </xf>
    <xf borderId="4" fillId="0" fontId="9" numFmtId="0" xfId="0" applyAlignment="1" applyBorder="1" applyFont="1">
      <alignment horizontal="center" readingOrder="0" shrinkToFit="0" vertical="bottom" wrapText="0"/>
    </xf>
    <xf borderId="17" fillId="0" fontId="7" numFmtId="0" xfId="0" applyAlignment="1" applyBorder="1" applyFont="1">
      <alignment horizontal="right" readingOrder="0" vertical="bottom"/>
    </xf>
    <xf borderId="0" fillId="0" fontId="3" numFmtId="9" xfId="0" applyFont="1" applyNumberFormat="1"/>
    <xf borderId="0" fillId="0" fontId="9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readingOrder="0" shrinkToFit="0" vertical="bottom" wrapText="1"/>
    </xf>
    <xf borderId="0" fillId="0" fontId="9" numFmtId="0" xfId="0" applyAlignment="1" applyFont="1">
      <alignment horizontal="left" readingOrder="0" shrinkToFit="0" vertical="bottom" wrapText="1"/>
    </xf>
    <xf borderId="14" fillId="0" fontId="9" numFmtId="0" xfId="0" applyAlignment="1" applyBorder="1" applyFont="1">
      <alignment readingOrder="0" shrinkToFit="0" vertical="bottom" wrapText="1"/>
    </xf>
    <xf borderId="14" fillId="2" fontId="8" numFmtId="0" xfId="0" applyAlignment="1" applyBorder="1" applyFill="1" applyFont="1">
      <alignment horizontal="right" vertical="bottom"/>
    </xf>
    <xf borderId="12" fillId="0" fontId="9" numFmtId="0" xfId="0" applyAlignment="1" applyBorder="1" applyFont="1">
      <alignment readingOrder="0" shrinkToFit="0" vertical="bottom" wrapText="1"/>
    </xf>
    <xf borderId="0" fillId="2" fontId="13" numFmtId="0" xfId="0" applyAlignment="1" applyFill="1" applyFont="1">
      <alignment readingOrder="0" shrinkToFit="0" vertical="bottom" wrapText="0"/>
    </xf>
    <xf borderId="14" fillId="2" fontId="13" numFmtId="0" xfId="0" applyAlignment="1" applyBorder="1" applyFill="1" applyFont="1">
      <alignment readingOrder="0" shrinkToFit="0" vertical="bottom" wrapText="0"/>
    </xf>
    <xf borderId="24" fillId="0" fontId="13" numFmtId="9" xfId="0" applyAlignment="1" applyBorder="1" applyFont="1" applyNumberFormat="1">
      <alignment horizontal="right" readingOrder="0" vertical="bottom"/>
    </xf>
    <xf borderId="0" fillId="0" fontId="7" numFmtId="9" xfId="0" applyAlignment="1" applyFont="1" applyNumberFormat="1">
      <alignment vertical="bottom"/>
    </xf>
    <xf borderId="14" fillId="4" fontId="7" numFmtId="0" xfId="0" applyAlignment="1" applyBorder="1" applyFill="1" applyFont="1">
      <alignment horizontal="right" readingOrder="0" vertical="bottom"/>
    </xf>
    <xf borderId="14" fillId="4" fontId="7" numFmtId="0" xfId="0" applyAlignment="1" applyBorder="1" applyFill="1" applyFont="1">
      <alignment readingOrder="0" vertical="bottom"/>
    </xf>
    <xf borderId="14" fillId="4" fontId="7" numFmtId="0" xfId="0" applyAlignment="1" applyBorder="1" applyFill="1" applyFont="1">
      <alignment vertical="bottom"/>
    </xf>
    <xf borderId="0" fillId="8" fontId="3" numFmtId="0" xfId="0" applyAlignment="1" applyFill="1" applyFont="1">
      <alignment readingOrder="0"/>
    </xf>
    <xf borderId="24" fillId="0" fontId="7" numFmtId="0" xfId="0" applyAlignment="1" applyBorder="1" applyFont="1">
      <alignment vertical="bottom"/>
    </xf>
    <xf borderId="25" fillId="2" fontId="8" numFmtId="0" xfId="0" applyAlignment="1" applyBorder="1" applyFill="1" applyFont="1">
      <alignment horizontal="right" vertical="bottom"/>
    </xf>
    <xf borderId="0" fillId="0" fontId="9" numFmtId="0" xfId="0" applyAlignment="1" applyFont="1">
      <alignment horizontal="center" readingOrder="0" shrinkToFit="0" vertical="bottom" wrapText="0"/>
    </xf>
    <xf borderId="0" fillId="8" fontId="10" numFmtId="0" xfId="0" applyAlignment="1" applyFill="1" applyFont="1">
      <alignment horizontal="right" readingOrder="0" vertical="bottom"/>
    </xf>
    <xf borderId="29" fillId="0" fontId="9" numFmtId="0" xfId="0" applyAlignment="1" applyBorder="1" applyFont="1">
      <alignment horizontal="center" readingOrder="0" shrinkToFit="0" vertical="bottom" wrapText="0"/>
    </xf>
    <xf borderId="0" fillId="8" fontId="3" numFmtId="0" xfId="0" applyFill="1" applyFont="1"/>
    <xf borderId="36" fillId="0" fontId="9" numFmtId="0" xfId="0" applyAlignment="1" applyBorder="1" applyFont="1">
      <alignment horizontal="center" readingOrder="0" shrinkToFit="0" vertical="bottom" wrapText="0"/>
    </xf>
    <xf borderId="14" fillId="0" fontId="9" numFmtId="0" xfId="0" applyAlignment="1" applyBorder="1" applyFont="1">
      <alignment horizontal="center" readingOrder="0" shrinkToFit="0" vertical="bottom" wrapText="0"/>
    </xf>
    <xf borderId="0" fillId="5" fontId="13" numFmtId="0" xfId="0" applyAlignment="1" applyFill="1" applyFont="1">
      <alignment readingOrder="0" shrinkToFit="0" vertical="bottom" wrapText="0"/>
    </xf>
    <xf borderId="28" fillId="2" fontId="13" numFmtId="3" xfId="0" applyAlignment="1" applyBorder="1" applyFill="1" applyFont="1" applyNumberForma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6" numFmtId="0" xfId="0" applyFont="1"/>
    <xf borderId="0" fillId="8" fontId="10" numFmtId="0" xfId="0" applyAlignment="1" applyFill="1" applyFont="1">
      <alignment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21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borderId="0" fillId="0" fontId="5" numFmtId="0" xfId="0" applyAlignment="1" applyFont="1">
      <alignment shrinkToFit="0" vertical="bottom" wrapText="1"/>
    </xf>
    <xf borderId="24" fillId="0" fontId="5" numFmtId="3" xfId="0" applyAlignment="1" applyBorder="1" applyFont="1" applyNumberFormat="1">
      <alignment shrinkToFit="0" vertical="bottom" wrapText="0"/>
    </xf>
    <xf borderId="0" fillId="0" fontId="3" numFmtId="170" xfId="0" applyAlignment="1" applyFont="1" applyNumberFormat="1">
      <alignment readingOrder="0"/>
    </xf>
    <xf borderId="0" fillId="0" fontId="10" numFmtId="0" xfId="0" applyAlignment="1" applyFont="1">
      <alignment vertical="bottom"/>
    </xf>
    <xf borderId="0" fillId="0" fontId="1" numFmtId="171" xfId="0" applyFont="1" applyNumberFormat="1"/>
    <xf borderId="0" fillId="0" fontId="1" numFmtId="171" xfId="0" applyAlignment="1" applyFont="1" applyNumberFormat="1">
      <alignment readingOrder="0"/>
    </xf>
    <xf borderId="0" fillId="0" fontId="3" numFmtId="172" xfId="0" applyAlignment="1" applyFont="1" applyNumberFormat="1">
      <alignment readingOrder="0"/>
    </xf>
    <xf borderId="39" fillId="0" fontId="9" numFmtId="0" xfId="0" applyAlignment="1" applyBorder="1" applyFont="1">
      <alignment horizontal="center" readingOrder="0" shrinkToFit="0" vertical="bottom" wrapText="0"/>
    </xf>
    <xf borderId="15" fillId="0" fontId="9" numFmtId="0" xfId="0" applyAlignment="1" applyBorder="1" applyFont="1">
      <alignment horizontal="center" readingOrder="0" shrinkToFit="0" vertical="bottom" wrapText="0"/>
    </xf>
    <xf borderId="40" fillId="0" fontId="1" numFmtId="0" xfId="0" applyAlignment="1" applyBorder="1" applyFont="1">
      <alignment horizontal="left" readingOrder="0"/>
    </xf>
    <xf borderId="41" fillId="0" fontId="3" numFmtId="0" xfId="0" applyBorder="1" applyFont="1"/>
    <xf borderId="41" fillId="0" fontId="1" numFmtId="0" xfId="0" applyAlignment="1" applyBorder="1" applyFont="1">
      <alignment readingOrder="0"/>
    </xf>
    <xf borderId="0" fillId="8" fontId="10" numFmtId="3" xfId="0" applyAlignment="1" applyFill="1" applyFont="1" applyNumberFormat="1">
      <alignment horizontal="right" readingOrder="0" vertical="bottom"/>
    </xf>
    <xf borderId="0" fillId="5" fontId="10" numFmtId="3" xfId="0" applyAlignment="1" applyFill="1" applyFont="1" applyNumberFormat="1">
      <alignment horizontal="right" readingOrder="0" vertical="bottom"/>
    </xf>
    <xf borderId="0" fillId="2" fontId="10" numFmtId="3" xfId="0" applyAlignment="1" applyFill="1" applyFont="1" applyNumberFormat="1">
      <alignment readingOrder="0" shrinkToFit="0" vertical="bottom" wrapText="0"/>
    </xf>
    <xf borderId="12" fillId="6" fontId="10" numFmtId="3" xfId="0" applyAlignment="1" applyBorder="1" applyFill="1" applyFont="1" applyNumberFormat="1">
      <alignment horizontal="right" readingOrder="0" vertical="bottom"/>
    </xf>
    <xf borderId="41" fillId="0" fontId="14" numFmtId="9" xfId="0" applyAlignment="1" applyBorder="1" applyFont="1" applyNumberFormat="1">
      <alignment readingOrder="0"/>
    </xf>
    <xf borderId="0" fillId="0" fontId="9" numFmtId="0" xfId="0" applyAlignment="1" applyFont="1">
      <alignment readingOrder="0" shrinkToFit="0" vertical="bottom" wrapText="0"/>
    </xf>
    <xf borderId="0" fillId="0" fontId="9" numFmtId="3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20" fillId="2" fontId="13" numFmtId="3" xfId="0" applyAlignment="1" applyBorder="1" applyFill="1" applyFont="1" applyNumberFormat="1">
      <alignment readingOrder="0" shrinkToFit="0" vertical="bottom" wrapText="0"/>
    </xf>
    <xf borderId="41" fillId="0" fontId="15" numFmtId="9" xfId="0" applyBorder="1" applyFont="1" applyNumberFormat="1"/>
    <xf borderId="41" fillId="0" fontId="14" numFmtId="0" xfId="0" applyBorder="1" applyFont="1"/>
    <xf borderId="1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/>
    </xf>
    <xf borderId="10" fillId="0" fontId="1" numFmtId="0" xfId="0" applyAlignment="1" applyBorder="1" applyFont="1">
      <alignment horizontal="left" readingOrder="0"/>
    </xf>
    <xf borderId="9" fillId="0" fontId="3" numFmtId="0" xfId="0" applyBorder="1" applyFont="1"/>
    <xf borderId="42" fillId="0" fontId="14" numFmtId="9" xfId="0" applyAlignment="1" applyBorder="1" applyFont="1" applyNumberFormat="1">
      <alignment readingOrder="0"/>
    </xf>
    <xf borderId="0" fillId="0" fontId="1" numFmtId="10" xfId="0" applyFont="1" applyNumberFormat="1"/>
    <xf borderId="0" fillId="0" fontId="9" numFmtId="0" xfId="0" applyAlignment="1" applyFont="1">
      <alignment shrinkToFit="0" vertical="bottom" wrapText="0"/>
    </xf>
    <xf borderId="16" fillId="0" fontId="9" numFmtId="0" xfId="0" applyAlignment="1" applyBorder="1" applyFont="1">
      <alignment readingOrder="0" shrinkToFit="0" vertical="bottom" wrapText="1"/>
    </xf>
    <xf borderId="0" fillId="4" fontId="10" numFmtId="3" xfId="0" applyAlignment="1" applyFill="1" applyFont="1" applyNumberFormat="1">
      <alignment horizontal="right" readingOrder="0" vertical="bottom"/>
    </xf>
    <xf borderId="43" fillId="0" fontId="10" numFmtId="0" xfId="0" applyAlignment="1" applyBorder="1" applyFont="1">
      <alignment horizontal="right" readingOrder="0" vertical="bottom"/>
    </xf>
    <xf borderId="14" fillId="4" fontId="10" numFmtId="3" xfId="0" applyAlignment="1" applyBorder="1" applyFill="1" applyFont="1" applyNumberFormat="1">
      <alignment horizontal="right" readingOrder="0" vertical="bottom"/>
    </xf>
    <xf borderId="0" fillId="0" fontId="10" numFmtId="3" xfId="0" applyAlignment="1" applyFont="1" applyNumberFormat="1">
      <alignment readingOrder="0" shrinkToFit="0" vertical="bottom" wrapText="0"/>
    </xf>
    <xf borderId="14" fillId="0" fontId="14" numFmtId="9" xfId="0" applyAlignment="1" applyBorder="1" applyFont="1" applyNumberFormat="1">
      <alignment readingOrder="0"/>
    </xf>
    <xf borderId="0" fillId="0" fontId="3" numFmtId="173" xfId="0" applyAlignment="1" applyFont="1" applyNumberFormat="1">
      <alignment readingOrder="0"/>
    </xf>
    <xf borderId="16" fillId="6" fontId="10" numFmtId="3" xfId="0" applyAlignment="1" applyBorder="1" applyFill="1" applyFont="1" applyNumberFormat="1">
      <alignment horizontal="right" readingOrder="0" vertical="bottom"/>
    </xf>
    <xf borderId="16" fillId="6" fontId="10" numFmtId="0" xfId="0" applyAlignment="1" applyBorder="1" applyFill="1" applyFont="1">
      <alignment horizontal="right" readingOrder="0" vertical="bottom"/>
    </xf>
    <xf borderId="17" fillId="0" fontId="10" numFmtId="0" xfId="0" applyAlignment="1" applyBorder="1" applyFont="1">
      <alignment vertical="bottom"/>
    </xf>
    <xf borderId="44" fillId="0" fontId="9" numFmtId="0" xfId="0" applyAlignment="1" applyBorder="1" applyFont="1">
      <alignment horizontal="center" readingOrder="0" shrinkToFit="0" vertical="bottom" wrapText="0"/>
    </xf>
    <xf borderId="14" fillId="0" fontId="15" numFmtId="9" xfId="0" applyBorder="1" applyFont="1" applyNumberFormat="1"/>
    <xf borderId="12" fillId="0" fontId="10" numFmtId="0" xfId="0" applyAlignment="1" applyBorder="1" applyFont="1">
      <alignment horizontal="right" readingOrder="0" vertical="bottom"/>
    </xf>
    <xf borderId="14" fillId="0" fontId="10" numFmtId="9" xfId="0" applyAlignment="1" applyBorder="1" applyFont="1" applyNumberFormat="1">
      <alignment horizontal="right" readingOrder="0" vertical="bottom"/>
    </xf>
    <xf borderId="16" fillId="4" fontId="10" numFmtId="0" xfId="0" applyAlignment="1" applyBorder="1" applyFill="1" applyFont="1">
      <alignment horizontal="right" readingOrder="0" vertical="bottom"/>
    </xf>
    <xf borderId="45" fillId="2" fontId="13" numFmtId="3" xfId="0" applyAlignment="1" applyBorder="1" applyFill="1" applyFont="1" applyNumberFormat="1">
      <alignment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45" fillId="2" fontId="13" numFmtId="0" xfId="0" applyAlignment="1" applyBorder="1" applyFill="1" applyFont="1">
      <alignment readingOrder="0" shrinkToFit="0" vertical="bottom" wrapText="0"/>
    </xf>
    <xf borderId="0" fillId="5" fontId="3" numFmtId="0" xfId="0" applyFill="1" applyFont="1"/>
    <xf borderId="0" fillId="0" fontId="10" numFmtId="3" xfId="0" applyAlignment="1" applyFont="1" applyNumberFormat="1">
      <alignment horizontal="right" readingOrder="0" vertical="bottom"/>
    </xf>
    <xf borderId="0" fillId="8" fontId="10" numFmtId="3" xfId="0" applyAlignment="1" applyFill="1" applyFont="1" applyNumberFormat="1">
      <alignment readingOrder="0" shrinkToFit="0" vertical="bottom" wrapText="0"/>
    </xf>
    <xf borderId="14" fillId="0" fontId="13" numFmtId="3" xfId="0" applyAlignment="1" applyBorder="1" applyFont="1" applyNumberFormat="1">
      <alignment horizontal="right" readingOrder="0" vertical="bottom"/>
    </xf>
    <xf borderId="0" fillId="0" fontId="13" numFmtId="0" xfId="0" applyAlignment="1" applyFont="1">
      <alignment horizontal="right" readingOrder="0" vertical="bottom"/>
    </xf>
    <xf borderId="0" fillId="0" fontId="10" numFmtId="174" xfId="0" applyAlignment="1" applyFont="1" applyNumberFormat="1">
      <alignment horizontal="right" readingOrder="0" vertical="bottom"/>
    </xf>
    <xf borderId="16" fillId="0" fontId="10" numFmtId="0" xfId="0" applyAlignment="1" applyBorder="1" applyFont="1">
      <alignment shrinkToFit="0" vertical="bottom" wrapText="0"/>
    </xf>
    <xf borderId="34" fillId="2" fontId="13" numFmtId="3" xfId="0" applyAlignment="1" applyBorder="1" applyFill="1" applyFont="1" applyNumberFormat="1">
      <alignment readingOrder="0" shrinkToFit="0" vertical="bottom" wrapText="0"/>
    </xf>
    <xf borderId="25" fillId="0" fontId="13" numFmtId="9" xfId="0" applyAlignment="1" applyBorder="1" applyFont="1" applyNumberFormat="1">
      <alignment horizontal="right" readingOrder="0" vertical="bottom"/>
    </xf>
    <xf borderId="46" fillId="2" fontId="13" numFmtId="3" xfId="0" applyAlignment="1" applyBorder="1" applyFill="1" applyFont="1" applyNumberFormat="1">
      <alignment readingOrder="0" shrinkToFit="0" vertical="bottom" wrapText="0"/>
    </xf>
    <xf borderId="0" fillId="0" fontId="1" numFmtId="9" xfId="0" applyAlignment="1" applyFont="1" applyNumberFormat="1">
      <alignment readingOrder="0"/>
    </xf>
    <xf borderId="0" fillId="0" fontId="1" numFmtId="3" xfId="0" applyFont="1" applyNumberFormat="1"/>
    <xf borderId="14" fillId="0" fontId="13" numFmtId="9" xfId="0" applyAlignment="1" applyBorder="1" applyFont="1" applyNumberFormat="1">
      <alignment horizontal="right" readingOrder="0" vertical="bottom"/>
    </xf>
    <xf borderId="14" fillId="0" fontId="14" numFmtId="0" xfId="0" applyBorder="1" applyFont="1"/>
    <xf borderId="21" fillId="0" fontId="10" numFmtId="0" xfId="0" applyAlignment="1" applyBorder="1" applyFont="1">
      <alignment shrinkToFit="0" vertical="bottom" wrapText="0"/>
    </xf>
    <xf borderId="24" fillId="0" fontId="10" numFmtId="0" xfId="0" applyAlignment="1" applyBorder="1" applyFont="1">
      <alignment shrinkToFit="0" vertical="bottom" wrapText="0"/>
    </xf>
    <xf borderId="24" fillId="0" fontId="13" numFmtId="0" xfId="0" applyAlignment="1" applyBorder="1" applyFont="1">
      <alignment horizontal="right" readingOrder="0" vertical="bottom"/>
    </xf>
    <xf borderId="24" fillId="0" fontId="10" numFmtId="174" xfId="0" applyAlignment="1" applyBorder="1" applyFont="1" applyNumberFormat="1">
      <alignment horizontal="right" readingOrder="0" vertical="bottom"/>
    </xf>
    <xf borderId="24" fillId="0" fontId="10" numFmtId="3" xfId="0" applyAlignment="1" applyBorder="1" applyFont="1" applyNumberFormat="1">
      <alignment horizontal="right" readingOrder="0" vertical="bottom"/>
    </xf>
    <xf borderId="25" fillId="0" fontId="10" numFmtId="0" xfId="0" applyAlignment="1" applyBorder="1" applyFont="1">
      <alignment shrinkToFit="0" vertical="bottom" wrapText="0"/>
    </xf>
    <xf borderId="25" fillId="0" fontId="14" numFmtId="9" xfId="0" applyAlignment="1" applyBorder="1" applyFont="1" applyNumberFormat="1">
      <alignment readingOrder="0"/>
    </xf>
    <xf borderId="0" fillId="0" fontId="1" numFmtId="169" xfId="0" applyAlignment="1" applyFont="1" applyNumberFormat="1">
      <alignment horizontal="left" readingOrder="0"/>
    </xf>
    <xf borderId="0" fillId="0" fontId="1" numFmtId="4" xfId="0" applyAlignment="1" applyFont="1" applyNumberFormat="1">
      <alignment horizontal="left" readingOrder="0"/>
    </xf>
    <xf borderId="2" fillId="2" fontId="1" numFmtId="3" xfId="0" applyBorder="1" applyFill="1" applyFont="1" applyNumberFormat="1"/>
    <xf borderId="0" fillId="0" fontId="10" numFmtId="3" xfId="0" applyAlignment="1" applyFont="1" applyNumberFormat="1">
      <alignment readingOrder="0" shrinkToFit="0" vertical="bottom" wrapText="1"/>
    </xf>
    <xf borderId="13" fillId="0" fontId="1" numFmtId="0" xfId="0" applyBorder="1" applyFont="1"/>
    <xf borderId="0" fillId="0" fontId="3" numFmtId="175" xfId="0" applyAlignment="1" applyFont="1" applyNumberFormat="1">
      <alignment readingOrder="0"/>
    </xf>
    <xf borderId="18" fillId="2" fontId="1" numFmtId="0" xfId="0" applyAlignment="1" applyBorder="1" applyFill="1" applyFont="1">
      <alignment readingOrder="0"/>
    </xf>
    <xf borderId="18" fillId="0" fontId="1" numFmtId="3" xfId="0" applyBorder="1" applyFont="1" applyNumberFormat="1"/>
    <xf borderId="0" fillId="0" fontId="4" numFmtId="0" xfId="0" applyFont="1"/>
    <xf borderId="0" fillId="2" fontId="3" numFmtId="0" xfId="0" applyAlignment="1" applyFill="1" applyFont="1">
      <alignment readingOrder="0"/>
    </xf>
    <xf borderId="0" fillId="8" fontId="17" numFmtId="0" xfId="0" applyAlignment="1" applyFill="1" applyFont="1">
      <alignment horizontal="right" readingOrder="0" vertical="bottom"/>
    </xf>
    <xf borderId="0" fillId="0" fontId="17" numFmtId="0" xfId="0" applyAlignment="1" applyFont="1">
      <alignment horizontal="right" readingOrder="0" vertical="bottom"/>
    </xf>
    <xf borderId="0" fillId="2" fontId="5" numFmtId="0" xfId="0" applyAlignment="1" applyFill="1" applyFont="1">
      <alignment readingOrder="0" shrinkToFit="0" vertical="bottom" wrapText="0"/>
    </xf>
    <xf borderId="0" fillId="4" fontId="17" numFmtId="3" xfId="0" applyAlignment="1" applyFill="1" applyFont="1" applyNumberFormat="1">
      <alignment horizontal="right" readingOrder="0" vertical="bottom"/>
    </xf>
    <xf borderId="43" fillId="0" fontId="17" numFmtId="0" xfId="0" applyAlignment="1" applyBorder="1" applyFont="1">
      <alignment horizontal="right" readingOrder="0" vertical="bottom"/>
    </xf>
    <xf borderId="0" fillId="5" fontId="17" numFmtId="0" xfId="0" applyAlignment="1" applyFill="1" applyFont="1">
      <alignment horizontal="right" readingOrder="0" vertical="bottom"/>
    </xf>
    <xf borderId="14" fillId="4" fontId="17" numFmtId="3" xfId="0" applyAlignment="1" applyBorder="1" applyFill="1" applyFont="1" applyNumberFormat="1">
      <alignment horizontal="right" readingOrder="0" vertical="bottom"/>
    </xf>
    <xf borderId="16" fillId="6" fontId="17" numFmtId="3" xfId="0" applyAlignment="1" applyBorder="1" applyFill="1" applyFont="1" applyNumberFormat="1">
      <alignment horizontal="right" readingOrder="0" vertical="bottom"/>
    </xf>
    <xf borderId="0" fillId="0" fontId="3" numFmtId="9" xfId="0" applyAlignment="1" applyFont="1" applyNumberFormat="1">
      <alignment readingOrder="0"/>
    </xf>
    <xf borderId="0" fillId="8" fontId="17" numFmtId="3" xfId="0" applyAlignment="1" applyFill="1" applyFont="1" applyNumberFormat="1">
      <alignment horizontal="right" readingOrder="0" vertical="bottom"/>
    </xf>
    <xf borderId="0" fillId="0" fontId="17" numFmtId="3" xfId="0" applyAlignment="1" applyFont="1" applyNumberFormat="1">
      <alignment horizontal="right" readingOrder="0" vertical="bottom"/>
    </xf>
    <xf borderId="0" fillId="2" fontId="5" numFmtId="3" xfId="0" applyAlignment="1" applyFill="1" applyFont="1" applyNumberFormat="1">
      <alignment readingOrder="0" shrinkToFit="0" vertical="bottom" wrapText="0"/>
    </xf>
    <xf borderId="0" fillId="4" fontId="17" numFmtId="0" xfId="0" applyAlignment="1" applyFill="1" applyFont="1">
      <alignment horizontal="right" readingOrder="0" vertical="bottom"/>
    </xf>
    <xf borderId="0" fillId="5" fontId="17" numFmtId="3" xfId="0" applyAlignment="1" applyFill="1" applyFont="1" applyNumberFormat="1">
      <alignment horizontal="right" readingOrder="0" vertical="bottom"/>
    </xf>
    <xf borderId="0" fillId="0" fontId="5" numFmtId="3" xfId="0" applyAlignment="1" applyFont="1" applyNumberFormat="1">
      <alignment readingOrder="0" shrinkToFit="0" vertical="bottom" wrapText="0"/>
    </xf>
    <xf borderId="14" fillId="4" fontId="17" numFmtId="0" xfId="0" applyAlignment="1" applyBorder="1" applyFill="1" applyFont="1">
      <alignment horizontal="right" readingOrder="0" vertical="bottom"/>
    </xf>
    <xf borderId="18" fillId="2" fontId="9" numFmtId="0" xfId="0" applyAlignment="1" applyBorder="1" applyFill="1" applyFont="1">
      <alignment readingOrder="0" shrinkToFit="0" vertical="bottom" wrapText="0"/>
    </xf>
    <xf borderId="18" fillId="2" fontId="9" numFmtId="3" xfId="0" applyAlignment="1" applyBorder="1" applyFill="1" applyFont="1" applyNumberFormat="1">
      <alignment readingOrder="0" shrinkToFit="0" vertical="bottom" wrapText="0"/>
    </xf>
    <xf borderId="19" fillId="2" fontId="9" numFmtId="3" xfId="0" applyAlignment="1" applyBorder="1" applyFill="1" applyFont="1" applyNumberFormat="1">
      <alignment readingOrder="0" shrinkToFit="0" vertical="bottom" wrapText="0"/>
    </xf>
    <xf borderId="45" fillId="2" fontId="9" numFmtId="3" xfId="0" applyAlignment="1" applyBorder="1" applyFill="1" applyFont="1" applyNumberFormat="1">
      <alignment readingOrder="0" shrinkToFit="0" vertical="bottom" wrapText="0"/>
    </xf>
    <xf borderId="19" fillId="2" fontId="9" numFmtId="0" xfId="0" applyAlignment="1" applyBorder="1" applyFill="1" applyFont="1">
      <alignment readingOrder="0" shrinkToFit="0" vertical="bottom" wrapText="0"/>
    </xf>
    <xf borderId="14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22" fillId="2" fontId="9" numFmtId="3" xfId="0" applyAlignment="1" applyBorder="1" applyFill="1" applyFont="1" applyNumberFormat="1">
      <alignment readingOrder="0" shrinkToFit="0" vertical="bottom" wrapText="0"/>
    </xf>
    <xf borderId="23" fillId="2" fontId="9" numFmtId="3" xfId="0" applyAlignment="1" applyBorder="1" applyFill="1" applyFont="1" applyNumberFormat="1">
      <alignment readingOrder="0" shrinkToFit="0" vertical="bottom" wrapText="0"/>
    </xf>
    <xf borderId="46" fillId="2" fontId="9" numFmtId="3" xfId="0" applyAlignment="1" applyBorder="1" applyFill="1" applyFont="1" applyNumberFormat="1">
      <alignment readingOrder="0" shrinkToFit="0" vertical="bottom" wrapText="0"/>
    </xf>
    <xf borderId="0" fillId="0" fontId="3" numFmtId="0" xfId="0" applyAlignment="1" applyFont="1">
      <alignment readingOrder="0" shrinkToFit="0" wrapText="1"/>
    </xf>
    <xf borderId="0" fillId="0" fontId="5" numFmtId="3" xfId="0" applyAlignment="1" applyFont="1" applyNumberFormat="1">
      <alignment readingOrder="0" shrinkToFit="0" vertical="bottom" wrapText="1"/>
    </xf>
    <xf borderId="0" fillId="0" fontId="1" numFmtId="3" xfId="0" applyAlignment="1" applyFont="1" applyNumberFormat="1">
      <alignment readingOrder="0"/>
    </xf>
    <xf borderId="25" fillId="0" fontId="9" numFmtId="0" xfId="0" applyAlignment="1" applyBorder="1" applyFont="1">
      <alignment readingOrder="0" shrinkToFit="0" vertical="bottom" wrapText="1"/>
    </xf>
    <xf borderId="0" fillId="2" fontId="3" numFmtId="0" xfId="0" applyFill="1" applyFont="1"/>
    <xf borderId="0" fillId="2" fontId="3" numFmtId="3" xfId="0" applyFill="1" applyFont="1" applyNumberFormat="1"/>
    <xf borderId="0" fillId="2" fontId="1" numFmtId="3" xfId="0" applyFill="1" applyFont="1" applyNumberFormat="1"/>
    <xf borderId="31" fillId="0" fontId="9" numFmtId="0" xfId="0" applyAlignment="1" applyBorder="1" applyFont="1">
      <alignment horizontal="center" readingOrder="0" shrinkToFit="0" vertical="bottom" wrapText="0"/>
    </xf>
    <xf borderId="43" fillId="8" fontId="17" numFmtId="0" xfId="0" applyAlignment="1" applyBorder="1" applyFill="1" applyFont="1">
      <alignment horizontal="right" readingOrder="0" vertical="bottom"/>
    </xf>
    <xf borderId="14" fillId="2" fontId="5" numFmtId="0" xfId="0" applyAlignment="1" applyBorder="1" applyFill="1" applyFont="1">
      <alignment readingOrder="0" shrinkToFit="0" vertical="bottom" wrapText="0"/>
    </xf>
    <xf borderId="16" fillId="2" fontId="5" numFmtId="0" xfId="0" applyAlignment="1" applyBorder="1" applyFill="1" applyFont="1">
      <alignment readingOrder="0" shrinkToFit="0" vertical="bottom" wrapText="0"/>
    </xf>
    <xf borderId="0" fillId="0" fontId="3" numFmtId="0" xfId="0" applyAlignment="1" applyFont="1">
      <alignment horizontal="right" readingOrder="0"/>
    </xf>
    <xf borderId="14" fillId="0" fontId="9" numFmtId="0" xfId="0" applyAlignment="1" applyBorder="1" applyFont="1">
      <alignment readingOrder="0" shrinkToFit="0" vertical="bottom" wrapText="0"/>
    </xf>
    <xf borderId="45" fillId="2" fontId="9" numFmtId="0" xfId="0" applyAlignment="1" applyBorder="1" applyFill="1" applyFont="1">
      <alignment readingOrder="0" shrinkToFit="0" vertical="bottom" wrapText="0"/>
    </xf>
    <xf borderId="0" fillId="0" fontId="3" numFmtId="0" xfId="0" applyAlignment="1" applyFont="1">
      <alignment horizontal="right"/>
    </xf>
    <xf borderId="0" fillId="8" fontId="5" numFmtId="0" xfId="0" applyAlignment="1" applyFill="1" applyFont="1">
      <alignment readingOrder="0" shrinkToFit="0" vertical="bottom" wrapText="0"/>
    </xf>
    <xf borderId="47" fillId="2" fontId="9" numFmtId="3" xfId="0" applyAlignment="1" applyBorder="1" applyFill="1" applyFont="1" applyNumberFormat="1">
      <alignment readingOrder="0" shrinkToFit="0" vertical="bottom" wrapText="0"/>
    </xf>
    <xf borderId="13" fillId="0" fontId="9" numFmtId="0" xfId="0" applyAlignment="1" applyBorder="1" applyFont="1">
      <alignment horizontal="left" readingOrder="0" shrinkToFit="0" vertical="bottom" wrapText="0"/>
    </xf>
    <xf borderId="12" fillId="2" fontId="5" numFmtId="0" xfId="0" applyAlignment="1" applyBorder="1" applyFill="1" applyFont="1">
      <alignment readingOrder="0" shrinkToFit="0" vertical="bottom" wrapText="0"/>
    </xf>
    <xf borderId="0" fillId="0" fontId="3" numFmtId="17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Gavin Barry" id="{231dff75-4e7a-4565-b66c-bbc38a173db1}" providerId="google-sheets"/>
  <x18tc:person displayName="Arran Bangham" id="{bbb07fea-bba8-4bd7-ad70-176c1d0f00f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J6" dT="2024-12-04T09:16:27.00" personId="{bbb07fea-bba8-4bd7-ad70-176c1d0f00f4}" id="{0df58b35-78e8-4a5e-841f-3ad465018896}" done="0">
    <x18tc:text xml:space="preserve">Not taxed</x18tc:text>
  </x18tc:threadedComment>
  <x18tc:threadedComment ref="AL8" dT="2024-12-04T09:16:42.00" personId="{bbb07fea-bba8-4bd7-ad70-176c1d0f00f4}" id="{4174263a-2ca0-452a-b423-6e1efcbb4a5b}" done="0">
    <x18tc:text xml:space="preserve">Not taxed</x18tc:text>
  </x18tc:threadedComment>
  <x18tc:threadedComment ref="AK6" dT="2024-11-26T08:27:56.00" personId="{bbb07fea-bba8-4bd7-ad70-176c1d0f00f4}" id="{a3cbf33b-16dc-4853-ab4e-0b88157ca099}" done="0">
    <x18tc:text xml:space="preserve">5 taxed</x18tc:text>
  </x18tc:threadedComment>
  <x18tc:threadedComment ref="AL16" dT="2024-11-26T08:28:53.00" personId="{bbb07fea-bba8-4bd7-ad70-176c1d0f00f4}" id="{f4607649-a214-48e5-9476-f13718de3e7d}" done="0">
    <x18tc:text xml:space="preserve">1 taxed</x18tc:text>
  </x18tc:threadedComment>
  <x18tc:threadedComment ref="AL11" dT="2024-11-26T08:30:06.00" personId="{bbb07fea-bba8-4bd7-ad70-176c1d0f00f4}" id="{5cae8b87-32a3-46b4-a0a1-7655396ce203}" done="0">
    <x18tc:text xml:space="preserve">1 taxed</x18tc:text>
  </x18tc:threadedComment>
  <x18tc:threadedComment ref="AJ12" dT="2024-11-26T08:30:33.00" personId="{bbb07fea-bba8-4bd7-ad70-176c1d0f00f4}" id="{68795b99-ce86-44a8-959a-297a33843047}" done="0">
    <x18tc:text xml:space="preserve">1 taxed - double count</x18tc:text>
  </x18tc:threadedComment>
  <x18tc:threadedComment ref="AK13" dT="2024-11-26T08:31:04.00" personId="{bbb07fea-bba8-4bd7-ad70-176c1d0f00f4}" id="{98f59f83-e1a0-4f2d-845e-0380b8164268}" done="0">
    <x18tc:text xml:space="preserve">Not taxed</x18tc:text>
  </x18tc:threadedComment>
  <x18tc:threadedComment ref="AL17" dT="2024-11-26T08:32:00.00" personId="{bbb07fea-bba8-4bd7-ad70-176c1d0f00f4}" id="{c6ccc065-f9bf-473c-b378-30b9437f66df}" done="0">
    <x18tc:text xml:space="preserve">1 taxed</x18tc:text>
  </x18tc:threadedComment>
  <x18tc:threadedComment ref="AL18" dT="2024-11-26T08:33:55.00" personId="{bbb07fea-bba8-4bd7-ad70-176c1d0f00f4}" id="{9d4ece7e-60d6-4e1f-96a9-c068506edc25}" done="0">
    <x18tc:text xml:space="preserve">Not taxed</x18tc:text>
  </x18tc:threadedComment>
  <x18tc:threadedComment ref="AK16" dT="2024-12-02T08:31:34.00" personId="{bbb07fea-bba8-4bd7-ad70-176c1d0f00f4}" id="{73c783bc-63b5-42c4-9473-38347861c4a5}" done="0">
    <x18tc:text xml:space="preserve">1 taxed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5" dT="2024-03-26T17:25:01.00" personId="{231dff75-4e7a-4565-b66c-bbc38a173db1}" id="{3653d5c1-7a35-4c53-8a10-7616528ec6ed}" done="1">
    <x18tc:text xml:space="preserve">Could be 20 more, awaiting clearance.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3.xml"/><Relationship Id="rId5" Type="http://schemas.openxmlformats.org/officeDocument/2006/relationships/vmlDrawing" Target="../drawings/vmlDrawing1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0.xml"/><Relationship Id="rId5" Type="http://schemas.openxmlformats.org/officeDocument/2006/relationships/vmlDrawing" Target="../drawings/vmlDrawing2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2" max="12" width="16.25"/>
  </cols>
  <sheetData>
    <row r="1">
      <c r="D1" s="1"/>
    </row>
    <row r="2">
      <c r="A2" s="3"/>
      <c r="B2" s="5">
        <v>45550.0</v>
      </c>
      <c r="C2" s="6"/>
      <c r="D2" s="11" t="str">
        <f>"Days = "&amp;(+B2-A24)</f>
        <v>Days = 77</v>
      </c>
      <c r="E2" s="11" t="str">
        <f>"Days = "&amp;(+A25-B2)</f>
        <v>Days = 15</v>
      </c>
      <c r="F2" s="6"/>
      <c r="G2" s="17">
        <v>0.7</v>
      </c>
      <c r="H2" s="6"/>
      <c r="I2" s="6"/>
      <c r="J2" s="6"/>
      <c r="K2" s="20"/>
      <c r="M2" s="23" t="s">
        <v>4</v>
      </c>
    </row>
    <row r="3">
      <c r="A3" s="25"/>
      <c r="B3" s="27" t="s">
        <v>6</v>
      </c>
      <c r="C3" s="27" t="s">
        <v>7</v>
      </c>
      <c r="D3" s="27" t="s">
        <v>8</v>
      </c>
      <c r="E3" s="27" t="s">
        <v>9</v>
      </c>
      <c r="F3" s="27" t="s">
        <v>10</v>
      </c>
      <c r="G3" s="27" t="s">
        <v>11</v>
      </c>
      <c r="H3" s="23" t="s">
        <v>12</v>
      </c>
      <c r="I3" s="23" t="s">
        <v>13</v>
      </c>
      <c r="J3" s="23" t="s">
        <v>14</v>
      </c>
      <c r="K3" s="33" t="s">
        <v>15</v>
      </c>
      <c r="M3" s="1">
        <v>45480.0</v>
      </c>
      <c r="N3" s="1">
        <v>45487.0</v>
      </c>
      <c r="O3" s="1">
        <v>45494.0</v>
      </c>
      <c r="P3" s="1">
        <v>45501.0</v>
      </c>
      <c r="Q3" s="1">
        <v>45508.0</v>
      </c>
      <c r="R3" s="1">
        <v>45515.0</v>
      </c>
      <c r="S3" s="1">
        <v>45522.0</v>
      </c>
      <c r="T3" s="1">
        <v>45529.0</v>
      </c>
      <c r="U3" s="1">
        <v>45536.0</v>
      </c>
      <c r="V3" s="1">
        <v>45543.0</v>
      </c>
      <c r="W3" s="1">
        <v>45550.0</v>
      </c>
      <c r="X3" s="1">
        <v>45557.0</v>
      </c>
      <c r="Y3" s="1">
        <v>45564.0</v>
      </c>
      <c r="AA3" s="37" t="s">
        <v>18</v>
      </c>
      <c r="AB3" s="37" t="s">
        <v>19</v>
      </c>
    </row>
    <row r="4">
      <c r="A4" s="39"/>
      <c r="B4" s="23"/>
      <c r="K4" s="41"/>
    </row>
    <row r="5">
      <c r="A5" s="43"/>
      <c r="K5" s="41"/>
    </row>
    <row r="6">
      <c r="A6" s="46" t="s">
        <v>22</v>
      </c>
      <c r="B6" s="48">
        <v>158.0</v>
      </c>
      <c r="C6" s="37">
        <v>2.0</v>
      </c>
      <c r="D6" s="54">
        <f t="shared" ref="D6:D9" si="1">(B6-C6)/($B$2-$A$24)</f>
        <v>2.025974026</v>
      </c>
      <c r="E6" s="63">
        <f t="shared" ref="E6:E9" si="2">rounddown(D6*($A$25-$B$2),0)</f>
        <v>30</v>
      </c>
      <c r="F6" s="66">
        <f>'2024 - Q3'!Q6+'2024 - Q3'!R6</f>
        <v>173</v>
      </c>
      <c r="G6" s="66">
        <f t="shared" ref="G6:G9" si="3">F6+round(E6*$G$2,0)</f>
        <v>194</v>
      </c>
      <c r="H6" s="69">
        <f>'2024 - Q3'!B6</f>
        <v>80</v>
      </c>
      <c r="I6" s="69">
        <f t="shared" ref="I6:I9" si="4">G6+H6</f>
        <v>274</v>
      </c>
      <c r="J6" s="69">
        <f>'2024 - Q3'!T6</f>
        <v>183</v>
      </c>
      <c r="K6" s="77">
        <f t="shared" ref="K6:K9" si="5">I6-J6</f>
        <v>91</v>
      </c>
      <c r="M6" s="78">
        <v>13.0</v>
      </c>
      <c r="N6" s="78">
        <v>27.0</v>
      </c>
      <c r="O6" s="78">
        <v>30.0</v>
      </c>
      <c r="P6" s="78">
        <v>40.0</v>
      </c>
      <c r="Q6" s="78">
        <v>57.0</v>
      </c>
      <c r="R6" s="78">
        <v>65.0</v>
      </c>
      <c r="S6" s="78">
        <v>80.0</v>
      </c>
      <c r="T6" s="78">
        <v>106.0</v>
      </c>
      <c r="U6" s="78">
        <v>118.0</v>
      </c>
      <c r="V6" s="78">
        <v>147.0</v>
      </c>
      <c r="W6" s="78">
        <v>156.0</v>
      </c>
      <c r="X6" s="78"/>
      <c r="Y6" s="80"/>
      <c r="Z6" s="80"/>
      <c r="AA6" s="78">
        <v>204.0</v>
      </c>
      <c r="AB6" s="66">
        <v>183.0</v>
      </c>
      <c r="AC6" s="80"/>
      <c r="AD6" s="80"/>
      <c r="AE6" s="80"/>
    </row>
    <row r="7">
      <c r="A7" s="46" t="s">
        <v>36</v>
      </c>
      <c r="B7" s="48">
        <v>73.0</v>
      </c>
      <c r="C7" s="37">
        <v>8.0</v>
      </c>
      <c r="D7" s="54">
        <f t="shared" si="1"/>
        <v>0.8441558442</v>
      </c>
      <c r="E7" s="63">
        <f t="shared" si="2"/>
        <v>12</v>
      </c>
      <c r="F7" s="66">
        <f>'2024 - Q3'!Q7+'2024 - Q3'!R7</f>
        <v>94</v>
      </c>
      <c r="G7" s="66">
        <f t="shared" si="3"/>
        <v>102</v>
      </c>
      <c r="H7" s="69">
        <f>'2024 - Q3'!B7</f>
        <v>-20</v>
      </c>
      <c r="I7" s="69">
        <f t="shared" si="4"/>
        <v>82</v>
      </c>
      <c r="J7" s="69">
        <f>'2024 - Q3'!T7</f>
        <v>168</v>
      </c>
      <c r="K7" s="77">
        <f t="shared" si="5"/>
        <v>-86</v>
      </c>
      <c r="M7" s="78">
        <v>2.0</v>
      </c>
      <c r="N7" s="78">
        <v>8.0</v>
      </c>
      <c r="O7" s="78">
        <v>14.0</v>
      </c>
      <c r="P7" s="78">
        <v>16.0</v>
      </c>
      <c r="Q7" s="78">
        <v>25.0</v>
      </c>
      <c r="R7" s="78">
        <v>27.0</v>
      </c>
      <c r="S7" s="78">
        <v>36.0</v>
      </c>
      <c r="T7" s="78">
        <v>47.0</v>
      </c>
      <c r="U7" s="78">
        <v>54.0</v>
      </c>
      <c r="V7" s="78">
        <v>60.0</v>
      </c>
      <c r="W7" s="78">
        <v>65.0</v>
      </c>
      <c r="X7" s="78"/>
      <c r="Y7" s="80"/>
      <c r="Z7" s="80"/>
      <c r="AA7" s="78">
        <v>103.0</v>
      </c>
      <c r="AB7" s="66">
        <v>93.0</v>
      </c>
      <c r="AC7" s="80"/>
      <c r="AD7" s="80"/>
      <c r="AE7" s="80"/>
    </row>
    <row r="8">
      <c r="A8" s="46" t="s">
        <v>40</v>
      </c>
      <c r="B8" s="48">
        <v>75.0</v>
      </c>
      <c r="C8" s="37">
        <v>3.0</v>
      </c>
      <c r="D8" s="54">
        <f t="shared" si="1"/>
        <v>0.9350649351</v>
      </c>
      <c r="E8" s="63">
        <f t="shared" si="2"/>
        <v>14</v>
      </c>
      <c r="F8" s="66">
        <f>'2024 - Q3'!Q8+'2024 - Q3'!R8</f>
        <v>107</v>
      </c>
      <c r="G8" s="66">
        <f t="shared" si="3"/>
        <v>117</v>
      </c>
      <c r="H8" s="69">
        <f>'2024 - Q3'!B8</f>
        <v>17</v>
      </c>
      <c r="I8" s="69">
        <f t="shared" si="4"/>
        <v>134</v>
      </c>
      <c r="J8" s="69">
        <f>'2024 - Q3'!T8</f>
        <v>118</v>
      </c>
      <c r="K8" s="77">
        <f t="shared" si="5"/>
        <v>16</v>
      </c>
      <c r="M8" s="78">
        <v>5.0</v>
      </c>
      <c r="N8" s="78">
        <v>6.0</v>
      </c>
      <c r="O8" s="78">
        <v>9.0</v>
      </c>
      <c r="P8" s="78">
        <v>18.0</v>
      </c>
      <c r="Q8" s="78">
        <v>30.0</v>
      </c>
      <c r="R8" s="78">
        <v>48.0</v>
      </c>
      <c r="S8" s="78">
        <v>53.0</v>
      </c>
      <c r="T8" s="78">
        <v>57.0</v>
      </c>
      <c r="U8" s="78">
        <v>62.0</v>
      </c>
      <c r="V8" s="78">
        <v>65.0</v>
      </c>
      <c r="W8" s="78">
        <v>72.0</v>
      </c>
      <c r="X8" s="78"/>
      <c r="Y8" s="80"/>
      <c r="Z8" s="80"/>
      <c r="AA8" s="78">
        <v>120.0</v>
      </c>
      <c r="AB8" s="66">
        <v>111.0</v>
      </c>
      <c r="AC8" s="80"/>
      <c r="AD8" s="80"/>
      <c r="AE8" s="80"/>
    </row>
    <row r="9">
      <c r="A9" s="46" t="s">
        <v>41</v>
      </c>
      <c r="B9" s="87">
        <v>116.0</v>
      </c>
      <c r="C9" s="37">
        <v>2.0</v>
      </c>
      <c r="D9" s="54">
        <f t="shared" si="1"/>
        <v>1.480519481</v>
      </c>
      <c r="E9" s="63">
        <f t="shared" si="2"/>
        <v>22</v>
      </c>
      <c r="F9" s="66">
        <f>'2024 - Q3'!Q9+'2024 - Q3'!R9</f>
        <v>144</v>
      </c>
      <c r="G9" s="66">
        <f t="shared" si="3"/>
        <v>159</v>
      </c>
      <c r="H9" s="69">
        <f>'2024 - Q3'!B9</f>
        <v>25</v>
      </c>
      <c r="I9" s="69">
        <f t="shared" si="4"/>
        <v>184</v>
      </c>
      <c r="J9" s="69">
        <f>'2024 - Q3'!T9</f>
        <v>148</v>
      </c>
      <c r="K9" s="77">
        <f t="shared" si="5"/>
        <v>36</v>
      </c>
      <c r="M9" s="78">
        <v>6.0</v>
      </c>
      <c r="N9" s="78">
        <v>23.0</v>
      </c>
      <c r="O9" s="78">
        <v>32.0</v>
      </c>
      <c r="P9" s="78">
        <v>42.0</v>
      </c>
      <c r="Q9" s="78">
        <v>48.0</v>
      </c>
      <c r="R9" s="78">
        <v>54.0</v>
      </c>
      <c r="S9" s="78">
        <v>60.0</v>
      </c>
      <c r="T9" s="78">
        <v>67.0</v>
      </c>
      <c r="U9" s="78">
        <v>73.0</v>
      </c>
      <c r="V9" s="78">
        <v>83.0</v>
      </c>
      <c r="W9" s="78">
        <v>114.0</v>
      </c>
      <c r="X9" s="78"/>
      <c r="Y9" s="80"/>
      <c r="Z9" s="80"/>
      <c r="AA9" s="78">
        <v>150.0</v>
      </c>
      <c r="AB9" s="66">
        <v>159.0</v>
      </c>
      <c r="AC9" s="80"/>
      <c r="AD9" s="80"/>
      <c r="AE9" s="80"/>
    </row>
    <row r="10">
      <c r="A10" s="94" t="s">
        <v>44</v>
      </c>
      <c r="B10" s="95">
        <f t="shared" ref="B10:K10" si="6">sum(B6:B9)</f>
        <v>422</v>
      </c>
      <c r="C10" s="95">
        <f t="shared" si="6"/>
        <v>15</v>
      </c>
      <c r="D10" s="97">
        <f t="shared" si="6"/>
        <v>5.285714286</v>
      </c>
      <c r="E10" s="95">
        <f t="shared" si="6"/>
        <v>78</v>
      </c>
      <c r="F10" s="95">
        <f t="shared" si="6"/>
        <v>518</v>
      </c>
      <c r="G10" s="95">
        <f t="shared" si="6"/>
        <v>572</v>
      </c>
      <c r="H10" s="100">
        <f t="shared" si="6"/>
        <v>102</v>
      </c>
      <c r="I10" s="100">
        <f t="shared" si="6"/>
        <v>674</v>
      </c>
      <c r="J10" s="100">
        <f t="shared" si="6"/>
        <v>617</v>
      </c>
      <c r="K10" s="103">
        <f t="shared" si="6"/>
        <v>57</v>
      </c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C10" s="80"/>
      <c r="AD10" s="80"/>
      <c r="AE10" s="80"/>
    </row>
    <row r="11">
      <c r="A11" s="46" t="s">
        <v>47</v>
      </c>
      <c r="B11" s="84">
        <v>126.0</v>
      </c>
      <c r="C11" s="37">
        <v>9.0</v>
      </c>
      <c r="D11" s="54">
        <f t="shared" ref="D11:D14" si="7">(B11-C11)/($B$2-$A$24)</f>
        <v>1.519480519</v>
      </c>
      <c r="E11" s="63">
        <f t="shared" ref="E11:E14" si="8">rounddown(D11*($A$25-$B$2),0)</f>
        <v>22</v>
      </c>
      <c r="F11" s="66">
        <f>'2024 - Q3'!Q11+'2024 - Q3'!R11</f>
        <v>124</v>
      </c>
      <c r="G11" s="66">
        <f t="shared" ref="G11:G14" si="9">F11+round(E11*$G$2,0)</f>
        <v>139</v>
      </c>
      <c r="H11" s="69">
        <f>'2024 - Q3'!B11</f>
        <v>31</v>
      </c>
      <c r="I11" s="69">
        <f t="shared" ref="I11:I14" si="10">G11+H11</f>
        <v>170</v>
      </c>
      <c r="J11" s="69">
        <f>'2024 - Q3'!T11</f>
        <v>139</v>
      </c>
      <c r="K11" s="77">
        <f t="shared" ref="K11:K14" si="11">I11-J11</f>
        <v>31</v>
      </c>
      <c r="M11" s="78">
        <v>6.0</v>
      </c>
      <c r="N11" s="78">
        <v>13.0</v>
      </c>
      <c r="O11" s="78">
        <v>17.0</v>
      </c>
      <c r="P11" s="78">
        <v>23.0</v>
      </c>
      <c r="Q11" s="78">
        <v>29.0</v>
      </c>
      <c r="R11" s="78">
        <v>42.0</v>
      </c>
      <c r="S11" s="78">
        <v>66.0</v>
      </c>
      <c r="T11" s="78">
        <v>77.0</v>
      </c>
      <c r="U11" s="78">
        <v>88.0</v>
      </c>
      <c r="V11" s="78">
        <v>100.0</v>
      </c>
      <c r="W11" s="78">
        <v>117.0</v>
      </c>
      <c r="X11" s="78"/>
      <c r="Y11" s="80"/>
      <c r="Z11" s="80"/>
      <c r="AA11" s="78">
        <v>148.0</v>
      </c>
      <c r="AB11" s="66">
        <v>134.0</v>
      </c>
      <c r="AC11" s="80"/>
      <c r="AD11" s="80"/>
      <c r="AE11" s="80"/>
    </row>
    <row r="12">
      <c r="A12" s="46" t="s">
        <v>51</v>
      </c>
      <c r="B12" s="84">
        <v>102.0</v>
      </c>
      <c r="C12" s="37">
        <v>8.0</v>
      </c>
      <c r="D12" s="54">
        <f t="shared" si="7"/>
        <v>1.220779221</v>
      </c>
      <c r="E12" s="63">
        <f t="shared" si="8"/>
        <v>18</v>
      </c>
      <c r="F12" s="66">
        <f>'2024 - Q3'!Q12+'2024 - Q3'!R12</f>
        <v>111</v>
      </c>
      <c r="G12" s="66">
        <f t="shared" si="9"/>
        <v>124</v>
      </c>
      <c r="H12" s="69">
        <f>'2024 - Q3'!B12</f>
        <v>20</v>
      </c>
      <c r="I12" s="69">
        <f t="shared" si="10"/>
        <v>144</v>
      </c>
      <c r="J12" s="69">
        <f>'2024 - Q3'!T12</f>
        <v>127</v>
      </c>
      <c r="K12" s="77">
        <f t="shared" si="11"/>
        <v>17</v>
      </c>
      <c r="M12" s="78">
        <v>4.0</v>
      </c>
      <c r="N12" s="78">
        <v>15.0</v>
      </c>
      <c r="O12" s="78">
        <v>16.0</v>
      </c>
      <c r="P12" s="78">
        <v>19.0</v>
      </c>
      <c r="Q12" s="78">
        <v>28.0</v>
      </c>
      <c r="R12" s="78">
        <v>31.0</v>
      </c>
      <c r="S12" s="78">
        <v>38.0</v>
      </c>
      <c r="T12" s="78">
        <v>46.0</v>
      </c>
      <c r="U12" s="78">
        <v>66.0</v>
      </c>
      <c r="V12" s="78">
        <v>87.0</v>
      </c>
      <c r="W12" s="78">
        <v>94.0</v>
      </c>
      <c r="X12" s="78"/>
      <c r="Y12" s="80"/>
      <c r="Z12" s="80"/>
      <c r="AA12" s="78">
        <v>130.0</v>
      </c>
      <c r="AB12" s="66">
        <v>119.0</v>
      </c>
      <c r="AC12" s="80"/>
      <c r="AD12" s="80"/>
      <c r="AE12" s="80"/>
    </row>
    <row r="13">
      <c r="A13" s="46" t="s">
        <v>52</v>
      </c>
      <c r="B13" s="84">
        <v>82.0</v>
      </c>
      <c r="C13" s="37">
        <v>4.0</v>
      </c>
      <c r="D13" s="54">
        <f t="shared" si="7"/>
        <v>1.012987013</v>
      </c>
      <c r="E13" s="63">
        <f t="shared" si="8"/>
        <v>15</v>
      </c>
      <c r="F13" s="66">
        <f>'2024 - Q3'!Q13+'2024 - Q3'!R13</f>
        <v>89</v>
      </c>
      <c r="G13" s="66">
        <f t="shared" si="9"/>
        <v>100</v>
      </c>
      <c r="H13" s="69">
        <f>'2024 - Q3'!B13</f>
        <v>47</v>
      </c>
      <c r="I13" s="69">
        <f t="shared" si="10"/>
        <v>147</v>
      </c>
      <c r="J13" s="69">
        <f>'2024 - Q3'!T13</f>
        <v>107</v>
      </c>
      <c r="K13" s="77">
        <f t="shared" si="11"/>
        <v>40</v>
      </c>
      <c r="M13" s="78">
        <v>2.0</v>
      </c>
      <c r="N13" s="78">
        <v>3.0</v>
      </c>
      <c r="O13" s="78">
        <v>9.0</v>
      </c>
      <c r="P13" s="78">
        <v>13.0</v>
      </c>
      <c r="Q13" s="78">
        <v>18.0</v>
      </c>
      <c r="R13" s="78">
        <v>29.0</v>
      </c>
      <c r="S13" s="78">
        <v>38.0</v>
      </c>
      <c r="T13" s="78">
        <v>46.0</v>
      </c>
      <c r="U13" s="78">
        <v>53.0</v>
      </c>
      <c r="V13" s="78">
        <v>65.0</v>
      </c>
      <c r="W13" s="78">
        <v>78.0</v>
      </c>
      <c r="X13" s="78"/>
      <c r="Y13" s="80"/>
      <c r="Z13" s="80"/>
      <c r="AA13" s="78">
        <v>104.0</v>
      </c>
      <c r="AB13" s="66">
        <v>100.0</v>
      </c>
      <c r="AC13" s="80"/>
      <c r="AD13" s="80"/>
      <c r="AE13" s="80"/>
    </row>
    <row r="14">
      <c r="A14" s="46" t="s">
        <v>53</v>
      </c>
      <c r="B14" s="84">
        <v>142.0</v>
      </c>
      <c r="C14" s="37">
        <v>4.0</v>
      </c>
      <c r="D14" s="54">
        <f t="shared" si="7"/>
        <v>1.792207792</v>
      </c>
      <c r="E14" s="63">
        <f t="shared" si="8"/>
        <v>26</v>
      </c>
      <c r="F14" s="66">
        <f>'2024 - Q3'!Q14+'2024 - Q3'!R14</f>
        <v>178</v>
      </c>
      <c r="G14" s="66">
        <f t="shared" si="9"/>
        <v>196</v>
      </c>
      <c r="H14" s="69">
        <f>'2024 - Q3'!B14</f>
        <v>9</v>
      </c>
      <c r="I14" s="69">
        <f t="shared" si="10"/>
        <v>205</v>
      </c>
      <c r="J14" s="69">
        <f>'2024 - Q3'!T14</f>
        <v>186</v>
      </c>
      <c r="K14" s="77">
        <f t="shared" si="11"/>
        <v>19</v>
      </c>
      <c r="M14" s="78">
        <v>14.0</v>
      </c>
      <c r="N14" s="78">
        <v>18.0</v>
      </c>
      <c r="O14" s="78">
        <v>25.0</v>
      </c>
      <c r="P14" s="78">
        <v>35.0</v>
      </c>
      <c r="Q14" s="78">
        <v>40.0</v>
      </c>
      <c r="R14" s="78">
        <v>58.0</v>
      </c>
      <c r="S14" s="78">
        <v>70.0</v>
      </c>
      <c r="T14" s="78">
        <v>81.0</v>
      </c>
      <c r="U14" s="78">
        <v>91.0</v>
      </c>
      <c r="V14" s="78">
        <v>103.0</v>
      </c>
      <c r="W14" s="78">
        <v>138.0</v>
      </c>
      <c r="X14" s="78"/>
      <c r="Y14" s="80"/>
      <c r="Z14" s="80"/>
      <c r="AA14" s="78">
        <v>175.0</v>
      </c>
      <c r="AB14" s="66">
        <v>183.0</v>
      </c>
      <c r="AC14" s="80"/>
      <c r="AD14" s="80"/>
      <c r="AE14" s="80"/>
    </row>
    <row r="15">
      <c r="A15" s="94" t="s">
        <v>54</v>
      </c>
      <c r="B15" s="95">
        <f t="shared" ref="B15:K15" si="12">sum(B11:B14)</f>
        <v>452</v>
      </c>
      <c r="C15" s="95">
        <f t="shared" si="12"/>
        <v>25</v>
      </c>
      <c r="D15" s="97">
        <f t="shared" si="12"/>
        <v>5.545454545</v>
      </c>
      <c r="E15" s="95">
        <f t="shared" si="12"/>
        <v>81</v>
      </c>
      <c r="F15" s="95">
        <f t="shared" si="12"/>
        <v>502</v>
      </c>
      <c r="G15" s="95">
        <f t="shared" si="12"/>
        <v>559</v>
      </c>
      <c r="H15" s="100">
        <f t="shared" si="12"/>
        <v>107</v>
      </c>
      <c r="I15" s="100">
        <f t="shared" si="12"/>
        <v>666</v>
      </c>
      <c r="J15" s="100">
        <f t="shared" si="12"/>
        <v>559</v>
      </c>
      <c r="K15" s="103">
        <f t="shared" si="12"/>
        <v>107</v>
      </c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C15" s="80"/>
      <c r="AD15" s="80"/>
      <c r="AE15" s="80"/>
    </row>
    <row r="16">
      <c r="A16" s="46" t="s">
        <v>55</v>
      </c>
      <c r="B16" s="84">
        <v>105.0</v>
      </c>
      <c r="C16" s="37">
        <v>1.0</v>
      </c>
      <c r="D16" s="54">
        <f t="shared" ref="D16:D18" si="13">(B16-C16)/($B$2-$A$24)</f>
        <v>1.350649351</v>
      </c>
      <c r="E16" s="63">
        <f t="shared" ref="E16:E18" si="14">rounddown(D16*($A$25-$B$2),0)</f>
        <v>20</v>
      </c>
      <c r="F16" s="66">
        <f>'2024 - Q3'!Q16+'2024 - Q3'!R16</f>
        <v>118</v>
      </c>
      <c r="G16" s="66">
        <f t="shared" ref="G16:G18" si="15">F16+round(E16*$G$2,0)</f>
        <v>132</v>
      </c>
      <c r="H16" s="69">
        <f>'2024 - Q3'!B16</f>
        <v>20</v>
      </c>
      <c r="I16" s="69">
        <f t="shared" ref="I16:I18" si="16">G16+H16</f>
        <v>152</v>
      </c>
      <c r="J16" s="69">
        <f>'2024 - Q3'!T16</f>
        <v>126</v>
      </c>
      <c r="K16" s="77">
        <f t="shared" ref="K16:K18" si="17">I16-J16</f>
        <v>26</v>
      </c>
      <c r="M16" s="78">
        <v>1.0</v>
      </c>
      <c r="N16" s="78">
        <v>6.0</v>
      </c>
      <c r="O16" s="78">
        <v>8.0</v>
      </c>
      <c r="P16" s="78">
        <v>20.0</v>
      </c>
      <c r="Q16" s="78">
        <v>30.0</v>
      </c>
      <c r="R16" s="78">
        <v>35.0</v>
      </c>
      <c r="S16" s="78">
        <v>44.0</v>
      </c>
      <c r="T16" s="78">
        <v>53.0</v>
      </c>
      <c r="U16" s="78">
        <v>67.0</v>
      </c>
      <c r="V16" s="78">
        <v>72.0</v>
      </c>
      <c r="W16" s="78">
        <v>104.0</v>
      </c>
      <c r="X16" s="78"/>
      <c r="Y16" s="80"/>
      <c r="Z16" s="80"/>
      <c r="AA16" s="78">
        <v>112.0</v>
      </c>
      <c r="AB16" s="66">
        <v>126.0</v>
      </c>
      <c r="AC16" s="80"/>
      <c r="AD16" s="80"/>
      <c r="AE16" s="80"/>
    </row>
    <row r="17">
      <c r="A17" s="46" t="s">
        <v>57</v>
      </c>
      <c r="B17" s="84">
        <v>104.0</v>
      </c>
      <c r="C17" s="37">
        <v>2.0</v>
      </c>
      <c r="D17" s="54">
        <f t="shared" si="13"/>
        <v>1.324675325</v>
      </c>
      <c r="E17" s="63">
        <f t="shared" si="14"/>
        <v>19</v>
      </c>
      <c r="F17" s="66">
        <f>'2024 - Q3'!Q17+'2024 - Q3'!R17</f>
        <v>134</v>
      </c>
      <c r="G17" s="66">
        <f t="shared" si="15"/>
        <v>147</v>
      </c>
      <c r="H17" s="69">
        <f>'2024 - Q3'!B17</f>
        <v>0</v>
      </c>
      <c r="I17" s="69">
        <f t="shared" si="16"/>
        <v>147</v>
      </c>
      <c r="J17" s="69">
        <f>'2024 - Q3'!T17</f>
        <v>149</v>
      </c>
      <c r="K17" s="77">
        <f t="shared" si="17"/>
        <v>-2</v>
      </c>
      <c r="M17" s="78">
        <v>5.0</v>
      </c>
      <c r="N17" s="78">
        <v>11.0</v>
      </c>
      <c r="O17" s="78">
        <v>18.0</v>
      </c>
      <c r="P17" s="78">
        <v>22.0</v>
      </c>
      <c r="Q17" s="78">
        <v>28.0</v>
      </c>
      <c r="R17" s="78">
        <v>42.0</v>
      </c>
      <c r="S17" s="78">
        <v>54.0</v>
      </c>
      <c r="T17" s="78">
        <v>59.0</v>
      </c>
      <c r="U17" s="78">
        <v>71.0</v>
      </c>
      <c r="V17" s="78">
        <v>79.0</v>
      </c>
      <c r="W17" s="78">
        <v>102.0</v>
      </c>
      <c r="X17" s="78"/>
      <c r="Y17" s="80"/>
      <c r="Z17" s="80"/>
      <c r="AA17" s="78">
        <v>140.0</v>
      </c>
      <c r="AB17" s="66">
        <v>136.0</v>
      </c>
      <c r="AC17" s="80"/>
      <c r="AD17" s="80"/>
      <c r="AE17" s="80"/>
    </row>
    <row r="18">
      <c r="A18" s="46" t="s">
        <v>58</v>
      </c>
      <c r="B18" s="84">
        <v>41.0</v>
      </c>
      <c r="C18" s="37">
        <v>2.0</v>
      </c>
      <c r="D18" s="54">
        <f t="shared" si="13"/>
        <v>0.5064935065</v>
      </c>
      <c r="E18" s="63">
        <f t="shared" si="14"/>
        <v>7</v>
      </c>
      <c r="F18" s="66">
        <f>'2024 - Q3'!Q18+'2024 - Q3'!R18</f>
        <v>45</v>
      </c>
      <c r="G18" s="66">
        <f t="shared" si="15"/>
        <v>50</v>
      </c>
      <c r="H18" s="69">
        <f>'2024 - Q3'!B18</f>
        <v>14</v>
      </c>
      <c r="I18" s="69">
        <f t="shared" si="16"/>
        <v>64</v>
      </c>
      <c r="J18" s="69">
        <f>'2024 - Q3'!T18</f>
        <v>55</v>
      </c>
      <c r="K18" s="77">
        <f t="shared" si="17"/>
        <v>9</v>
      </c>
      <c r="M18" s="78">
        <v>3.0</v>
      </c>
      <c r="N18" s="78">
        <v>4.0</v>
      </c>
      <c r="O18" s="78">
        <v>5.0</v>
      </c>
      <c r="P18" s="78">
        <v>8.0</v>
      </c>
      <c r="Q18" s="78">
        <v>14.0</v>
      </c>
      <c r="R18" s="78">
        <v>16.0</v>
      </c>
      <c r="S18" s="78">
        <v>17.0</v>
      </c>
      <c r="T18" s="78">
        <v>19.0</v>
      </c>
      <c r="U18" s="78">
        <v>26.0</v>
      </c>
      <c r="V18" s="78">
        <v>31.0</v>
      </c>
      <c r="W18" s="78">
        <v>39.0</v>
      </c>
      <c r="X18" s="78"/>
      <c r="Y18" s="80"/>
      <c r="Z18" s="80"/>
      <c r="AA18" s="78">
        <v>51.0</v>
      </c>
      <c r="AB18" s="66">
        <v>52.0</v>
      </c>
      <c r="AC18" s="80"/>
      <c r="AD18" s="80"/>
      <c r="AE18" s="80"/>
    </row>
    <row r="19">
      <c r="A19" s="94" t="s">
        <v>59</v>
      </c>
      <c r="B19" s="95">
        <f t="shared" ref="B19:K19" si="18">sum(B16:B18)</f>
        <v>250</v>
      </c>
      <c r="C19" s="95">
        <f t="shared" si="18"/>
        <v>5</v>
      </c>
      <c r="D19" s="97">
        <f t="shared" si="18"/>
        <v>3.181818182</v>
      </c>
      <c r="E19" s="95">
        <f t="shared" si="18"/>
        <v>46</v>
      </c>
      <c r="F19" s="95">
        <f t="shared" si="18"/>
        <v>297</v>
      </c>
      <c r="G19" s="95">
        <f t="shared" si="18"/>
        <v>329</v>
      </c>
      <c r="H19" s="100">
        <f t="shared" si="18"/>
        <v>34</v>
      </c>
      <c r="I19" s="100">
        <f t="shared" si="18"/>
        <v>363</v>
      </c>
      <c r="J19" s="100">
        <f t="shared" si="18"/>
        <v>330</v>
      </c>
      <c r="K19" s="103">
        <f t="shared" si="18"/>
        <v>33</v>
      </c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C19" s="80"/>
      <c r="AD19" s="80"/>
      <c r="AE19" s="80"/>
    </row>
    <row r="20">
      <c r="A20" s="94"/>
      <c r="B20" s="120"/>
      <c r="K20" s="41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</row>
    <row r="21">
      <c r="A21" s="121"/>
      <c r="B21" s="120"/>
      <c r="K21" s="41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</row>
    <row r="22">
      <c r="A22" s="122" t="s">
        <v>13</v>
      </c>
      <c r="B22" s="123">
        <f t="shared" ref="B22:K22" si="19">B19+B15+B10</f>
        <v>1124</v>
      </c>
      <c r="C22" s="123">
        <f t="shared" si="19"/>
        <v>45</v>
      </c>
      <c r="D22" s="124">
        <f t="shared" si="19"/>
        <v>14.01298701</v>
      </c>
      <c r="E22" s="123">
        <f t="shared" si="19"/>
        <v>205</v>
      </c>
      <c r="F22" s="123">
        <f t="shared" si="19"/>
        <v>1317</v>
      </c>
      <c r="G22" s="123">
        <f t="shared" si="19"/>
        <v>1460</v>
      </c>
      <c r="H22" s="123">
        <f t="shared" si="19"/>
        <v>243</v>
      </c>
      <c r="I22" s="123">
        <f t="shared" si="19"/>
        <v>1703</v>
      </c>
      <c r="J22" s="123">
        <f t="shared" si="19"/>
        <v>1506</v>
      </c>
      <c r="K22" s="125">
        <f t="shared" si="19"/>
        <v>197</v>
      </c>
      <c r="M22" s="126">
        <f t="shared" ref="M22:Y22" si="20">sum(M6:M21)</f>
        <v>61</v>
      </c>
      <c r="N22" s="126">
        <f t="shared" si="20"/>
        <v>134</v>
      </c>
      <c r="O22" s="126">
        <f t="shared" si="20"/>
        <v>183</v>
      </c>
      <c r="P22" s="126">
        <f t="shared" si="20"/>
        <v>256</v>
      </c>
      <c r="Q22" s="126">
        <f t="shared" si="20"/>
        <v>347</v>
      </c>
      <c r="R22" s="126">
        <f t="shared" si="20"/>
        <v>447</v>
      </c>
      <c r="S22" s="126">
        <f t="shared" si="20"/>
        <v>556</v>
      </c>
      <c r="T22" s="126">
        <f t="shared" si="20"/>
        <v>658</v>
      </c>
      <c r="U22" s="126">
        <f t="shared" si="20"/>
        <v>769</v>
      </c>
      <c r="V22" s="126">
        <f t="shared" si="20"/>
        <v>892</v>
      </c>
      <c r="W22" s="126">
        <f t="shared" si="20"/>
        <v>1079</v>
      </c>
      <c r="X22" s="126">
        <f t="shared" si="20"/>
        <v>0</v>
      </c>
      <c r="Y22" s="126">
        <f t="shared" si="20"/>
        <v>0</v>
      </c>
      <c r="Z22" s="80"/>
      <c r="AA22" s="127">
        <f t="shared" ref="AA22:AB22" si="21">sum(AA6:AA21)</f>
        <v>1437</v>
      </c>
      <c r="AB22" s="127">
        <f t="shared" si="21"/>
        <v>1396</v>
      </c>
      <c r="AC22" s="80"/>
      <c r="AD22" s="80"/>
      <c r="AE22" s="80"/>
    </row>
    <row r="23"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</row>
    <row r="24">
      <c r="A24" s="7">
        <v>45473.0</v>
      </c>
      <c r="C24" s="128">
        <f>B22-C22</f>
        <v>1079</v>
      </c>
      <c r="L24" s="23" t="s">
        <v>60</v>
      </c>
      <c r="M24" s="129">
        <f>M22</f>
        <v>61</v>
      </c>
      <c r="N24" s="129">
        <f t="shared" ref="N24:Y24" si="22">N22-M22</f>
        <v>73</v>
      </c>
      <c r="O24" s="129">
        <f t="shared" si="22"/>
        <v>49</v>
      </c>
      <c r="P24" s="129">
        <f t="shared" si="22"/>
        <v>73</v>
      </c>
      <c r="Q24" s="129">
        <f t="shared" si="22"/>
        <v>91</v>
      </c>
      <c r="R24" s="129">
        <f t="shared" si="22"/>
        <v>100</v>
      </c>
      <c r="S24" s="129">
        <f t="shared" si="22"/>
        <v>109</v>
      </c>
      <c r="T24" s="129">
        <f t="shared" si="22"/>
        <v>102</v>
      </c>
      <c r="U24" s="129">
        <f t="shared" si="22"/>
        <v>111</v>
      </c>
      <c r="V24" s="129">
        <f t="shared" si="22"/>
        <v>123</v>
      </c>
      <c r="W24" s="129">
        <f t="shared" si="22"/>
        <v>187</v>
      </c>
      <c r="X24" s="129">
        <f t="shared" si="22"/>
        <v>-1079</v>
      </c>
      <c r="Y24" s="129">
        <f t="shared" si="22"/>
        <v>0</v>
      </c>
      <c r="Z24" s="80"/>
      <c r="AA24" s="80"/>
      <c r="AB24" s="80"/>
      <c r="AC24" s="80"/>
      <c r="AD24" s="80"/>
      <c r="AE24" s="80"/>
    </row>
    <row r="25">
      <c r="A25" s="7">
        <v>45565.0</v>
      </c>
      <c r="C25" s="7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</row>
    <row r="26"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</row>
    <row r="27"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80"/>
      <c r="AA27" s="80"/>
      <c r="AB27" s="80"/>
      <c r="AC27" s="80"/>
      <c r="AD27" s="80"/>
      <c r="AE27" s="80"/>
    </row>
    <row r="28"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</row>
    <row r="29">
      <c r="A29" s="130"/>
      <c r="M29" s="80"/>
      <c r="N29" s="7"/>
      <c r="O29" s="7"/>
      <c r="P29" s="7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</row>
    <row r="30">
      <c r="A30" s="130"/>
      <c r="C30" s="131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</row>
    <row r="33">
      <c r="B33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6.88"/>
    <col customWidth="1" min="2" max="2" width="9.0"/>
    <col customWidth="1" min="3" max="3" width="8.63"/>
    <col customWidth="1" min="4" max="4" width="7.13"/>
    <col customWidth="1" min="5" max="7" width="8.13"/>
    <col customWidth="1" min="8" max="8" width="8.63"/>
    <col customWidth="1" min="9" max="9" width="7.88"/>
    <col customWidth="1" min="10" max="10" width="11.0"/>
    <col customWidth="1" min="11" max="11" width="8.5"/>
    <col customWidth="1" min="12" max="13" width="9.38"/>
    <col customWidth="1" min="14" max="14" width="8.63"/>
    <col customWidth="1" min="15" max="15" width="7.88"/>
    <col customWidth="1" min="16" max="16" width="9.25"/>
    <col customWidth="1" min="17" max="17" width="9.88"/>
    <col customWidth="1" min="18" max="18" width="9.38"/>
    <col customWidth="1" min="19" max="19" width="7.13"/>
    <col customWidth="1" min="20" max="20" width="10.13"/>
    <col customWidth="1" min="21" max="21" width="9.0"/>
    <col customWidth="1" min="22" max="22" width="11.38"/>
    <col customWidth="1" min="23" max="23" width="5.88"/>
    <col customWidth="1" min="24" max="24" width="7.13"/>
    <col customWidth="1" min="25" max="26" width="9.88"/>
    <col customWidth="1" min="27" max="27" width="7.75"/>
    <col customWidth="1" min="29" max="29" width="7.63"/>
    <col customWidth="1" min="30" max="30" width="4.5"/>
    <col customWidth="1" min="32" max="34" width="8.75"/>
    <col customWidth="1" min="35" max="35" width="10.5"/>
    <col customWidth="1" min="36" max="50" width="8.75"/>
  </cols>
  <sheetData>
    <row r="1">
      <c r="A1" s="2" t="s">
        <v>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1"/>
      <c r="X1" s="24"/>
      <c r="Y1" s="26"/>
      <c r="Z1" s="24"/>
      <c r="AA1" s="29"/>
      <c r="AB1" s="26"/>
      <c r="AC1" s="31" t="s">
        <v>2</v>
      </c>
      <c r="AD1" s="34" t="s">
        <v>3</v>
      </c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</row>
    <row r="2">
      <c r="A2" s="24"/>
      <c r="B2" s="53" t="s">
        <v>29</v>
      </c>
      <c r="C2" s="15"/>
      <c r="D2" s="15"/>
      <c r="E2" s="15"/>
      <c r="F2" s="29"/>
      <c r="G2" s="29"/>
      <c r="H2" s="55" t="s">
        <v>30</v>
      </c>
      <c r="I2" s="15"/>
      <c r="J2" s="15"/>
      <c r="K2" s="15"/>
      <c r="L2" s="15"/>
      <c r="M2" s="29"/>
      <c r="N2" s="55" t="s">
        <v>32</v>
      </c>
      <c r="O2" s="15"/>
      <c r="P2" s="15"/>
      <c r="Q2" s="15"/>
      <c r="R2" s="15"/>
      <c r="S2" s="29"/>
      <c r="T2" s="45" t="s">
        <v>13</v>
      </c>
      <c r="U2" s="15"/>
      <c r="V2" s="15"/>
      <c r="W2" s="15"/>
      <c r="X2" s="29"/>
      <c r="Y2" s="29"/>
      <c r="Z2" s="29"/>
      <c r="AA2" s="29"/>
      <c r="AB2" s="50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</row>
    <row r="3">
      <c r="A3" s="52"/>
      <c r="B3" s="57" t="s">
        <v>24</v>
      </c>
      <c r="C3" s="57" t="s">
        <v>28</v>
      </c>
      <c r="D3" s="57" t="s">
        <v>25</v>
      </c>
      <c r="E3" s="57" t="s">
        <v>26</v>
      </c>
      <c r="F3" s="57" t="s">
        <v>27</v>
      </c>
      <c r="G3" s="60"/>
      <c r="H3" s="57" t="s">
        <v>24</v>
      </c>
      <c r="I3" s="57" t="s">
        <v>28</v>
      </c>
      <c r="J3" s="57" t="s">
        <v>25</v>
      </c>
      <c r="K3" s="57" t="s">
        <v>26</v>
      </c>
      <c r="L3" s="57" t="s">
        <v>27</v>
      </c>
      <c r="M3" s="35"/>
      <c r="N3" s="57" t="s">
        <v>24</v>
      </c>
      <c r="O3" s="57" t="s">
        <v>28</v>
      </c>
      <c r="P3" s="57" t="s">
        <v>25</v>
      </c>
      <c r="Q3" s="57" t="s">
        <v>26</v>
      </c>
      <c r="R3" s="57" t="s">
        <v>27</v>
      </c>
      <c r="S3" s="35"/>
      <c r="T3" s="57" t="s">
        <v>24</v>
      </c>
      <c r="U3" s="57" t="s">
        <v>25</v>
      </c>
      <c r="V3" s="57" t="s">
        <v>26</v>
      </c>
      <c r="W3" s="57" t="s">
        <v>27</v>
      </c>
      <c r="X3" s="57" t="s">
        <v>31</v>
      </c>
      <c r="Y3" s="31" t="s">
        <v>33</v>
      </c>
      <c r="Z3" s="31" t="s">
        <v>34</v>
      </c>
      <c r="AA3" s="31" t="s">
        <v>14</v>
      </c>
      <c r="AB3" s="64" t="s">
        <v>35</v>
      </c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</row>
    <row r="4">
      <c r="A4" s="52" t="s">
        <v>36</v>
      </c>
      <c r="B4" s="74">
        <v>9.0</v>
      </c>
      <c r="C4" s="35"/>
      <c r="D4" s="35"/>
      <c r="E4" s="71">
        <f t="shared" ref="E4:E7" si="2">SUM(B4:D4)</f>
        <v>9</v>
      </c>
      <c r="F4" s="79">
        <v>27.0</v>
      </c>
      <c r="G4" s="75">
        <f t="shared" ref="G4:G17" si="3">E4/F4</f>
        <v>0.3333333333</v>
      </c>
      <c r="H4" s="74">
        <v>9.0</v>
      </c>
      <c r="I4" s="35"/>
      <c r="J4" s="35"/>
      <c r="K4" s="71">
        <f t="shared" ref="K4:K7" si="4">SUM(H4:J4)</f>
        <v>9</v>
      </c>
      <c r="L4" s="79">
        <v>33.0</v>
      </c>
      <c r="M4" s="75">
        <f t="shared" ref="M4:M17" si="5">K4/L4</f>
        <v>0.2727272727</v>
      </c>
      <c r="N4" s="74">
        <v>4.0</v>
      </c>
      <c r="O4" s="35"/>
      <c r="P4" s="35"/>
      <c r="Q4" s="71">
        <f t="shared" ref="Q4:Q7" si="6">SUM(N4:P4)</f>
        <v>4</v>
      </c>
      <c r="R4" s="79">
        <v>27.0</v>
      </c>
      <c r="S4" s="75">
        <f t="shared" ref="S4:S17" si="7">Q4/R4</f>
        <v>0.1481481481</v>
      </c>
      <c r="T4" s="68">
        <f t="shared" ref="T4:T7" si="8">N4+H4+B4+O4+I4</f>
        <v>22</v>
      </c>
      <c r="U4" s="68">
        <f t="shared" ref="U4:U7" si="9">P4+J4+D4</f>
        <v>0</v>
      </c>
      <c r="V4" s="71">
        <f t="shared" ref="V4:V7" si="10">sum(T4:U4)</f>
        <v>22</v>
      </c>
      <c r="W4" s="73">
        <f t="shared" ref="W4:W7" si="11">F4+L4+R4</f>
        <v>87</v>
      </c>
      <c r="X4" s="85">
        <f t="shared" ref="X4:X7" si="12">W4-V4</f>
        <v>65</v>
      </c>
      <c r="Y4" s="68">
        <f t="shared" ref="Y4:Y7" si="13">round(X4/$Y$24*7,0)</f>
        <v>5</v>
      </c>
      <c r="Z4" s="68">
        <f t="shared" ref="Z4:AA4" si="1">V4</f>
        <v>22</v>
      </c>
      <c r="AA4" s="68">
        <f t="shared" si="1"/>
        <v>87</v>
      </c>
      <c r="AB4" s="89">
        <f t="shared" ref="AB4:AB17" si="15">Z4/AA4</f>
        <v>0.2528735632</v>
      </c>
      <c r="AC4" s="91">
        <v>46286.0</v>
      </c>
      <c r="AD4" s="82" t="s">
        <v>43</v>
      </c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</row>
    <row r="5">
      <c r="A5" s="52" t="s">
        <v>40</v>
      </c>
      <c r="B5" s="81">
        <v>4.0</v>
      </c>
      <c r="C5" s="35"/>
      <c r="D5" s="35"/>
      <c r="E5" s="71">
        <f t="shared" si="2"/>
        <v>4</v>
      </c>
      <c r="F5" s="79">
        <v>20.0</v>
      </c>
      <c r="G5" s="75">
        <f t="shared" si="3"/>
        <v>0.2</v>
      </c>
      <c r="H5" s="81">
        <v>8.0</v>
      </c>
      <c r="I5" s="35"/>
      <c r="J5" s="35"/>
      <c r="K5" s="71">
        <f t="shared" si="4"/>
        <v>8</v>
      </c>
      <c r="L5" s="79">
        <v>23.0</v>
      </c>
      <c r="M5" s="75">
        <f t="shared" si="5"/>
        <v>0.347826087</v>
      </c>
      <c r="N5" s="81">
        <v>2.0</v>
      </c>
      <c r="O5" s="35"/>
      <c r="P5" s="35"/>
      <c r="Q5" s="71">
        <f t="shared" si="6"/>
        <v>2</v>
      </c>
      <c r="R5" s="79">
        <v>19.0</v>
      </c>
      <c r="S5" s="75">
        <f t="shared" si="7"/>
        <v>0.1052631579</v>
      </c>
      <c r="T5" s="68">
        <f t="shared" si="8"/>
        <v>14</v>
      </c>
      <c r="U5" s="68">
        <f t="shared" si="9"/>
        <v>0</v>
      </c>
      <c r="V5" s="71">
        <f t="shared" si="10"/>
        <v>14</v>
      </c>
      <c r="W5" s="73">
        <f t="shared" si="11"/>
        <v>62</v>
      </c>
      <c r="X5" s="85">
        <f t="shared" si="12"/>
        <v>48</v>
      </c>
      <c r="Y5" s="68">
        <f t="shared" si="13"/>
        <v>4</v>
      </c>
      <c r="Z5" s="68">
        <f t="shared" ref="Z5:AA5" si="14">V5</f>
        <v>14</v>
      </c>
      <c r="AA5" s="68">
        <f t="shared" si="14"/>
        <v>62</v>
      </c>
      <c r="AB5" s="89">
        <f t="shared" si="15"/>
        <v>0.2258064516</v>
      </c>
      <c r="AC5" s="101">
        <v>46286.0</v>
      </c>
      <c r="AD5" s="102" t="s">
        <v>45</v>
      </c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</row>
    <row r="6">
      <c r="A6" s="52" t="s">
        <v>41</v>
      </c>
      <c r="B6" s="81">
        <v>9.0</v>
      </c>
      <c r="C6" s="35"/>
      <c r="D6" s="35"/>
      <c r="E6" s="71">
        <f t="shared" si="2"/>
        <v>9</v>
      </c>
      <c r="F6" s="79">
        <v>21.0</v>
      </c>
      <c r="G6" s="75">
        <f t="shared" si="3"/>
        <v>0.4285714286</v>
      </c>
      <c r="H6" s="81">
        <v>6.0</v>
      </c>
      <c r="I6" s="35"/>
      <c r="J6" s="35"/>
      <c r="K6" s="71">
        <f t="shared" si="4"/>
        <v>6</v>
      </c>
      <c r="L6" s="79">
        <v>27.0</v>
      </c>
      <c r="M6" s="75">
        <f t="shared" si="5"/>
        <v>0.2222222222</v>
      </c>
      <c r="N6" s="81">
        <v>3.0</v>
      </c>
      <c r="O6" s="35"/>
      <c r="P6" s="35"/>
      <c r="Q6" s="71">
        <f t="shared" si="6"/>
        <v>3</v>
      </c>
      <c r="R6" s="79">
        <v>24.0</v>
      </c>
      <c r="S6" s="75">
        <f t="shared" si="7"/>
        <v>0.125</v>
      </c>
      <c r="T6" s="68">
        <f t="shared" si="8"/>
        <v>18</v>
      </c>
      <c r="U6" s="68">
        <f t="shared" si="9"/>
        <v>0</v>
      </c>
      <c r="V6" s="71">
        <f t="shared" si="10"/>
        <v>18</v>
      </c>
      <c r="W6" s="73">
        <f t="shared" si="11"/>
        <v>72</v>
      </c>
      <c r="X6" s="85">
        <f t="shared" si="12"/>
        <v>54</v>
      </c>
      <c r="Y6" s="68">
        <f t="shared" si="13"/>
        <v>4</v>
      </c>
      <c r="Z6" s="68">
        <f t="shared" ref="Z6:AA6" si="16">V6</f>
        <v>18</v>
      </c>
      <c r="AA6" s="68">
        <f t="shared" si="16"/>
        <v>72</v>
      </c>
      <c r="AB6" s="89">
        <f t="shared" si="15"/>
        <v>0.25</v>
      </c>
      <c r="AC6" s="101">
        <v>46286.0</v>
      </c>
      <c r="AD6" s="102" t="s">
        <v>48</v>
      </c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</row>
    <row r="7">
      <c r="A7" s="52" t="s">
        <v>49</v>
      </c>
      <c r="B7" s="105">
        <v>15.0</v>
      </c>
      <c r="C7" s="35"/>
      <c r="D7" s="106"/>
      <c r="E7" s="71">
        <f t="shared" si="2"/>
        <v>15</v>
      </c>
      <c r="F7" s="79">
        <v>38.0</v>
      </c>
      <c r="G7" s="75">
        <f t="shared" si="3"/>
        <v>0.3947368421</v>
      </c>
      <c r="H7" s="81">
        <v>3.0</v>
      </c>
      <c r="I7" s="35"/>
      <c r="J7" s="104"/>
      <c r="K7" s="71">
        <f t="shared" si="4"/>
        <v>3</v>
      </c>
      <c r="L7" s="79">
        <v>44.0</v>
      </c>
      <c r="M7" s="75">
        <f t="shared" si="5"/>
        <v>0.06818181818</v>
      </c>
      <c r="N7" s="81">
        <v>5.0</v>
      </c>
      <c r="O7" s="35"/>
      <c r="P7" s="35"/>
      <c r="Q7" s="71">
        <f t="shared" si="6"/>
        <v>5</v>
      </c>
      <c r="R7" s="79">
        <v>34.0</v>
      </c>
      <c r="S7" s="75">
        <f t="shared" si="7"/>
        <v>0.1470588235</v>
      </c>
      <c r="T7" s="68">
        <f t="shared" si="8"/>
        <v>23</v>
      </c>
      <c r="U7" s="68">
        <f t="shared" si="9"/>
        <v>0</v>
      </c>
      <c r="V7" s="71">
        <f t="shared" si="10"/>
        <v>23</v>
      </c>
      <c r="W7" s="73">
        <f t="shared" si="11"/>
        <v>116</v>
      </c>
      <c r="X7" s="85">
        <f t="shared" si="12"/>
        <v>93</v>
      </c>
      <c r="Y7" s="68">
        <f t="shared" si="13"/>
        <v>7</v>
      </c>
      <c r="Z7" s="68">
        <f t="shared" ref="Z7:AA7" si="17">V7</f>
        <v>23</v>
      </c>
      <c r="AA7" s="68">
        <f t="shared" si="17"/>
        <v>116</v>
      </c>
      <c r="AB7" s="89">
        <f t="shared" si="15"/>
        <v>0.1982758621</v>
      </c>
      <c r="AC7" s="101">
        <v>46286.0</v>
      </c>
      <c r="AD7" s="102" t="s">
        <v>50</v>
      </c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</row>
    <row r="8">
      <c r="A8" s="108" t="s">
        <v>44</v>
      </c>
      <c r="B8" s="109">
        <f t="shared" ref="B8:F8" si="18">sum(B4:B7)</f>
        <v>37</v>
      </c>
      <c r="C8" s="109">
        <f t="shared" si="18"/>
        <v>0</v>
      </c>
      <c r="D8" s="109">
        <f t="shared" si="18"/>
        <v>0</v>
      </c>
      <c r="E8" s="109">
        <f t="shared" si="18"/>
        <v>37</v>
      </c>
      <c r="F8" s="109">
        <f t="shared" si="18"/>
        <v>106</v>
      </c>
      <c r="G8" s="110">
        <f t="shared" si="3"/>
        <v>0.3490566038</v>
      </c>
      <c r="H8" s="109">
        <f>sum(H3:H7)</f>
        <v>26</v>
      </c>
      <c r="I8" s="109">
        <f t="shared" ref="I8:L8" si="19">sum(I4:I7)</f>
        <v>0</v>
      </c>
      <c r="J8" s="109">
        <f t="shared" si="19"/>
        <v>0</v>
      </c>
      <c r="K8" s="109">
        <f t="shared" si="19"/>
        <v>26</v>
      </c>
      <c r="L8" s="109">
        <f t="shared" si="19"/>
        <v>127</v>
      </c>
      <c r="M8" s="110">
        <f t="shared" si="5"/>
        <v>0.2047244094</v>
      </c>
      <c r="N8" s="109">
        <f t="shared" ref="N8:R8" si="20">sum(N4:N7)</f>
        <v>14</v>
      </c>
      <c r="O8" s="109">
        <f t="shared" si="20"/>
        <v>0</v>
      </c>
      <c r="P8" s="109">
        <f t="shared" si="20"/>
        <v>0</v>
      </c>
      <c r="Q8" s="109">
        <f t="shared" si="20"/>
        <v>14</v>
      </c>
      <c r="R8" s="109">
        <f t="shared" si="20"/>
        <v>104</v>
      </c>
      <c r="S8" s="110">
        <f t="shared" si="7"/>
        <v>0.1346153846</v>
      </c>
      <c r="T8" s="109">
        <f t="shared" ref="T8:X8" si="21">sum(T4:T7)</f>
        <v>77</v>
      </c>
      <c r="U8" s="109">
        <f t="shared" si="21"/>
        <v>0</v>
      </c>
      <c r="V8" s="109">
        <f t="shared" si="21"/>
        <v>77</v>
      </c>
      <c r="W8" s="109">
        <f t="shared" si="21"/>
        <v>337</v>
      </c>
      <c r="X8" s="109">
        <f t="shared" si="21"/>
        <v>260</v>
      </c>
      <c r="Y8" s="109">
        <f>round(X8/Y24*7,0)</f>
        <v>20</v>
      </c>
      <c r="Z8" s="109">
        <f t="shared" ref="Z8:AA8" si="22">sum(Z4:Z7)</f>
        <v>77</v>
      </c>
      <c r="AA8" s="109">
        <f t="shared" si="22"/>
        <v>337</v>
      </c>
      <c r="AB8" s="89">
        <f t="shared" si="15"/>
        <v>0.2284866469</v>
      </c>
      <c r="AC8" s="113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</row>
    <row r="9">
      <c r="A9" s="46" t="s">
        <v>52</v>
      </c>
      <c r="B9" s="74">
        <v>12.0</v>
      </c>
      <c r="C9" s="35"/>
      <c r="D9" s="68"/>
      <c r="E9" s="71">
        <f t="shared" ref="E9:E12" si="24">SUM(B9:D9)</f>
        <v>12</v>
      </c>
      <c r="F9" s="79">
        <v>22.0</v>
      </c>
      <c r="G9" s="75">
        <f t="shared" si="3"/>
        <v>0.5454545455</v>
      </c>
      <c r="H9" s="74">
        <v>13.0</v>
      </c>
      <c r="I9" s="35"/>
      <c r="J9" s="68"/>
      <c r="K9" s="71">
        <f t="shared" ref="K9:K12" si="25">SUM(H9:J9)</f>
        <v>13</v>
      </c>
      <c r="L9" s="79">
        <v>25.0</v>
      </c>
      <c r="M9" s="75">
        <f t="shared" si="5"/>
        <v>0.52</v>
      </c>
      <c r="N9" s="74">
        <v>2.0</v>
      </c>
      <c r="O9" s="35"/>
      <c r="P9" s="68"/>
      <c r="Q9" s="71">
        <f t="shared" ref="Q9:Q12" si="26">SUM(N9:P9)</f>
        <v>2</v>
      </c>
      <c r="R9" s="79">
        <v>23.0</v>
      </c>
      <c r="S9" s="75">
        <f t="shared" si="7"/>
        <v>0.08695652174</v>
      </c>
      <c r="T9" s="68">
        <f t="shared" ref="T9:T12" si="27">N9+H9+B9+O9+I9</f>
        <v>27</v>
      </c>
      <c r="U9" s="68">
        <f t="shared" ref="U9:U12" si="28">P9+J9+D9</f>
        <v>0</v>
      </c>
      <c r="V9" s="71">
        <f t="shared" ref="V9:V12" si="29">sum(T9:U9)</f>
        <v>27</v>
      </c>
      <c r="W9" s="73">
        <f t="shared" ref="W9:W12" si="30">F9+L9+R9</f>
        <v>70</v>
      </c>
      <c r="X9" s="85">
        <f t="shared" ref="X9:X12" si="31">W9-V9</f>
        <v>43</v>
      </c>
      <c r="Y9" s="68">
        <f t="shared" ref="Y9:Y12" si="32">round(X9/$Y$24*7,0)</f>
        <v>3</v>
      </c>
      <c r="Z9" s="68">
        <f t="shared" ref="Z9:AA9" si="23">V9</f>
        <v>27</v>
      </c>
      <c r="AA9" s="68">
        <f t="shared" si="23"/>
        <v>70</v>
      </c>
      <c r="AB9" s="89">
        <f t="shared" si="15"/>
        <v>0.3857142857</v>
      </c>
      <c r="AC9" s="117">
        <v>46293.0</v>
      </c>
      <c r="AD9" s="82" t="s">
        <v>56</v>
      </c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</row>
    <row r="10">
      <c r="A10" s="46" t="s">
        <v>51</v>
      </c>
      <c r="B10" s="74">
        <v>7.0</v>
      </c>
      <c r="C10" s="35"/>
      <c r="D10" s="74"/>
      <c r="E10" s="71">
        <f t="shared" si="24"/>
        <v>7</v>
      </c>
      <c r="F10" s="79">
        <v>24.0</v>
      </c>
      <c r="G10" s="75">
        <f t="shared" si="3"/>
        <v>0.2916666667</v>
      </c>
      <c r="H10" s="74">
        <v>9.0</v>
      </c>
      <c r="I10" s="35"/>
      <c r="J10" s="74"/>
      <c r="K10" s="71">
        <f t="shared" si="25"/>
        <v>9</v>
      </c>
      <c r="L10" s="79">
        <v>28.0</v>
      </c>
      <c r="M10" s="75">
        <f t="shared" si="5"/>
        <v>0.3214285714</v>
      </c>
      <c r="N10" s="74">
        <v>5.0</v>
      </c>
      <c r="O10" s="35"/>
      <c r="P10" s="74"/>
      <c r="Q10" s="71">
        <f t="shared" si="26"/>
        <v>5</v>
      </c>
      <c r="R10" s="79">
        <v>25.0</v>
      </c>
      <c r="S10" s="75">
        <f t="shared" si="7"/>
        <v>0.2</v>
      </c>
      <c r="T10" s="68">
        <f t="shared" si="27"/>
        <v>21</v>
      </c>
      <c r="U10" s="68">
        <f t="shared" si="28"/>
        <v>0</v>
      </c>
      <c r="V10" s="71">
        <f t="shared" si="29"/>
        <v>21</v>
      </c>
      <c r="W10" s="73">
        <f t="shared" si="30"/>
        <v>77</v>
      </c>
      <c r="X10" s="85">
        <f t="shared" si="31"/>
        <v>56</v>
      </c>
      <c r="Y10" s="68">
        <f t="shared" si="32"/>
        <v>4</v>
      </c>
      <c r="Z10" s="68">
        <f t="shared" ref="Z10:AA10" si="33">V10</f>
        <v>21</v>
      </c>
      <c r="AA10" s="68">
        <f t="shared" si="33"/>
        <v>77</v>
      </c>
      <c r="AB10" s="89">
        <f t="shared" si="15"/>
        <v>0.2727272727</v>
      </c>
      <c r="AC10" s="119">
        <v>46293.0</v>
      </c>
      <c r="AD10" s="37" t="s">
        <v>56</v>
      </c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</row>
    <row r="11">
      <c r="A11" s="46" t="s">
        <v>47</v>
      </c>
      <c r="B11" s="74">
        <v>13.0</v>
      </c>
      <c r="C11" s="35"/>
      <c r="D11" s="68"/>
      <c r="E11" s="71">
        <f t="shared" si="24"/>
        <v>13</v>
      </c>
      <c r="F11" s="79">
        <v>24.0</v>
      </c>
      <c r="G11" s="75">
        <f t="shared" si="3"/>
        <v>0.5416666667</v>
      </c>
      <c r="H11" s="74">
        <v>8.0</v>
      </c>
      <c r="I11" s="35"/>
      <c r="J11" s="68"/>
      <c r="K11" s="71">
        <f t="shared" si="25"/>
        <v>8</v>
      </c>
      <c r="L11" s="79">
        <v>27.0</v>
      </c>
      <c r="M11" s="75">
        <f t="shared" si="5"/>
        <v>0.2962962963</v>
      </c>
      <c r="N11" s="74">
        <v>4.0</v>
      </c>
      <c r="O11" s="35"/>
      <c r="P11" s="68"/>
      <c r="Q11" s="71">
        <f t="shared" si="26"/>
        <v>4</v>
      </c>
      <c r="R11" s="79">
        <v>27.0</v>
      </c>
      <c r="S11" s="75">
        <f t="shared" si="7"/>
        <v>0.1481481481</v>
      </c>
      <c r="T11" s="68">
        <f t="shared" si="27"/>
        <v>25</v>
      </c>
      <c r="U11" s="68">
        <f t="shared" si="28"/>
        <v>0</v>
      </c>
      <c r="V11" s="71">
        <f t="shared" si="29"/>
        <v>25</v>
      </c>
      <c r="W11" s="73">
        <f t="shared" si="30"/>
        <v>78</v>
      </c>
      <c r="X11" s="85">
        <f t="shared" si="31"/>
        <v>53</v>
      </c>
      <c r="Y11" s="68">
        <f t="shared" si="32"/>
        <v>4</v>
      </c>
      <c r="Z11" s="68">
        <f t="shared" ref="Z11:AA11" si="34">V11</f>
        <v>25</v>
      </c>
      <c r="AA11" s="68">
        <f t="shared" si="34"/>
        <v>78</v>
      </c>
      <c r="AB11" s="89">
        <f t="shared" si="15"/>
        <v>0.3205128205</v>
      </c>
      <c r="AC11" s="119">
        <v>46293.0</v>
      </c>
      <c r="AD11" s="37" t="s">
        <v>56</v>
      </c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</row>
    <row r="12">
      <c r="A12" s="46" t="s">
        <v>53</v>
      </c>
      <c r="B12" s="74">
        <v>17.0</v>
      </c>
      <c r="C12" s="35"/>
      <c r="D12" s="68"/>
      <c r="E12" s="71">
        <f t="shared" si="24"/>
        <v>17</v>
      </c>
      <c r="F12" s="79">
        <v>40.0</v>
      </c>
      <c r="G12" s="75">
        <f t="shared" si="3"/>
        <v>0.425</v>
      </c>
      <c r="H12" s="74">
        <v>8.0</v>
      </c>
      <c r="I12" s="35"/>
      <c r="J12" s="68"/>
      <c r="K12" s="71">
        <f t="shared" si="25"/>
        <v>8</v>
      </c>
      <c r="L12" s="79">
        <v>46.0</v>
      </c>
      <c r="M12" s="75">
        <f t="shared" si="5"/>
        <v>0.1739130435</v>
      </c>
      <c r="N12" s="74">
        <v>1.0</v>
      </c>
      <c r="O12" s="35"/>
      <c r="P12" s="68"/>
      <c r="Q12" s="71">
        <f t="shared" si="26"/>
        <v>1</v>
      </c>
      <c r="R12" s="79">
        <v>40.0</v>
      </c>
      <c r="S12" s="75">
        <f t="shared" si="7"/>
        <v>0.025</v>
      </c>
      <c r="T12" s="68">
        <f t="shared" si="27"/>
        <v>26</v>
      </c>
      <c r="U12" s="68">
        <f t="shared" si="28"/>
        <v>0</v>
      </c>
      <c r="V12" s="71">
        <f t="shared" si="29"/>
        <v>26</v>
      </c>
      <c r="W12" s="73">
        <f t="shared" si="30"/>
        <v>126</v>
      </c>
      <c r="X12" s="85">
        <f t="shared" si="31"/>
        <v>100</v>
      </c>
      <c r="Y12" s="68">
        <f t="shared" si="32"/>
        <v>8</v>
      </c>
      <c r="Z12" s="68">
        <f t="shared" ref="Z12:AA12" si="35">V12</f>
        <v>26</v>
      </c>
      <c r="AA12" s="68">
        <f t="shared" si="35"/>
        <v>126</v>
      </c>
      <c r="AB12" s="89">
        <f t="shared" si="15"/>
        <v>0.2063492063</v>
      </c>
      <c r="AC12" s="91">
        <v>46293.0</v>
      </c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</row>
    <row r="13">
      <c r="A13" s="94" t="s">
        <v>54</v>
      </c>
      <c r="B13" s="109">
        <f t="shared" ref="B13:F13" si="36">sum(B9:B12)</f>
        <v>49</v>
      </c>
      <c r="C13" s="109">
        <f t="shared" si="36"/>
        <v>0</v>
      </c>
      <c r="D13" s="109">
        <f t="shared" si="36"/>
        <v>0</v>
      </c>
      <c r="E13" s="109">
        <f t="shared" si="36"/>
        <v>49</v>
      </c>
      <c r="F13" s="109">
        <f t="shared" si="36"/>
        <v>110</v>
      </c>
      <c r="G13" s="110">
        <f t="shared" si="3"/>
        <v>0.4454545455</v>
      </c>
      <c r="H13" s="109">
        <f t="shared" ref="H13:L13" si="37">sum(H9:H12)</f>
        <v>38</v>
      </c>
      <c r="I13" s="109">
        <f t="shared" si="37"/>
        <v>0</v>
      </c>
      <c r="J13" s="109">
        <f t="shared" si="37"/>
        <v>0</v>
      </c>
      <c r="K13" s="109">
        <f t="shared" si="37"/>
        <v>38</v>
      </c>
      <c r="L13" s="109">
        <f t="shared" si="37"/>
        <v>126</v>
      </c>
      <c r="M13" s="110">
        <f t="shared" si="5"/>
        <v>0.3015873016</v>
      </c>
      <c r="N13" s="109">
        <f t="shared" ref="N13:R13" si="38">sum(N9:N12)</f>
        <v>12</v>
      </c>
      <c r="O13" s="109">
        <f t="shared" si="38"/>
        <v>0</v>
      </c>
      <c r="P13" s="109">
        <f t="shared" si="38"/>
        <v>0</v>
      </c>
      <c r="Q13" s="109">
        <f t="shared" si="38"/>
        <v>12</v>
      </c>
      <c r="R13" s="109">
        <f t="shared" si="38"/>
        <v>115</v>
      </c>
      <c r="S13" s="110">
        <f t="shared" si="7"/>
        <v>0.1043478261</v>
      </c>
      <c r="T13" s="109">
        <f t="shared" ref="T13:X13" si="39">sum(T9:T12)</f>
        <v>99</v>
      </c>
      <c r="U13" s="109">
        <f t="shared" si="39"/>
        <v>0</v>
      </c>
      <c r="V13" s="109">
        <f t="shared" si="39"/>
        <v>99</v>
      </c>
      <c r="W13" s="109">
        <f t="shared" si="39"/>
        <v>351</v>
      </c>
      <c r="X13" s="109">
        <f t="shared" si="39"/>
        <v>252</v>
      </c>
      <c r="Y13" s="109">
        <f>round(X13/Y24*7,0)</f>
        <v>19</v>
      </c>
      <c r="Z13" s="109">
        <f t="shared" ref="Z13:AA13" si="40">sum(Z9:Z12)</f>
        <v>99</v>
      </c>
      <c r="AA13" s="109">
        <f t="shared" si="40"/>
        <v>351</v>
      </c>
      <c r="AB13" s="89">
        <f t="shared" si="15"/>
        <v>0.2820512821</v>
      </c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</row>
    <row r="14">
      <c r="A14" s="52" t="s">
        <v>55</v>
      </c>
      <c r="B14" s="82">
        <v>10.0</v>
      </c>
      <c r="C14" s="35"/>
      <c r="D14" s="82">
        <v>1.0</v>
      </c>
      <c r="E14" s="71">
        <f t="shared" ref="E14:E16" si="42">SUM(B14:D14)</f>
        <v>11</v>
      </c>
      <c r="F14" s="79">
        <v>27.0</v>
      </c>
      <c r="G14" s="75">
        <f t="shared" si="3"/>
        <v>0.4074074074</v>
      </c>
      <c r="H14" s="82">
        <v>4.0</v>
      </c>
      <c r="I14" s="35"/>
      <c r="J14" s="104"/>
      <c r="K14" s="71">
        <f t="shared" ref="K14:K16" si="43">SUM(H14:J14)</f>
        <v>4</v>
      </c>
      <c r="L14" s="79">
        <v>31.0</v>
      </c>
      <c r="M14" s="75">
        <f t="shared" si="5"/>
        <v>0.1290322581</v>
      </c>
      <c r="N14" s="82">
        <v>3.0</v>
      </c>
      <c r="O14" s="35"/>
      <c r="P14" s="104"/>
      <c r="Q14" s="71">
        <f t="shared" ref="Q14:Q16" si="44">SUM(N14:P14)</f>
        <v>3</v>
      </c>
      <c r="R14" s="79">
        <v>29.0</v>
      </c>
      <c r="S14" s="75">
        <f t="shared" si="7"/>
        <v>0.1034482759</v>
      </c>
      <c r="T14" s="68">
        <f t="shared" ref="T14:T16" si="45">N14+H14+B14+O14+I14</f>
        <v>17</v>
      </c>
      <c r="U14" s="68">
        <f t="shared" ref="U14:U16" si="46">P14+J14+D14</f>
        <v>1</v>
      </c>
      <c r="V14" s="71">
        <f t="shared" ref="V14:V16" si="47">sum(T14:U14)</f>
        <v>18</v>
      </c>
      <c r="W14" s="73">
        <f t="shared" ref="W14:W16" si="48">F14+L14+R14</f>
        <v>87</v>
      </c>
      <c r="X14" s="85">
        <f t="shared" ref="X14:X16" si="49">W14-V14</f>
        <v>69</v>
      </c>
      <c r="Y14" s="68">
        <f t="shared" ref="Y14:Y16" si="50">round(X14/$Y$24*7,0)</f>
        <v>5</v>
      </c>
      <c r="Z14" s="68">
        <f t="shared" ref="Z14:AA14" si="41">V14</f>
        <v>18</v>
      </c>
      <c r="AA14" s="68">
        <f t="shared" si="41"/>
        <v>87</v>
      </c>
      <c r="AB14" s="89">
        <f t="shared" si="15"/>
        <v>0.2068965517</v>
      </c>
      <c r="AC14" s="91">
        <v>46286.0</v>
      </c>
      <c r="AD14" s="82" t="s">
        <v>43</v>
      </c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</row>
    <row r="15">
      <c r="A15" s="52" t="s">
        <v>57</v>
      </c>
      <c r="B15" s="68">
        <v>17.0</v>
      </c>
      <c r="C15" s="35"/>
      <c r="D15" s="68">
        <v>3.0</v>
      </c>
      <c r="E15" s="71">
        <f t="shared" si="42"/>
        <v>20</v>
      </c>
      <c r="F15" s="79">
        <v>25.0</v>
      </c>
      <c r="G15" s="75">
        <f t="shared" si="3"/>
        <v>0.8</v>
      </c>
      <c r="H15" s="81">
        <v>17.0</v>
      </c>
      <c r="I15" s="35"/>
      <c r="J15" s="68">
        <v>3.0</v>
      </c>
      <c r="K15" s="71">
        <f t="shared" si="43"/>
        <v>20</v>
      </c>
      <c r="L15" s="79">
        <v>32.0</v>
      </c>
      <c r="M15" s="75">
        <f t="shared" si="5"/>
        <v>0.625</v>
      </c>
      <c r="N15" s="81">
        <v>9.0</v>
      </c>
      <c r="O15" s="35"/>
      <c r="P15" s="81">
        <v>1.0</v>
      </c>
      <c r="Q15" s="71">
        <f t="shared" si="44"/>
        <v>10</v>
      </c>
      <c r="R15" s="79">
        <v>31.0</v>
      </c>
      <c r="S15" s="75">
        <f t="shared" si="7"/>
        <v>0.3225806452</v>
      </c>
      <c r="T15" s="68">
        <f t="shared" si="45"/>
        <v>43</v>
      </c>
      <c r="U15" s="68">
        <f t="shared" si="46"/>
        <v>7</v>
      </c>
      <c r="V15" s="71">
        <f t="shared" si="47"/>
        <v>50</v>
      </c>
      <c r="W15" s="73">
        <f t="shared" si="48"/>
        <v>88</v>
      </c>
      <c r="X15" s="85">
        <f t="shared" si="49"/>
        <v>38</v>
      </c>
      <c r="Y15" s="68">
        <f t="shared" si="50"/>
        <v>3</v>
      </c>
      <c r="Z15" s="68">
        <f t="shared" ref="Z15:AA15" si="51">V15</f>
        <v>50</v>
      </c>
      <c r="AA15" s="68">
        <f t="shared" si="51"/>
        <v>88</v>
      </c>
      <c r="AB15" s="89">
        <f t="shared" si="15"/>
        <v>0.5681818182</v>
      </c>
      <c r="AC15" s="101">
        <v>46286.0</v>
      </c>
      <c r="AD15" s="102" t="s">
        <v>61</v>
      </c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</row>
    <row r="16">
      <c r="A16" s="52" t="s">
        <v>58</v>
      </c>
      <c r="B16" s="68">
        <v>3.0</v>
      </c>
      <c r="C16" s="35"/>
      <c r="D16" s="35"/>
      <c r="E16" s="71">
        <f t="shared" si="42"/>
        <v>3</v>
      </c>
      <c r="F16" s="79">
        <v>9.0</v>
      </c>
      <c r="G16" s="75">
        <f t="shared" si="3"/>
        <v>0.3333333333</v>
      </c>
      <c r="H16" s="81">
        <v>3.0</v>
      </c>
      <c r="I16" s="35"/>
      <c r="J16" s="35"/>
      <c r="K16" s="71">
        <f t="shared" si="43"/>
        <v>3</v>
      </c>
      <c r="L16" s="79">
        <v>8.0</v>
      </c>
      <c r="M16" s="75">
        <f t="shared" si="5"/>
        <v>0.375</v>
      </c>
      <c r="N16" s="81">
        <v>1.0</v>
      </c>
      <c r="O16" s="35"/>
      <c r="P16" s="35"/>
      <c r="Q16" s="71">
        <f t="shared" si="44"/>
        <v>1</v>
      </c>
      <c r="R16" s="79">
        <v>10.0</v>
      </c>
      <c r="S16" s="75">
        <f t="shared" si="7"/>
        <v>0.1</v>
      </c>
      <c r="T16" s="68">
        <f t="shared" si="45"/>
        <v>7</v>
      </c>
      <c r="U16" s="68">
        <f t="shared" si="46"/>
        <v>0</v>
      </c>
      <c r="V16" s="71">
        <f t="shared" si="47"/>
        <v>7</v>
      </c>
      <c r="W16" s="73">
        <f t="shared" si="48"/>
        <v>27</v>
      </c>
      <c r="X16" s="85">
        <f t="shared" si="49"/>
        <v>20</v>
      </c>
      <c r="Y16" s="68">
        <f t="shared" si="50"/>
        <v>2</v>
      </c>
      <c r="Z16" s="68">
        <f t="shared" ref="Z16:AA16" si="52">V16</f>
        <v>7</v>
      </c>
      <c r="AA16" s="68">
        <f t="shared" si="52"/>
        <v>27</v>
      </c>
      <c r="AB16" s="89">
        <f t="shared" si="15"/>
        <v>0.2592592593</v>
      </c>
      <c r="AC16" s="101">
        <v>46286.0</v>
      </c>
      <c r="AD16" s="102" t="s">
        <v>62</v>
      </c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</row>
    <row r="17">
      <c r="A17" s="108" t="s">
        <v>59</v>
      </c>
      <c r="B17" s="109">
        <f t="shared" ref="B17:F17" si="53">sum(B14:B16)</f>
        <v>30</v>
      </c>
      <c r="C17" s="109">
        <f t="shared" si="53"/>
        <v>0</v>
      </c>
      <c r="D17" s="109">
        <f t="shared" si="53"/>
        <v>4</v>
      </c>
      <c r="E17" s="109">
        <f t="shared" si="53"/>
        <v>34</v>
      </c>
      <c r="F17" s="109">
        <f t="shared" si="53"/>
        <v>61</v>
      </c>
      <c r="G17" s="110">
        <f t="shared" si="3"/>
        <v>0.5573770492</v>
      </c>
      <c r="H17" s="109">
        <f t="shared" ref="H17:L17" si="54">sum(H14:H16)</f>
        <v>24</v>
      </c>
      <c r="I17" s="109">
        <f t="shared" si="54"/>
        <v>0</v>
      </c>
      <c r="J17" s="109">
        <f t="shared" si="54"/>
        <v>3</v>
      </c>
      <c r="K17" s="109">
        <f t="shared" si="54"/>
        <v>27</v>
      </c>
      <c r="L17" s="109">
        <f t="shared" si="54"/>
        <v>71</v>
      </c>
      <c r="M17" s="110">
        <f t="shared" si="5"/>
        <v>0.3802816901</v>
      </c>
      <c r="N17" s="109">
        <f t="shared" ref="N17:R17" si="55">sum(N14:N16)</f>
        <v>13</v>
      </c>
      <c r="O17" s="109">
        <f t="shared" si="55"/>
        <v>0</v>
      </c>
      <c r="P17" s="109">
        <f t="shared" si="55"/>
        <v>1</v>
      </c>
      <c r="Q17" s="109">
        <f t="shared" si="55"/>
        <v>14</v>
      </c>
      <c r="R17" s="109">
        <f t="shared" si="55"/>
        <v>70</v>
      </c>
      <c r="S17" s="110">
        <f t="shared" si="7"/>
        <v>0.2</v>
      </c>
      <c r="T17" s="109">
        <f t="shared" ref="T17:X17" si="56">sum(T14:T16)</f>
        <v>67</v>
      </c>
      <c r="U17" s="109">
        <f t="shared" si="56"/>
        <v>8</v>
      </c>
      <c r="V17" s="109">
        <f t="shared" si="56"/>
        <v>75</v>
      </c>
      <c r="W17" s="109">
        <f t="shared" si="56"/>
        <v>202</v>
      </c>
      <c r="X17" s="109">
        <f t="shared" si="56"/>
        <v>127</v>
      </c>
      <c r="Y17" s="109">
        <f>round(X17/Y24*7,0)</f>
        <v>10</v>
      </c>
      <c r="Z17" s="109">
        <f t="shared" ref="Z17:AA17" si="57">sum(Z14:Z16)</f>
        <v>75</v>
      </c>
      <c r="AA17" s="109">
        <f t="shared" si="57"/>
        <v>202</v>
      </c>
      <c r="AB17" s="89">
        <f t="shared" si="15"/>
        <v>0.3712871287</v>
      </c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</row>
    <row r="18">
      <c r="A18" s="52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133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</row>
    <row r="19">
      <c r="A19" s="52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133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</row>
    <row r="20">
      <c r="A20" s="134" t="s">
        <v>13</v>
      </c>
      <c r="B20" s="135">
        <f t="shared" ref="B20:F20" si="58">SUM(B8+B13+B17)</f>
        <v>116</v>
      </c>
      <c r="C20" s="135">
        <f t="shared" si="58"/>
        <v>0</v>
      </c>
      <c r="D20" s="135">
        <f t="shared" si="58"/>
        <v>4</v>
      </c>
      <c r="E20" s="135">
        <f t="shared" si="58"/>
        <v>120</v>
      </c>
      <c r="F20" s="135">
        <f t="shared" si="58"/>
        <v>277</v>
      </c>
      <c r="G20" s="136">
        <f>E20/F20</f>
        <v>0.4332129964</v>
      </c>
      <c r="H20" s="135">
        <f t="shared" ref="H20:L20" si="59">SUM(H8+H13+H17)</f>
        <v>88</v>
      </c>
      <c r="I20" s="135">
        <f t="shared" si="59"/>
        <v>0</v>
      </c>
      <c r="J20" s="135">
        <f t="shared" si="59"/>
        <v>3</v>
      </c>
      <c r="K20" s="135">
        <f t="shared" si="59"/>
        <v>91</v>
      </c>
      <c r="L20" s="135">
        <f t="shared" si="59"/>
        <v>324</v>
      </c>
      <c r="M20" s="136">
        <f>K20/L20</f>
        <v>0.2808641975</v>
      </c>
      <c r="N20" s="135">
        <f t="shared" ref="N20:R20" si="60">SUM(N8+N13+N17)</f>
        <v>39</v>
      </c>
      <c r="O20" s="135">
        <f t="shared" si="60"/>
        <v>0</v>
      </c>
      <c r="P20" s="135">
        <f t="shared" si="60"/>
        <v>1</v>
      </c>
      <c r="Q20" s="135">
        <f t="shared" si="60"/>
        <v>40</v>
      </c>
      <c r="R20" s="135">
        <f t="shared" si="60"/>
        <v>289</v>
      </c>
      <c r="S20" s="136">
        <f>Q20/R20</f>
        <v>0.1384083045</v>
      </c>
      <c r="T20" s="135">
        <f t="shared" ref="T20:X20" si="61">SUM(T8+T13+T17)</f>
        <v>243</v>
      </c>
      <c r="U20" s="135">
        <f t="shared" si="61"/>
        <v>8</v>
      </c>
      <c r="V20" s="135">
        <f t="shared" si="61"/>
        <v>251</v>
      </c>
      <c r="W20" s="135">
        <f t="shared" si="61"/>
        <v>890</v>
      </c>
      <c r="X20" s="135">
        <f t="shared" si="61"/>
        <v>639</v>
      </c>
      <c r="Y20" s="135">
        <f>round(X20/Y24*7,0)</f>
        <v>49</v>
      </c>
      <c r="Z20" s="135">
        <f t="shared" ref="Z20:AA20" si="62">Z8+Z13+Z17</f>
        <v>251</v>
      </c>
      <c r="AA20" s="135">
        <f t="shared" si="62"/>
        <v>890</v>
      </c>
      <c r="AB20" s="142">
        <f>Z20/AA20</f>
        <v>0.2820224719</v>
      </c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</row>
    <row r="2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</row>
    <row r="22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145">
        <v>46387.0</v>
      </c>
      <c r="Z22" s="35"/>
      <c r="AA22" s="68">
        <f>Z17-AA17</f>
        <v>-127</v>
      </c>
      <c r="AB22" s="35"/>
      <c r="AC22" s="147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</row>
    <row r="23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82"/>
      <c r="W23" s="35"/>
      <c r="X23" s="35"/>
      <c r="Y23" s="148">
        <f>today()</f>
        <v>46295</v>
      </c>
      <c r="Z23" s="35"/>
      <c r="AA23" s="35"/>
      <c r="AB23" s="35"/>
      <c r="AC23" s="147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</row>
    <row r="24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68">
        <f>Y22-Y23</f>
        <v>92</v>
      </c>
      <c r="Z24" s="35"/>
      <c r="AA24" s="35"/>
      <c r="AB24" s="35"/>
      <c r="AC24" s="147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</row>
    <row r="25">
      <c r="A25" s="149" t="s">
        <v>63</v>
      </c>
      <c r="B25" s="151"/>
      <c r="C25" s="151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2"/>
      <c r="S25" s="31" t="s">
        <v>2</v>
      </c>
      <c r="T25" s="34" t="s">
        <v>3</v>
      </c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>
      <c r="A26" s="24"/>
      <c r="B26" s="53" t="s">
        <v>29</v>
      </c>
      <c r="C26" s="15"/>
      <c r="D26" s="15"/>
      <c r="E26" s="15"/>
      <c r="F26" s="29"/>
      <c r="G26" s="29"/>
      <c r="H26" s="55" t="s">
        <v>30</v>
      </c>
      <c r="I26" s="15"/>
      <c r="J26" s="15"/>
      <c r="K26" s="15"/>
      <c r="L26" s="15"/>
      <c r="M26" s="29"/>
      <c r="N26" s="55" t="s">
        <v>32</v>
      </c>
      <c r="O26" s="15"/>
      <c r="P26" s="15"/>
      <c r="Q26" s="15"/>
      <c r="R26" s="1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>
      <c r="A27" s="39"/>
      <c r="B27" s="49" t="s">
        <v>64</v>
      </c>
      <c r="C27" s="49" t="s">
        <v>65</v>
      </c>
      <c r="D27" s="49" t="s">
        <v>26</v>
      </c>
      <c r="E27" s="49" t="s">
        <v>66</v>
      </c>
      <c r="F27" s="49" t="s">
        <v>64</v>
      </c>
      <c r="G27" s="49" t="s">
        <v>65</v>
      </c>
      <c r="H27" s="49" t="s">
        <v>26</v>
      </c>
      <c r="I27" s="49" t="s">
        <v>66</v>
      </c>
      <c r="J27" s="49" t="s">
        <v>64</v>
      </c>
      <c r="K27" s="49" t="s">
        <v>65</v>
      </c>
      <c r="L27" s="49" t="s">
        <v>26</v>
      </c>
      <c r="M27" s="49" t="s">
        <v>66</v>
      </c>
      <c r="N27" s="49"/>
      <c r="O27" s="49" t="s">
        <v>64</v>
      </c>
      <c r="P27" s="49" t="s">
        <v>65</v>
      </c>
      <c r="Q27" s="49" t="s">
        <v>26</v>
      </c>
      <c r="R27" s="56" t="s">
        <v>66</v>
      </c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</row>
    <row r="28">
      <c r="A28" s="156" t="s">
        <v>22</v>
      </c>
      <c r="B28" s="48">
        <v>0.0</v>
      </c>
      <c r="C28" s="48">
        <v>0.0</v>
      </c>
      <c r="D28" s="70">
        <f>SUM(B28:C28)</f>
        <v>0</v>
      </c>
      <c r="E28" s="72"/>
      <c r="F28" s="158">
        <v>0.0</v>
      </c>
      <c r="G28" s="48">
        <v>0.0</v>
      </c>
      <c r="H28" s="70">
        <f>SUM(F28:G28)</f>
        <v>0</v>
      </c>
      <c r="I28" s="72"/>
      <c r="J28" s="158">
        <v>0.0</v>
      </c>
      <c r="K28" s="158">
        <v>0.0</v>
      </c>
      <c r="L28" s="70">
        <f>J28+K28</f>
        <v>0</v>
      </c>
      <c r="M28" s="72"/>
      <c r="N28" s="83"/>
      <c r="O28" s="84">
        <f t="shared" ref="O28:P28" si="63">J28+F28+B28</f>
        <v>0</v>
      </c>
      <c r="P28" s="84">
        <f t="shared" si="63"/>
        <v>0</v>
      </c>
      <c r="Q28" s="70">
        <f>P28+O28</f>
        <v>0</v>
      </c>
      <c r="R28" s="86">
        <f>M28+I28+E28</f>
        <v>0</v>
      </c>
      <c r="S28" s="159"/>
      <c r="T28" s="82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>
      <c r="A29" s="161" t="s">
        <v>44</v>
      </c>
      <c r="B29" s="95">
        <f t="shared" ref="B29:M29" si="64">sum(B28)</f>
        <v>0</v>
      </c>
      <c r="C29" s="95">
        <f t="shared" si="64"/>
        <v>0</v>
      </c>
      <c r="D29" s="95">
        <f t="shared" si="64"/>
        <v>0</v>
      </c>
      <c r="E29" s="95">
        <f t="shared" si="64"/>
        <v>0</v>
      </c>
      <c r="F29" s="95">
        <f t="shared" si="64"/>
        <v>0</v>
      </c>
      <c r="G29" s="95">
        <f t="shared" si="64"/>
        <v>0</v>
      </c>
      <c r="H29" s="95">
        <f t="shared" si="64"/>
        <v>0</v>
      </c>
      <c r="I29" s="95">
        <f t="shared" si="64"/>
        <v>0</v>
      </c>
      <c r="J29" s="95">
        <f t="shared" si="64"/>
        <v>0</v>
      </c>
      <c r="K29" s="95">
        <f t="shared" si="64"/>
        <v>0</v>
      </c>
      <c r="L29" s="95">
        <f t="shared" si="64"/>
        <v>0</v>
      </c>
      <c r="M29" s="95">
        <f t="shared" si="64"/>
        <v>0</v>
      </c>
      <c r="N29" s="83"/>
      <c r="O29" s="95">
        <f t="shared" ref="O29:R29" si="65">sum(O28)</f>
        <v>0</v>
      </c>
      <c r="P29" s="95">
        <f t="shared" si="65"/>
        <v>0</v>
      </c>
      <c r="Q29" s="95">
        <f t="shared" si="65"/>
        <v>0</v>
      </c>
      <c r="R29" s="115">
        <f t="shared" si="65"/>
        <v>0</v>
      </c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</row>
    <row r="30">
      <c r="A30" s="156" t="s">
        <v>51</v>
      </c>
      <c r="B30" s="48">
        <v>0.0</v>
      </c>
      <c r="C30" s="84">
        <v>0.0</v>
      </c>
      <c r="D30" s="70">
        <f>SUM(B30:C30)</f>
        <v>0</v>
      </c>
      <c r="E30" s="72"/>
      <c r="F30" s="158">
        <v>0.0</v>
      </c>
      <c r="G30" s="84">
        <v>0.0</v>
      </c>
      <c r="H30" s="70">
        <f>SUM(F30:G30)</f>
        <v>0</v>
      </c>
      <c r="I30" s="72"/>
      <c r="J30" s="158">
        <v>0.0</v>
      </c>
      <c r="K30" s="158">
        <v>0.0</v>
      </c>
      <c r="L30" s="70">
        <f>K30+J30</f>
        <v>0</v>
      </c>
      <c r="M30" s="72"/>
      <c r="N30" s="83"/>
      <c r="O30" s="84">
        <f>J30+F30+B30</f>
        <v>0</v>
      </c>
      <c r="P30" s="84">
        <f>C30+G30+K30</f>
        <v>0</v>
      </c>
      <c r="Q30" s="70">
        <f>P30+O30</f>
        <v>0</v>
      </c>
      <c r="R30" s="86">
        <f>M30+I30+E30</f>
        <v>0</v>
      </c>
      <c r="S30" s="91"/>
      <c r="T30" s="74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</row>
    <row r="31">
      <c r="A31" s="161" t="s">
        <v>54</v>
      </c>
      <c r="B31" s="95">
        <f t="shared" ref="B31:M31" si="66">sum(B30)</f>
        <v>0</v>
      </c>
      <c r="C31" s="95">
        <f t="shared" si="66"/>
        <v>0</v>
      </c>
      <c r="D31" s="95">
        <f t="shared" si="66"/>
        <v>0</v>
      </c>
      <c r="E31" s="95">
        <f t="shared" si="66"/>
        <v>0</v>
      </c>
      <c r="F31" s="95">
        <f t="shared" si="66"/>
        <v>0</v>
      </c>
      <c r="G31" s="95">
        <f t="shared" si="66"/>
        <v>0</v>
      </c>
      <c r="H31" s="95">
        <f t="shared" si="66"/>
        <v>0</v>
      </c>
      <c r="I31" s="95">
        <f t="shared" si="66"/>
        <v>0</v>
      </c>
      <c r="J31" s="95">
        <f t="shared" si="66"/>
        <v>0</v>
      </c>
      <c r="K31" s="95">
        <f t="shared" si="66"/>
        <v>0</v>
      </c>
      <c r="L31" s="95">
        <f t="shared" si="66"/>
        <v>0</v>
      </c>
      <c r="M31" s="95">
        <f t="shared" si="66"/>
        <v>0</v>
      </c>
      <c r="N31" s="83"/>
      <c r="O31" s="95">
        <f t="shared" ref="O31:R31" si="67">sum(O30)</f>
        <v>0</v>
      </c>
      <c r="P31" s="95">
        <f t="shared" si="67"/>
        <v>0</v>
      </c>
      <c r="Q31" s="95">
        <f t="shared" si="67"/>
        <v>0</v>
      </c>
      <c r="R31" s="115">
        <f t="shared" si="67"/>
        <v>0</v>
      </c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</row>
    <row r="32">
      <c r="A32" s="156" t="s">
        <v>55</v>
      </c>
      <c r="B32" s="48">
        <v>0.0</v>
      </c>
      <c r="C32" s="84">
        <v>0.0</v>
      </c>
      <c r="D32" s="70">
        <f t="shared" ref="D32:D33" si="69">SUM(B32:C32)</f>
        <v>0</v>
      </c>
      <c r="E32" s="72"/>
      <c r="F32" s="158">
        <v>0.0</v>
      </c>
      <c r="G32" s="84">
        <v>0.0</v>
      </c>
      <c r="H32" s="70">
        <f t="shared" ref="H32:H33" si="70">SUM(F32:G32)</f>
        <v>0</v>
      </c>
      <c r="I32" s="72"/>
      <c r="J32" s="158">
        <v>0.0</v>
      </c>
      <c r="K32" s="158">
        <v>0.0</v>
      </c>
      <c r="L32" s="70">
        <f t="shared" ref="L32:L33" si="71">K32+J32</f>
        <v>0</v>
      </c>
      <c r="M32" s="72"/>
      <c r="N32" s="83"/>
      <c r="O32" s="84">
        <f t="shared" ref="O32:P32" si="68">J32+F32+B32</f>
        <v>0</v>
      </c>
      <c r="P32" s="84">
        <f t="shared" si="68"/>
        <v>0</v>
      </c>
      <c r="Q32" s="70">
        <f t="shared" ref="Q32:Q33" si="73">P32+O32</f>
        <v>0</v>
      </c>
      <c r="R32" s="86">
        <f t="shared" ref="R32:R33" si="74">M32+I32+E32</f>
        <v>0</v>
      </c>
      <c r="S32" s="91"/>
      <c r="T32" s="82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>
      <c r="A33" s="156" t="s">
        <v>57</v>
      </c>
      <c r="B33" s="48">
        <v>0.0</v>
      </c>
      <c r="C33" s="84">
        <v>0.0</v>
      </c>
      <c r="D33" s="70">
        <f t="shared" si="69"/>
        <v>0</v>
      </c>
      <c r="E33" s="72"/>
      <c r="F33" s="158">
        <v>0.0</v>
      </c>
      <c r="G33" s="84">
        <v>0.0</v>
      </c>
      <c r="H33" s="70">
        <f t="shared" si="70"/>
        <v>0</v>
      </c>
      <c r="I33" s="72"/>
      <c r="J33" s="158">
        <v>0.0</v>
      </c>
      <c r="K33" s="158">
        <v>0.0</v>
      </c>
      <c r="L33" s="70">
        <f t="shared" si="71"/>
        <v>0</v>
      </c>
      <c r="M33" s="72"/>
      <c r="N33" s="83"/>
      <c r="O33" s="84">
        <f t="shared" ref="O33:P33" si="72">J33+F33+B33</f>
        <v>0</v>
      </c>
      <c r="P33" s="84">
        <f t="shared" si="72"/>
        <v>0</v>
      </c>
      <c r="Q33" s="70">
        <f t="shared" si="73"/>
        <v>0</v>
      </c>
      <c r="R33" s="86">
        <f t="shared" si="74"/>
        <v>0</v>
      </c>
      <c r="S33" s="91"/>
      <c r="T33" s="82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>
      <c r="A34" s="161" t="s">
        <v>59</v>
      </c>
      <c r="B34" s="95">
        <f t="shared" ref="B34:M34" si="75">sum(B32+B33)</f>
        <v>0</v>
      </c>
      <c r="C34" s="95">
        <f t="shared" si="75"/>
        <v>0</v>
      </c>
      <c r="D34" s="95">
        <f t="shared" si="75"/>
        <v>0</v>
      </c>
      <c r="E34" s="95">
        <f t="shared" si="75"/>
        <v>0</v>
      </c>
      <c r="F34" s="95">
        <f t="shared" si="75"/>
        <v>0</v>
      </c>
      <c r="G34" s="95">
        <f t="shared" si="75"/>
        <v>0</v>
      </c>
      <c r="H34" s="95">
        <f t="shared" si="75"/>
        <v>0</v>
      </c>
      <c r="I34" s="95">
        <f t="shared" si="75"/>
        <v>0</v>
      </c>
      <c r="J34" s="95">
        <f t="shared" si="75"/>
        <v>0</v>
      </c>
      <c r="K34" s="95">
        <f t="shared" si="75"/>
        <v>0</v>
      </c>
      <c r="L34" s="95">
        <f t="shared" si="75"/>
        <v>0</v>
      </c>
      <c r="M34" s="95">
        <f t="shared" si="75"/>
        <v>0</v>
      </c>
      <c r="N34" s="83"/>
      <c r="O34" s="95">
        <f t="shared" ref="O34:R34" si="76">sum(O32+O33)</f>
        <v>0</v>
      </c>
      <c r="P34" s="95">
        <f t="shared" si="76"/>
        <v>0</v>
      </c>
      <c r="Q34" s="95">
        <f t="shared" si="76"/>
        <v>0</v>
      </c>
      <c r="R34" s="95">
        <f t="shared" si="76"/>
        <v>0</v>
      </c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>
      <c r="A35" s="161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83"/>
      <c r="O35" s="120"/>
      <c r="P35" s="120"/>
      <c r="Q35" s="120"/>
      <c r="R35" s="137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</row>
    <row r="36">
      <c r="A36" s="39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37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>
      <c r="A37" s="165" t="s">
        <v>13</v>
      </c>
      <c r="B37" s="123">
        <f t="shared" ref="B37:M37" si="77">B34+B31+B29</f>
        <v>0</v>
      </c>
      <c r="C37" s="123">
        <f t="shared" si="77"/>
        <v>0</v>
      </c>
      <c r="D37" s="123">
        <f t="shared" si="77"/>
        <v>0</v>
      </c>
      <c r="E37" s="123">
        <f t="shared" si="77"/>
        <v>0</v>
      </c>
      <c r="F37" s="123">
        <f t="shared" si="77"/>
        <v>0</v>
      </c>
      <c r="G37" s="123">
        <f t="shared" si="77"/>
        <v>0</v>
      </c>
      <c r="H37" s="123">
        <f t="shared" si="77"/>
        <v>0</v>
      </c>
      <c r="I37" s="123">
        <f t="shared" si="77"/>
        <v>0</v>
      </c>
      <c r="J37" s="123">
        <f t="shared" si="77"/>
        <v>0</v>
      </c>
      <c r="K37" s="123">
        <f t="shared" si="77"/>
        <v>0</v>
      </c>
      <c r="L37" s="123">
        <f t="shared" si="77"/>
        <v>0</v>
      </c>
      <c r="M37" s="123">
        <f t="shared" si="77"/>
        <v>0</v>
      </c>
      <c r="N37" s="166"/>
      <c r="O37" s="123">
        <f t="shared" ref="O37:R37" si="78">O34+O31+O29</f>
        <v>0</v>
      </c>
      <c r="P37" s="123">
        <f t="shared" si="78"/>
        <v>0</v>
      </c>
      <c r="Q37" s="123">
        <f t="shared" si="78"/>
        <v>0</v>
      </c>
      <c r="R37" s="125">
        <f t="shared" si="78"/>
        <v>0</v>
      </c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>
      <c r="O39" s="18"/>
      <c r="P39" s="160"/>
      <c r="R39" s="167" t="str">
        <f>Q37/R37</f>
        <v>#DIV/0!</v>
      </c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>
      <c r="A41" s="2" t="s">
        <v>71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21"/>
      <c r="M41" s="31" t="s">
        <v>2</v>
      </c>
      <c r="N41" s="34" t="s">
        <v>3</v>
      </c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</row>
    <row r="42">
      <c r="A42" s="24"/>
      <c r="B42" s="53" t="s">
        <v>29</v>
      </c>
      <c r="C42" s="15"/>
      <c r="D42" s="29"/>
      <c r="E42" s="55" t="s">
        <v>30</v>
      </c>
      <c r="F42" s="15"/>
      <c r="G42" s="15"/>
      <c r="H42" s="55" t="s">
        <v>32</v>
      </c>
      <c r="I42" s="15"/>
      <c r="J42" s="15"/>
      <c r="K42" s="45" t="s">
        <v>13</v>
      </c>
      <c r="L42" s="50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</row>
    <row r="43">
      <c r="A43" s="52"/>
      <c r="B43" s="57" t="s">
        <v>24</v>
      </c>
      <c r="C43" s="57" t="s">
        <v>27</v>
      </c>
      <c r="D43" s="35"/>
      <c r="E43" s="57" t="s">
        <v>24</v>
      </c>
      <c r="F43" s="57" t="s">
        <v>27</v>
      </c>
      <c r="G43" s="35"/>
      <c r="H43" s="57" t="s">
        <v>24</v>
      </c>
      <c r="I43" s="57" t="s">
        <v>27</v>
      </c>
      <c r="J43" s="35"/>
      <c r="K43" s="57" t="s">
        <v>24</v>
      </c>
      <c r="L43" s="173" t="s">
        <v>27</v>
      </c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</row>
    <row r="44">
      <c r="A44" s="52" t="s">
        <v>36</v>
      </c>
      <c r="B44" s="74"/>
      <c r="C44" s="79">
        <v>62.0</v>
      </c>
      <c r="D44" s="75">
        <f t="shared" ref="D44:D57" si="80">B44/C44</f>
        <v>0</v>
      </c>
      <c r="E44" s="74"/>
      <c r="F44" s="79">
        <v>57.0</v>
      </c>
      <c r="G44" s="75">
        <f t="shared" ref="G44:G57" si="81">E44/F44</f>
        <v>0</v>
      </c>
      <c r="H44" s="82"/>
      <c r="I44" s="79">
        <v>41.0</v>
      </c>
      <c r="J44" s="75">
        <f t="shared" ref="J44:J57" si="82">H44/I44</f>
        <v>0</v>
      </c>
      <c r="K44" s="68">
        <f t="shared" ref="K44:L44" si="79">H44+E44+B44</f>
        <v>0</v>
      </c>
      <c r="L44" s="174">
        <f t="shared" si="79"/>
        <v>160</v>
      </c>
      <c r="M44" s="91"/>
      <c r="N44" s="82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</row>
    <row r="45">
      <c r="A45" s="52" t="s">
        <v>40</v>
      </c>
      <c r="B45" s="74"/>
      <c r="C45" s="79">
        <v>54.0</v>
      </c>
      <c r="D45" s="75">
        <f t="shared" si="80"/>
        <v>0</v>
      </c>
      <c r="E45" s="74"/>
      <c r="F45" s="79">
        <v>50.0</v>
      </c>
      <c r="G45" s="75">
        <f t="shared" si="81"/>
        <v>0</v>
      </c>
      <c r="H45" s="82"/>
      <c r="I45" s="79">
        <v>36.0</v>
      </c>
      <c r="J45" s="75">
        <f t="shared" si="82"/>
        <v>0</v>
      </c>
      <c r="K45" s="68">
        <f t="shared" ref="K45:L45" si="83">H45+E45+B45</f>
        <v>0</v>
      </c>
      <c r="L45" s="174">
        <f t="shared" si="83"/>
        <v>140</v>
      </c>
      <c r="M45" s="91"/>
      <c r="N45" s="82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</row>
    <row r="46">
      <c r="A46" s="52" t="s">
        <v>41</v>
      </c>
      <c r="B46" s="74"/>
      <c r="C46" s="79">
        <v>50.0</v>
      </c>
      <c r="D46" s="75">
        <f t="shared" si="80"/>
        <v>0</v>
      </c>
      <c r="E46" s="74"/>
      <c r="F46" s="79">
        <v>46.0</v>
      </c>
      <c r="G46" s="75">
        <f t="shared" si="81"/>
        <v>0</v>
      </c>
      <c r="H46" s="82"/>
      <c r="I46" s="79">
        <v>33.0</v>
      </c>
      <c r="J46" s="75">
        <f t="shared" si="82"/>
        <v>0</v>
      </c>
      <c r="K46" s="68">
        <f t="shared" ref="K46:L46" si="84">H46+E46+B46</f>
        <v>0</v>
      </c>
      <c r="L46" s="174">
        <f t="shared" si="84"/>
        <v>129</v>
      </c>
      <c r="M46" s="91"/>
      <c r="N46" s="82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</row>
    <row r="47">
      <c r="A47" s="52" t="s">
        <v>49</v>
      </c>
      <c r="B47" s="176"/>
      <c r="C47" s="79">
        <v>59.0</v>
      </c>
      <c r="D47" s="75">
        <f t="shared" si="80"/>
        <v>0</v>
      </c>
      <c r="E47" s="74"/>
      <c r="F47" s="79">
        <v>54.0</v>
      </c>
      <c r="G47" s="75">
        <f t="shared" si="81"/>
        <v>0</v>
      </c>
      <c r="H47" s="82"/>
      <c r="I47" s="79">
        <v>39.0</v>
      </c>
      <c r="J47" s="75">
        <f t="shared" si="82"/>
        <v>0</v>
      </c>
      <c r="K47" s="68">
        <f t="shared" ref="K47:L47" si="85">H47+E47+B47</f>
        <v>0</v>
      </c>
      <c r="L47" s="174">
        <f t="shared" si="85"/>
        <v>152</v>
      </c>
      <c r="M47" s="91"/>
      <c r="N47" s="82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</row>
    <row r="48">
      <c r="A48" s="108" t="s">
        <v>44</v>
      </c>
      <c r="B48" s="109">
        <f t="shared" ref="B48:C48" si="86">sum(B44:B47)</f>
        <v>0</v>
      </c>
      <c r="C48" s="109">
        <f t="shared" si="86"/>
        <v>225</v>
      </c>
      <c r="D48" s="75">
        <f t="shared" si="80"/>
        <v>0</v>
      </c>
      <c r="E48" s="109">
        <f t="shared" ref="E48:F48" si="87">sum(E44:E47)</f>
        <v>0</v>
      </c>
      <c r="F48" s="109">
        <f t="shared" si="87"/>
        <v>207</v>
      </c>
      <c r="G48" s="75">
        <f t="shared" si="81"/>
        <v>0</v>
      </c>
      <c r="H48" s="109">
        <f t="shared" ref="H48:I48" si="88">sum(H44:H47)</f>
        <v>0</v>
      </c>
      <c r="I48" s="109">
        <f t="shared" si="88"/>
        <v>149</v>
      </c>
      <c r="J48" s="75">
        <f t="shared" si="82"/>
        <v>0</v>
      </c>
      <c r="K48" s="109">
        <f t="shared" ref="K48:L48" si="89">sum(K44:K47)</f>
        <v>0</v>
      </c>
      <c r="L48" s="182">
        <f t="shared" si="89"/>
        <v>581</v>
      </c>
      <c r="M48" s="147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</row>
    <row r="49">
      <c r="A49" s="46" t="s">
        <v>52</v>
      </c>
      <c r="B49" s="84"/>
      <c r="C49" s="72">
        <v>50.0</v>
      </c>
      <c r="D49" s="76">
        <f t="shared" si="80"/>
        <v>0</v>
      </c>
      <c r="E49" s="48"/>
      <c r="F49" s="72">
        <v>46.0</v>
      </c>
      <c r="G49" s="76">
        <f t="shared" si="81"/>
        <v>0</v>
      </c>
      <c r="H49" s="48"/>
      <c r="I49" s="72">
        <v>33.0</v>
      </c>
      <c r="J49" s="76">
        <f t="shared" si="82"/>
        <v>0</v>
      </c>
      <c r="K49" s="84">
        <f t="shared" ref="K49:L49" si="90">H49+E49+B49</f>
        <v>0</v>
      </c>
      <c r="L49" s="86">
        <f t="shared" si="90"/>
        <v>129</v>
      </c>
      <c r="M49" s="91"/>
      <c r="N49" s="82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</row>
    <row r="50">
      <c r="A50" s="46" t="s">
        <v>51</v>
      </c>
      <c r="B50" s="84"/>
      <c r="C50" s="72">
        <v>44.0</v>
      </c>
      <c r="D50" s="76">
        <f t="shared" si="80"/>
        <v>0</v>
      </c>
      <c r="E50" s="48"/>
      <c r="F50" s="72">
        <v>41.0</v>
      </c>
      <c r="G50" s="76">
        <f t="shared" si="81"/>
        <v>0</v>
      </c>
      <c r="H50" s="48"/>
      <c r="I50" s="72">
        <v>29.0</v>
      </c>
      <c r="J50" s="76">
        <f t="shared" si="82"/>
        <v>0</v>
      </c>
      <c r="K50" s="84">
        <f t="shared" ref="K50:L50" si="91">H50+E50+B50</f>
        <v>0</v>
      </c>
      <c r="L50" s="86">
        <f t="shared" si="91"/>
        <v>114</v>
      </c>
      <c r="M50" s="91"/>
      <c r="N50" s="82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  <c r="AY50" s="35"/>
    </row>
    <row r="51">
      <c r="A51" s="46" t="s">
        <v>47</v>
      </c>
      <c r="B51" s="84"/>
      <c r="C51" s="72">
        <v>47.0</v>
      </c>
      <c r="D51" s="76">
        <f t="shared" si="80"/>
        <v>0</v>
      </c>
      <c r="E51" s="48"/>
      <c r="F51" s="72">
        <v>43.0</v>
      </c>
      <c r="G51" s="76">
        <f t="shared" si="81"/>
        <v>0</v>
      </c>
      <c r="H51" s="48"/>
      <c r="I51" s="72">
        <v>31.0</v>
      </c>
      <c r="J51" s="76">
        <f t="shared" si="82"/>
        <v>0</v>
      </c>
      <c r="K51" s="84">
        <f t="shared" ref="K51:L51" si="92">H51+E51+B51</f>
        <v>0</v>
      </c>
      <c r="L51" s="86">
        <f t="shared" si="92"/>
        <v>121</v>
      </c>
      <c r="M51" s="91"/>
      <c r="N51" s="82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  <c r="AY51" s="35"/>
    </row>
    <row r="52">
      <c r="A52" s="46" t="s">
        <v>53</v>
      </c>
      <c r="B52" s="84"/>
      <c r="C52" s="72">
        <v>90.0</v>
      </c>
      <c r="D52" s="76">
        <f t="shared" si="80"/>
        <v>0</v>
      </c>
      <c r="E52" s="48"/>
      <c r="F52" s="72">
        <v>83.0</v>
      </c>
      <c r="G52" s="76">
        <f t="shared" si="81"/>
        <v>0</v>
      </c>
      <c r="H52" s="48"/>
      <c r="I52" s="72">
        <v>59.0</v>
      </c>
      <c r="J52" s="76">
        <f t="shared" si="82"/>
        <v>0</v>
      </c>
      <c r="K52" s="84">
        <f t="shared" ref="K52:L52" si="93">H52+E52+B52</f>
        <v>0</v>
      </c>
      <c r="L52" s="86">
        <f t="shared" si="93"/>
        <v>232</v>
      </c>
      <c r="M52" s="91"/>
      <c r="N52" s="82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</row>
    <row r="53">
      <c r="A53" s="94" t="s">
        <v>54</v>
      </c>
      <c r="B53" s="184">
        <f t="shared" ref="B53:C53" si="94">sum(B49:B52)</f>
        <v>0</v>
      </c>
      <c r="C53" s="184">
        <f t="shared" si="94"/>
        <v>231</v>
      </c>
      <c r="D53" s="76">
        <f t="shared" si="80"/>
        <v>0</v>
      </c>
      <c r="E53" s="184">
        <f t="shared" ref="E53:F53" si="95">sum(E49:E52)</f>
        <v>0</v>
      </c>
      <c r="F53" s="184">
        <f t="shared" si="95"/>
        <v>213</v>
      </c>
      <c r="G53" s="76">
        <f t="shared" si="81"/>
        <v>0</v>
      </c>
      <c r="H53" s="184">
        <f t="shared" ref="H53:I53" si="96">sum(H49:H52)</f>
        <v>0</v>
      </c>
      <c r="I53" s="184">
        <f t="shared" si="96"/>
        <v>152</v>
      </c>
      <c r="J53" s="76">
        <f t="shared" si="82"/>
        <v>0</v>
      </c>
      <c r="K53" s="184">
        <f t="shared" ref="K53:L53" si="97">sum(K49:K52)</f>
        <v>0</v>
      </c>
      <c r="L53" s="185">
        <f t="shared" si="97"/>
        <v>596</v>
      </c>
      <c r="M53" s="147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</row>
    <row r="54">
      <c r="A54" s="52" t="s">
        <v>55</v>
      </c>
      <c r="B54" s="74"/>
      <c r="C54" s="79">
        <v>36.0</v>
      </c>
      <c r="D54" s="75">
        <f t="shared" si="80"/>
        <v>0</v>
      </c>
      <c r="E54" s="74"/>
      <c r="F54" s="79">
        <v>33.0</v>
      </c>
      <c r="G54" s="75">
        <f t="shared" si="81"/>
        <v>0</v>
      </c>
      <c r="H54" s="82"/>
      <c r="I54" s="79">
        <v>24.0</v>
      </c>
      <c r="J54" s="75">
        <f t="shared" si="82"/>
        <v>0</v>
      </c>
      <c r="K54" s="68">
        <f t="shared" ref="K54:L54" si="98">H54+E54+B54</f>
        <v>0</v>
      </c>
      <c r="L54" s="174">
        <f t="shared" si="98"/>
        <v>93</v>
      </c>
      <c r="M54" s="91"/>
      <c r="N54" s="82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</row>
    <row r="55">
      <c r="A55" s="52" t="s">
        <v>57</v>
      </c>
      <c r="B55" s="74"/>
      <c r="C55" s="79">
        <v>47.0</v>
      </c>
      <c r="D55" s="75">
        <f t="shared" si="80"/>
        <v>0</v>
      </c>
      <c r="E55" s="74"/>
      <c r="F55" s="79">
        <v>43.0</v>
      </c>
      <c r="G55" s="75">
        <f t="shared" si="81"/>
        <v>0</v>
      </c>
      <c r="H55" s="82"/>
      <c r="I55" s="79">
        <v>31.0</v>
      </c>
      <c r="J55" s="75">
        <f t="shared" si="82"/>
        <v>0</v>
      </c>
      <c r="K55" s="68">
        <f t="shared" ref="K55:L55" si="99">H55+E55+B55</f>
        <v>0</v>
      </c>
      <c r="L55" s="174">
        <f t="shared" si="99"/>
        <v>121</v>
      </c>
      <c r="M55" s="91"/>
      <c r="N55" s="82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</row>
    <row r="56">
      <c r="A56" s="52" t="s">
        <v>58</v>
      </c>
      <c r="B56" s="74"/>
      <c r="C56" s="79">
        <v>21.0</v>
      </c>
      <c r="D56" s="75">
        <f t="shared" si="80"/>
        <v>0</v>
      </c>
      <c r="E56" s="74"/>
      <c r="F56" s="79">
        <v>20.0</v>
      </c>
      <c r="G56" s="75">
        <f t="shared" si="81"/>
        <v>0</v>
      </c>
      <c r="H56" s="82"/>
      <c r="I56" s="79">
        <v>14.0</v>
      </c>
      <c r="J56" s="75">
        <f t="shared" si="82"/>
        <v>0</v>
      </c>
      <c r="K56" s="68">
        <f t="shared" ref="K56:L56" si="100">H56+E56+B56</f>
        <v>0</v>
      </c>
      <c r="L56" s="174">
        <f t="shared" si="100"/>
        <v>55</v>
      </c>
      <c r="M56" s="91"/>
      <c r="N56" s="82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  <c r="AV56" s="35"/>
      <c r="AW56" s="35"/>
      <c r="AX56" s="35"/>
      <c r="AY56" s="35"/>
    </row>
    <row r="57">
      <c r="A57" s="108" t="s">
        <v>59</v>
      </c>
      <c r="B57" s="109">
        <f t="shared" ref="B57:C57" si="101">sum(B54:B56)</f>
        <v>0</v>
      </c>
      <c r="C57" s="109">
        <f t="shared" si="101"/>
        <v>104</v>
      </c>
      <c r="D57" s="75">
        <f t="shared" si="80"/>
        <v>0</v>
      </c>
      <c r="E57" s="109">
        <f t="shared" ref="E57:F57" si="102">sum(E54:E56)</f>
        <v>0</v>
      </c>
      <c r="F57" s="109">
        <f t="shared" si="102"/>
        <v>96</v>
      </c>
      <c r="G57" s="75">
        <f t="shared" si="81"/>
        <v>0</v>
      </c>
      <c r="H57" s="109">
        <f t="shared" ref="H57:I57" si="103">sum(H54:H56)</f>
        <v>0</v>
      </c>
      <c r="I57" s="109">
        <f t="shared" si="103"/>
        <v>69</v>
      </c>
      <c r="J57" s="75">
        <f t="shared" si="82"/>
        <v>0</v>
      </c>
      <c r="K57" s="109">
        <f t="shared" ref="K57:L57" si="104">sum(K54:K56)</f>
        <v>0</v>
      </c>
      <c r="L57" s="182">
        <f t="shared" si="104"/>
        <v>269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</row>
    <row r="58">
      <c r="A58" s="94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37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</row>
    <row r="59">
      <c r="A59" s="121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37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  <c r="AU59" s="35"/>
      <c r="AV59" s="35"/>
      <c r="AW59" s="35"/>
      <c r="AX59" s="35"/>
      <c r="AY59" s="35"/>
    </row>
    <row r="60">
      <c r="A60" s="122" t="s">
        <v>13</v>
      </c>
      <c r="B60" s="123">
        <f t="shared" ref="B60:C60" si="105">B57+B53+B48</f>
        <v>0</v>
      </c>
      <c r="C60" s="123">
        <f t="shared" si="105"/>
        <v>560</v>
      </c>
      <c r="D60" s="186">
        <f>B60/C60</f>
        <v>0</v>
      </c>
      <c r="E60" s="123">
        <f t="shared" ref="E60:F60" si="106">E57+E53+E48</f>
        <v>0</v>
      </c>
      <c r="F60" s="123">
        <f t="shared" si="106"/>
        <v>516</v>
      </c>
      <c r="G60" s="186">
        <f>E60/F60</f>
        <v>0</v>
      </c>
      <c r="H60" s="123">
        <f t="shared" ref="H60:I60" si="107">H57+H53+H48</f>
        <v>0</v>
      </c>
      <c r="I60" s="123">
        <f t="shared" si="107"/>
        <v>370</v>
      </c>
      <c r="J60" s="186">
        <f>H60/I60</f>
        <v>0</v>
      </c>
      <c r="K60" s="123">
        <f t="shared" ref="K60:L60" si="108">K57+K53+K48</f>
        <v>0</v>
      </c>
      <c r="L60" s="125">
        <f t="shared" si="108"/>
        <v>1446</v>
      </c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  <c r="AU60" s="35"/>
      <c r="AV60" s="35"/>
      <c r="AW60" s="35"/>
      <c r="AX60" s="35"/>
      <c r="AY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187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</row>
    <row r="63">
      <c r="A63" s="2" t="s">
        <v>76</v>
      </c>
      <c r="B63" s="15"/>
      <c r="C63" s="15"/>
      <c r="D63" s="15"/>
      <c r="E63" s="15"/>
      <c r="F63" s="21"/>
      <c r="G63" s="31" t="s">
        <v>2</v>
      </c>
      <c r="H63" s="34" t="s">
        <v>3</v>
      </c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</row>
    <row r="64">
      <c r="A64" s="24"/>
      <c r="B64" s="53" t="s">
        <v>77</v>
      </c>
      <c r="C64" s="15"/>
      <c r="D64" s="29"/>
      <c r="E64" s="45" t="s">
        <v>78</v>
      </c>
      <c r="F64" s="21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</row>
    <row r="65">
      <c r="A65" s="52"/>
      <c r="B65" s="57" t="s">
        <v>79</v>
      </c>
      <c r="C65" s="57" t="s">
        <v>27</v>
      </c>
      <c r="D65" s="35"/>
      <c r="E65" s="35"/>
      <c r="F65" s="133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</row>
    <row r="66">
      <c r="A66" s="52" t="s">
        <v>36</v>
      </c>
      <c r="B66" s="74"/>
      <c r="C66" s="79">
        <v>6.0</v>
      </c>
      <c r="D66" s="75">
        <f t="shared" ref="D66:D79" si="109">B66/C66</f>
        <v>0</v>
      </c>
      <c r="E66" s="35"/>
      <c r="F66" s="188"/>
      <c r="G66" s="91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5"/>
      <c r="AV66" s="35"/>
      <c r="AW66" s="35"/>
      <c r="AX66" s="35"/>
      <c r="AY66" s="35"/>
    </row>
    <row r="67">
      <c r="A67" s="52" t="s">
        <v>40</v>
      </c>
      <c r="B67" s="68"/>
      <c r="C67" s="79">
        <v>4.0</v>
      </c>
      <c r="D67" s="75">
        <f t="shared" si="109"/>
        <v>0</v>
      </c>
      <c r="E67" s="35"/>
      <c r="F67" s="189"/>
      <c r="G67" s="91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  <c r="AU67" s="35"/>
      <c r="AV67" s="35"/>
      <c r="AW67" s="35"/>
      <c r="AX67" s="35"/>
      <c r="AY67" s="35"/>
    </row>
    <row r="68">
      <c r="A68" s="52" t="s">
        <v>41</v>
      </c>
      <c r="B68" s="74"/>
      <c r="C68" s="79">
        <v>4.0</v>
      </c>
      <c r="D68" s="75">
        <f t="shared" si="109"/>
        <v>0</v>
      </c>
      <c r="E68" s="35"/>
      <c r="F68" s="190"/>
      <c r="G68" s="91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  <c r="AU68" s="35"/>
      <c r="AV68" s="35"/>
      <c r="AW68" s="35"/>
      <c r="AX68" s="35"/>
      <c r="AY68" s="35"/>
    </row>
    <row r="69">
      <c r="A69" s="52" t="s">
        <v>49</v>
      </c>
      <c r="B69" s="74"/>
      <c r="C69" s="79">
        <v>8.0</v>
      </c>
      <c r="D69" s="75">
        <f t="shared" si="109"/>
        <v>0</v>
      </c>
      <c r="E69" s="35"/>
      <c r="F69" s="188"/>
      <c r="G69" s="91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</row>
    <row r="70">
      <c r="A70" s="108" t="s">
        <v>44</v>
      </c>
      <c r="B70" s="109">
        <f t="shared" ref="B70:C70" si="110">sum(B66:B69)</f>
        <v>0</v>
      </c>
      <c r="C70" s="109">
        <f t="shared" si="110"/>
        <v>22</v>
      </c>
      <c r="D70" s="75">
        <f t="shared" si="109"/>
        <v>0</v>
      </c>
      <c r="E70" s="35"/>
      <c r="F70" s="182">
        <f>SUM(F66:F69)</f>
        <v>0</v>
      </c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</row>
    <row r="71">
      <c r="A71" s="46" t="s">
        <v>52</v>
      </c>
      <c r="B71" s="84"/>
      <c r="C71" s="72">
        <v>4.0</v>
      </c>
      <c r="D71" s="76">
        <f t="shared" si="109"/>
        <v>0</v>
      </c>
      <c r="E71" s="35"/>
      <c r="F71" s="174"/>
      <c r="G71" s="91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</row>
    <row r="72">
      <c r="A72" s="46" t="s">
        <v>51</v>
      </c>
      <c r="B72" s="84"/>
      <c r="C72" s="72">
        <v>5.0</v>
      </c>
      <c r="D72" s="76">
        <f t="shared" si="109"/>
        <v>0</v>
      </c>
      <c r="E72" s="35"/>
      <c r="F72" s="189"/>
      <c r="G72" s="91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</row>
    <row r="73">
      <c r="A73" s="46" t="s">
        <v>47</v>
      </c>
      <c r="B73" s="84"/>
      <c r="C73" s="72">
        <v>5.0</v>
      </c>
      <c r="D73" s="76">
        <f t="shared" si="109"/>
        <v>0</v>
      </c>
      <c r="E73" s="35"/>
      <c r="F73" s="190"/>
      <c r="G73" s="91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35"/>
      <c r="AW73" s="35"/>
      <c r="AX73" s="35"/>
      <c r="AY73" s="35"/>
    </row>
    <row r="74">
      <c r="A74" s="46" t="s">
        <v>53</v>
      </c>
      <c r="B74" s="84"/>
      <c r="C74" s="72">
        <v>8.0</v>
      </c>
      <c r="D74" s="76">
        <f t="shared" si="109"/>
        <v>0</v>
      </c>
      <c r="E74" s="35"/>
      <c r="F74" s="188"/>
      <c r="G74" s="91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  <c r="AU74" s="35"/>
      <c r="AV74" s="35"/>
      <c r="AW74" s="35"/>
      <c r="AX74" s="35"/>
      <c r="AY74" s="35"/>
    </row>
    <row r="75">
      <c r="A75" s="94" t="s">
        <v>54</v>
      </c>
      <c r="B75" s="184">
        <f t="shared" ref="B75:C75" si="111">sum(B71:B74)</f>
        <v>0</v>
      </c>
      <c r="C75" s="184">
        <f t="shared" si="111"/>
        <v>22</v>
      </c>
      <c r="D75" s="76">
        <f t="shared" si="109"/>
        <v>0</v>
      </c>
      <c r="E75" s="35"/>
      <c r="F75" s="182">
        <f>SUM(F71:F74)</f>
        <v>0</v>
      </c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35"/>
      <c r="AS75" s="35"/>
      <c r="AT75" s="35"/>
      <c r="AU75" s="35"/>
      <c r="AV75" s="35"/>
      <c r="AW75" s="35"/>
      <c r="AX75" s="35"/>
      <c r="AY75" s="35"/>
    </row>
    <row r="76">
      <c r="A76" s="52" t="s">
        <v>55</v>
      </c>
      <c r="B76" s="74"/>
      <c r="C76" s="79">
        <v>6.0</v>
      </c>
      <c r="D76" s="75">
        <f t="shared" si="109"/>
        <v>0</v>
      </c>
      <c r="E76" s="35"/>
      <c r="F76" s="188"/>
      <c r="G76" s="91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  <c r="AR76" s="35"/>
      <c r="AS76" s="35"/>
      <c r="AT76" s="35"/>
      <c r="AU76" s="35"/>
      <c r="AV76" s="35"/>
      <c r="AW76" s="35"/>
      <c r="AX76" s="35"/>
      <c r="AY76" s="35"/>
    </row>
    <row r="77">
      <c r="A77" s="52" t="s">
        <v>57</v>
      </c>
      <c r="B77" s="74"/>
      <c r="C77" s="79">
        <v>6.0</v>
      </c>
      <c r="D77" s="75">
        <f t="shared" si="109"/>
        <v>0</v>
      </c>
      <c r="E77" s="35"/>
      <c r="F77" s="188"/>
      <c r="G77" s="91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  <c r="AX77" s="35"/>
      <c r="AY77" s="35"/>
    </row>
    <row r="78">
      <c r="A78" s="52" t="s">
        <v>58</v>
      </c>
      <c r="B78" s="68"/>
      <c r="C78" s="79">
        <v>2.0</v>
      </c>
      <c r="D78" s="75">
        <f t="shared" si="109"/>
        <v>0</v>
      </c>
      <c r="E78" s="35"/>
      <c r="F78" s="190"/>
      <c r="G78" s="91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5"/>
      <c r="AV78" s="35"/>
      <c r="AW78" s="35"/>
      <c r="AX78" s="35"/>
      <c r="AY78" s="35"/>
    </row>
    <row r="79">
      <c r="A79" s="108" t="s">
        <v>59</v>
      </c>
      <c r="B79" s="109">
        <f t="shared" ref="B79:C79" si="112">sum(B76:B78)</f>
        <v>0</v>
      </c>
      <c r="C79" s="109">
        <f t="shared" si="112"/>
        <v>14</v>
      </c>
      <c r="D79" s="75">
        <f t="shared" si="109"/>
        <v>0</v>
      </c>
      <c r="E79" s="35"/>
      <c r="F79" s="182">
        <f>SUM(F76:F78)</f>
        <v>0</v>
      </c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5"/>
      <c r="AV79" s="35"/>
      <c r="AW79" s="35"/>
      <c r="AX79" s="35"/>
      <c r="AY79" s="35"/>
    </row>
    <row r="80">
      <c r="A80" s="94"/>
      <c r="B80" s="120"/>
      <c r="C80" s="120"/>
      <c r="D80" s="120"/>
      <c r="E80" s="35"/>
      <c r="F80" s="133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5"/>
      <c r="AV80" s="35"/>
      <c r="AW80" s="35"/>
      <c r="AX80" s="35"/>
      <c r="AY80" s="35"/>
    </row>
    <row r="81">
      <c r="A81" s="121"/>
      <c r="B81" s="120"/>
      <c r="C81" s="120"/>
      <c r="D81" s="120"/>
      <c r="E81" s="35"/>
      <c r="F81" s="133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35"/>
      <c r="AW81" s="35"/>
      <c r="AX81" s="35"/>
      <c r="AY81" s="35"/>
    </row>
    <row r="82">
      <c r="A82" s="122" t="s">
        <v>13</v>
      </c>
      <c r="B82" s="123">
        <f>B70+B75+B79</f>
        <v>0</v>
      </c>
      <c r="C82" s="123">
        <f>C79+C75+C70</f>
        <v>58</v>
      </c>
      <c r="D82" s="186">
        <f>B82/C82</f>
        <v>0</v>
      </c>
      <c r="E82" s="192"/>
      <c r="F82" s="193">
        <f>F70+F75+F79</f>
        <v>0</v>
      </c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5"/>
      <c r="AV82" s="35"/>
      <c r="AW82" s="35"/>
      <c r="AX82" s="35"/>
      <c r="AY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5"/>
      <c r="AV85" s="35"/>
      <c r="AW85" s="35"/>
      <c r="AX85" s="35"/>
      <c r="AY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5"/>
      <c r="AV90" s="35"/>
      <c r="AW90" s="35"/>
      <c r="AX90" s="35"/>
      <c r="AY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  <c r="AU92" s="35"/>
      <c r="AV92" s="35"/>
      <c r="AW92" s="35"/>
      <c r="AX92" s="35"/>
      <c r="AY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  <c r="AT93" s="35"/>
      <c r="AU93" s="35"/>
      <c r="AV93" s="35"/>
      <c r="AW93" s="35"/>
      <c r="AX93" s="35"/>
      <c r="AY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  <c r="AT94" s="35"/>
      <c r="AU94" s="35"/>
      <c r="AV94" s="35"/>
      <c r="AW94" s="35"/>
      <c r="AX94" s="35"/>
      <c r="AY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  <c r="AV95" s="35"/>
      <c r="AW95" s="35"/>
      <c r="AX95" s="35"/>
      <c r="AY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  <c r="AV96" s="35"/>
      <c r="AW96" s="35"/>
      <c r="AX96" s="35"/>
      <c r="AY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  <c r="AU97" s="35"/>
      <c r="AV97" s="35"/>
      <c r="AW97" s="35"/>
      <c r="AX97" s="35"/>
      <c r="AY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  <c r="AU98" s="35"/>
      <c r="AV98" s="35"/>
      <c r="AW98" s="35"/>
      <c r="AX98" s="35"/>
      <c r="AY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  <c r="AT99" s="35"/>
      <c r="AU99" s="35"/>
      <c r="AV99" s="35"/>
      <c r="AW99" s="35"/>
      <c r="AX99" s="35"/>
      <c r="AY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35"/>
      <c r="AR100" s="35"/>
      <c r="AS100" s="35"/>
      <c r="AT100" s="35"/>
      <c r="AU100" s="35"/>
      <c r="AV100" s="35"/>
      <c r="AW100" s="35"/>
      <c r="AX100" s="35"/>
      <c r="AY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  <c r="AT101" s="35"/>
      <c r="AU101" s="35"/>
      <c r="AV101" s="35"/>
      <c r="AW101" s="35"/>
      <c r="AX101" s="35"/>
      <c r="AY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  <c r="AT102" s="35"/>
      <c r="AU102" s="35"/>
      <c r="AV102" s="35"/>
      <c r="AW102" s="35"/>
      <c r="AX102" s="35"/>
      <c r="AY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  <c r="AT103" s="35"/>
      <c r="AU103" s="35"/>
      <c r="AV103" s="35"/>
      <c r="AW103" s="35"/>
      <c r="AX103" s="35"/>
      <c r="AY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  <c r="AT104" s="35"/>
      <c r="AU104" s="35"/>
      <c r="AV104" s="35"/>
      <c r="AW104" s="35"/>
      <c r="AX104" s="35"/>
      <c r="AY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  <c r="AT105" s="35"/>
      <c r="AU105" s="35"/>
      <c r="AV105" s="35"/>
      <c r="AW105" s="35"/>
      <c r="AX105" s="35"/>
      <c r="AY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  <c r="AU106" s="35"/>
      <c r="AV106" s="35"/>
      <c r="AW106" s="35"/>
      <c r="AX106" s="35"/>
      <c r="AY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  <c r="AU107" s="35"/>
      <c r="AV107" s="35"/>
      <c r="AW107" s="35"/>
      <c r="AX107" s="35"/>
      <c r="AY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  <c r="AR108" s="35"/>
      <c r="AS108" s="35"/>
      <c r="AT108" s="35"/>
      <c r="AU108" s="35"/>
      <c r="AV108" s="35"/>
      <c r="AW108" s="35"/>
      <c r="AX108" s="35"/>
      <c r="AY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35"/>
      <c r="AW109" s="35"/>
      <c r="AX109" s="35"/>
      <c r="AY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  <c r="AV110" s="35"/>
      <c r="AW110" s="35"/>
      <c r="AX110" s="35"/>
      <c r="AY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  <c r="AU111" s="35"/>
      <c r="AV111" s="35"/>
      <c r="AW111" s="35"/>
      <c r="AX111" s="35"/>
      <c r="AY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  <c r="AU112" s="35"/>
      <c r="AV112" s="35"/>
      <c r="AW112" s="35"/>
      <c r="AX112" s="35"/>
      <c r="AY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  <c r="AV113" s="35"/>
      <c r="AW113" s="35"/>
      <c r="AX113" s="35"/>
      <c r="AY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  <c r="AV114" s="35"/>
      <c r="AW114" s="35"/>
      <c r="AX114" s="35"/>
      <c r="AY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  <c r="AV115" s="35"/>
      <c r="AW115" s="35"/>
      <c r="AX115" s="35"/>
      <c r="AY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  <c r="AU116" s="35"/>
      <c r="AV116" s="35"/>
      <c r="AW116" s="35"/>
      <c r="AX116" s="35"/>
      <c r="AY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  <c r="AT117" s="35"/>
      <c r="AU117" s="35"/>
      <c r="AV117" s="35"/>
      <c r="AW117" s="35"/>
      <c r="AX117" s="35"/>
      <c r="AY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  <c r="AT118" s="35"/>
      <c r="AU118" s="35"/>
      <c r="AV118" s="35"/>
      <c r="AW118" s="35"/>
      <c r="AX118" s="35"/>
      <c r="AY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35"/>
      <c r="AR119" s="35"/>
      <c r="AS119" s="35"/>
      <c r="AT119" s="35"/>
      <c r="AU119" s="35"/>
      <c r="AV119" s="35"/>
      <c r="AW119" s="35"/>
      <c r="AX119" s="35"/>
      <c r="AY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35"/>
      <c r="AR120" s="35"/>
      <c r="AS120" s="35"/>
      <c r="AT120" s="35"/>
      <c r="AU120" s="35"/>
      <c r="AV120" s="35"/>
      <c r="AW120" s="35"/>
      <c r="AX120" s="35"/>
      <c r="AY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  <c r="AT122" s="35"/>
      <c r="AU122" s="35"/>
      <c r="AV122" s="35"/>
      <c r="AW122" s="35"/>
      <c r="AX122" s="35"/>
      <c r="AY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  <c r="AT123" s="35"/>
      <c r="AU123" s="35"/>
      <c r="AV123" s="35"/>
      <c r="AW123" s="35"/>
      <c r="AX123" s="35"/>
      <c r="AY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35"/>
      <c r="AR124" s="35"/>
      <c r="AS124" s="35"/>
      <c r="AT124" s="35"/>
      <c r="AU124" s="35"/>
      <c r="AV124" s="35"/>
      <c r="AW124" s="35"/>
      <c r="AX124" s="35"/>
      <c r="AY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35"/>
      <c r="AR125" s="35"/>
      <c r="AS125" s="35"/>
      <c r="AT125" s="35"/>
      <c r="AU125" s="35"/>
      <c r="AV125" s="35"/>
      <c r="AW125" s="35"/>
      <c r="AX125" s="35"/>
      <c r="AY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  <c r="AT127" s="35"/>
      <c r="AU127" s="35"/>
      <c r="AV127" s="35"/>
      <c r="AW127" s="35"/>
      <c r="AX127" s="35"/>
      <c r="AY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  <c r="AT128" s="35"/>
      <c r="AU128" s="35"/>
      <c r="AV128" s="35"/>
      <c r="AW128" s="35"/>
      <c r="AX128" s="35"/>
      <c r="AY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  <c r="AT129" s="35"/>
      <c r="AU129" s="35"/>
      <c r="AV129" s="35"/>
      <c r="AW129" s="35"/>
      <c r="AX129" s="35"/>
      <c r="AY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  <c r="AU130" s="35"/>
      <c r="AV130" s="35"/>
      <c r="AW130" s="35"/>
      <c r="AX130" s="35"/>
      <c r="AY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  <c r="AT131" s="35"/>
      <c r="AU131" s="35"/>
      <c r="AV131" s="35"/>
      <c r="AW131" s="35"/>
      <c r="AX131" s="35"/>
      <c r="AY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  <c r="AV132" s="35"/>
      <c r="AW132" s="35"/>
      <c r="AX132" s="35"/>
      <c r="AY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  <c r="AV133" s="35"/>
      <c r="AW133" s="35"/>
      <c r="AX133" s="35"/>
      <c r="AY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  <c r="AV134" s="35"/>
      <c r="AW134" s="35"/>
      <c r="AX134" s="35"/>
      <c r="AY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  <c r="AU135" s="35"/>
      <c r="AV135" s="35"/>
      <c r="AW135" s="35"/>
      <c r="AX135" s="35"/>
      <c r="AY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  <c r="AR136" s="35"/>
      <c r="AS136" s="35"/>
      <c r="AT136" s="35"/>
      <c r="AU136" s="35"/>
      <c r="AV136" s="35"/>
      <c r="AW136" s="35"/>
      <c r="AX136" s="35"/>
      <c r="AY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  <c r="AU137" s="35"/>
      <c r="AV137" s="35"/>
      <c r="AW137" s="35"/>
      <c r="AX137" s="35"/>
      <c r="AY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  <c r="AU138" s="35"/>
      <c r="AV138" s="35"/>
      <c r="AW138" s="35"/>
      <c r="AX138" s="35"/>
      <c r="AY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35"/>
      <c r="AV139" s="35"/>
      <c r="AW139" s="35"/>
      <c r="AX139" s="35"/>
      <c r="AY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  <c r="AU140" s="35"/>
      <c r="AV140" s="35"/>
      <c r="AW140" s="35"/>
      <c r="AX140" s="35"/>
      <c r="AY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  <c r="AR141" s="35"/>
      <c r="AS141" s="35"/>
      <c r="AT141" s="35"/>
      <c r="AU141" s="35"/>
      <c r="AV141" s="35"/>
      <c r="AW141" s="35"/>
      <c r="AX141" s="35"/>
      <c r="AY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  <c r="AU143" s="35"/>
      <c r="AV143" s="35"/>
      <c r="AW143" s="35"/>
      <c r="AX143" s="35"/>
      <c r="AY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  <c r="AR144" s="35"/>
      <c r="AS144" s="35"/>
      <c r="AT144" s="35"/>
      <c r="AU144" s="35"/>
      <c r="AV144" s="35"/>
      <c r="AW144" s="35"/>
      <c r="AX144" s="35"/>
      <c r="AY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  <c r="AT145" s="35"/>
      <c r="AU145" s="35"/>
      <c r="AV145" s="35"/>
      <c r="AW145" s="35"/>
      <c r="AX145" s="35"/>
      <c r="AY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/>
      <c r="AU146" s="35"/>
      <c r="AV146" s="35"/>
      <c r="AW146" s="35"/>
      <c r="AX146" s="35"/>
      <c r="AY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  <c r="AT148" s="35"/>
      <c r="AU148" s="35"/>
      <c r="AV148" s="35"/>
      <c r="AW148" s="35"/>
      <c r="AX148" s="35"/>
      <c r="AY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  <c r="AT149" s="35"/>
      <c r="AU149" s="35"/>
      <c r="AV149" s="35"/>
      <c r="AW149" s="35"/>
      <c r="AX149" s="35"/>
      <c r="AY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35"/>
      <c r="AR150" s="35"/>
      <c r="AS150" s="35"/>
      <c r="AT150" s="35"/>
      <c r="AU150" s="35"/>
      <c r="AV150" s="35"/>
      <c r="AW150" s="35"/>
      <c r="AX150" s="35"/>
      <c r="AY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  <c r="AV152" s="35"/>
      <c r="AW152" s="35"/>
      <c r="AX152" s="35"/>
      <c r="AY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  <c r="AV155" s="35"/>
      <c r="AW155" s="35"/>
      <c r="AX155" s="35"/>
      <c r="AY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  <c r="AU157" s="35"/>
      <c r="AV157" s="35"/>
      <c r="AW157" s="35"/>
      <c r="AX157" s="35"/>
      <c r="AY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  <c r="AU158" s="35"/>
      <c r="AV158" s="35"/>
      <c r="AW158" s="35"/>
      <c r="AX158" s="35"/>
      <c r="AY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  <c r="AU159" s="35"/>
      <c r="AV159" s="35"/>
      <c r="AW159" s="35"/>
      <c r="AX159" s="35"/>
      <c r="AY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  <c r="AU161" s="35"/>
      <c r="AV161" s="35"/>
      <c r="AW161" s="35"/>
      <c r="AX161" s="35"/>
      <c r="AY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35"/>
      <c r="AW162" s="35"/>
      <c r="AX162" s="35"/>
      <c r="AY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  <c r="AU163" s="35"/>
      <c r="AV163" s="35"/>
      <c r="AW163" s="35"/>
      <c r="AX163" s="35"/>
      <c r="AY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  <c r="AV166" s="35"/>
      <c r="AW166" s="35"/>
      <c r="AX166" s="35"/>
      <c r="AY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  <c r="AT167" s="35"/>
      <c r="AU167" s="35"/>
      <c r="AV167" s="35"/>
      <c r="AW167" s="35"/>
      <c r="AX167" s="35"/>
      <c r="AY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35"/>
      <c r="AR169" s="35"/>
      <c r="AS169" s="35"/>
      <c r="AT169" s="35"/>
      <c r="AU169" s="35"/>
      <c r="AV169" s="35"/>
      <c r="AW169" s="35"/>
      <c r="AX169" s="35"/>
      <c r="AY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  <c r="AV170" s="35"/>
      <c r="AW170" s="35"/>
      <c r="AX170" s="35"/>
      <c r="AY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35"/>
      <c r="AW174" s="35"/>
      <c r="AX174" s="35"/>
      <c r="AY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  <c r="AU176" s="35"/>
      <c r="AV176" s="35"/>
      <c r="AW176" s="35"/>
      <c r="AX176" s="35"/>
      <c r="AY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35"/>
      <c r="AR177" s="35"/>
      <c r="AS177" s="35"/>
      <c r="AT177" s="35"/>
      <c r="AU177" s="35"/>
      <c r="AV177" s="35"/>
      <c r="AW177" s="35"/>
      <c r="AX177" s="35"/>
      <c r="AY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  <c r="AV179" s="35"/>
      <c r="AW179" s="35"/>
      <c r="AX179" s="35"/>
      <c r="AY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  <c r="AU182" s="35"/>
      <c r="AV182" s="35"/>
      <c r="AW182" s="35"/>
      <c r="AX182" s="35"/>
      <c r="AY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  <c r="AT183" s="35"/>
      <c r="AU183" s="35"/>
      <c r="AV183" s="35"/>
      <c r="AW183" s="35"/>
      <c r="AX183" s="35"/>
      <c r="AY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  <c r="AT185" s="35"/>
      <c r="AU185" s="35"/>
      <c r="AV185" s="35"/>
      <c r="AW185" s="35"/>
      <c r="AX185" s="35"/>
      <c r="AY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  <c r="AT186" s="35"/>
      <c r="AU186" s="35"/>
      <c r="AV186" s="35"/>
      <c r="AW186" s="35"/>
      <c r="AX186" s="35"/>
      <c r="AY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  <c r="AU187" s="35"/>
      <c r="AV187" s="35"/>
      <c r="AW187" s="35"/>
      <c r="AX187" s="35"/>
      <c r="AY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  <c r="AV188" s="35"/>
      <c r="AW188" s="35"/>
      <c r="AX188" s="35"/>
      <c r="AY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  <c r="AV189" s="35"/>
      <c r="AW189" s="35"/>
      <c r="AX189" s="35"/>
      <c r="AY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  <c r="AV190" s="35"/>
      <c r="AW190" s="35"/>
      <c r="AX190" s="35"/>
      <c r="AY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  <c r="AT192" s="35"/>
      <c r="AU192" s="35"/>
      <c r="AV192" s="35"/>
      <c r="AW192" s="35"/>
      <c r="AX192" s="35"/>
      <c r="AY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  <c r="AT193" s="35"/>
      <c r="AU193" s="35"/>
      <c r="AV193" s="35"/>
      <c r="AW193" s="35"/>
      <c r="AX193" s="35"/>
      <c r="AY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  <c r="AT194" s="35"/>
      <c r="AU194" s="35"/>
      <c r="AV194" s="35"/>
      <c r="AW194" s="35"/>
      <c r="AX194" s="35"/>
      <c r="AY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  <c r="AT195" s="35"/>
      <c r="AU195" s="35"/>
      <c r="AV195" s="35"/>
      <c r="AW195" s="35"/>
      <c r="AX195" s="35"/>
      <c r="AY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  <c r="AT196" s="35"/>
      <c r="AU196" s="35"/>
      <c r="AV196" s="35"/>
      <c r="AW196" s="35"/>
      <c r="AX196" s="35"/>
      <c r="AY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  <c r="AU197" s="35"/>
      <c r="AV197" s="35"/>
      <c r="AW197" s="35"/>
      <c r="AX197" s="35"/>
      <c r="AY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  <c r="AU199" s="35"/>
      <c r="AV199" s="35"/>
      <c r="AW199" s="35"/>
      <c r="AX199" s="35"/>
      <c r="AY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  <c r="AT201" s="35"/>
      <c r="AU201" s="35"/>
      <c r="AV201" s="35"/>
      <c r="AW201" s="35"/>
      <c r="AX201" s="35"/>
      <c r="AY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  <c r="AT202" s="35"/>
      <c r="AU202" s="35"/>
      <c r="AV202" s="35"/>
      <c r="AW202" s="35"/>
      <c r="AX202" s="35"/>
      <c r="AY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  <c r="AU205" s="35"/>
      <c r="AV205" s="35"/>
      <c r="AW205" s="35"/>
      <c r="AX205" s="35"/>
      <c r="AY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  <c r="AT206" s="35"/>
      <c r="AU206" s="35"/>
      <c r="AV206" s="35"/>
      <c r="AW206" s="35"/>
      <c r="AX206" s="35"/>
      <c r="AY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  <c r="AT207" s="35"/>
      <c r="AU207" s="35"/>
      <c r="AV207" s="35"/>
      <c r="AW207" s="35"/>
      <c r="AX207" s="35"/>
      <c r="AY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  <c r="AV209" s="35"/>
      <c r="AW209" s="35"/>
      <c r="AX209" s="35"/>
      <c r="AY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  <c r="AV210" s="35"/>
      <c r="AW210" s="35"/>
      <c r="AX210" s="35"/>
      <c r="AY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  <c r="AT213" s="35"/>
      <c r="AU213" s="35"/>
      <c r="AV213" s="35"/>
      <c r="AW213" s="35"/>
      <c r="AX213" s="35"/>
      <c r="AY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  <c r="AT214" s="35"/>
      <c r="AU214" s="35"/>
      <c r="AV214" s="35"/>
      <c r="AW214" s="35"/>
      <c r="AX214" s="35"/>
      <c r="AY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  <c r="AT215" s="35"/>
      <c r="AU215" s="35"/>
      <c r="AV215" s="35"/>
      <c r="AW215" s="35"/>
      <c r="AX215" s="35"/>
      <c r="AY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35"/>
      <c r="AR218" s="35"/>
      <c r="AS218" s="35"/>
      <c r="AT218" s="35"/>
      <c r="AU218" s="35"/>
      <c r="AV218" s="35"/>
      <c r="AW218" s="35"/>
      <c r="AX218" s="35"/>
      <c r="AY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  <c r="AU219" s="35"/>
      <c r="AV219" s="35"/>
      <c r="AW219" s="35"/>
      <c r="AX219" s="35"/>
      <c r="AY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35"/>
      <c r="AR220" s="35"/>
      <c r="AS220" s="35"/>
      <c r="AT220" s="35"/>
      <c r="AU220" s="35"/>
      <c r="AV220" s="35"/>
      <c r="AW220" s="35"/>
      <c r="AX220" s="35"/>
      <c r="AY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  <c r="AV221" s="35"/>
      <c r="AW221" s="35"/>
      <c r="AX221" s="35"/>
      <c r="AY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  <c r="AT222" s="35"/>
      <c r="AU222" s="35"/>
      <c r="AV222" s="35"/>
      <c r="AW222" s="35"/>
      <c r="AX222" s="35"/>
      <c r="AY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  <c r="AT223" s="35"/>
      <c r="AU223" s="35"/>
      <c r="AV223" s="35"/>
      <c r="AW223" s="35"/>
      <c r="AX223" s="35"/>
      <c r="AY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  <c r="AT224" s="35"/>
      <c r="AU224" s="35"/>
      <c r="AV224" s="35"/>
      <c r="AW224" s="35"/>
      <c r="AX224" s="35"/>
      <c r="AY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  <c r="AU225" s="35"/>
      <c r="AV225" s="35"/>
      <c r="AW225" s="35"/>
      <c r="AX225" s="35"/>
      <c r="AY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  <c r="AV227" s="35"/>
      <c r="AW227" s="35"/>
      <c r="AX227" s="35"/>
      <c r="AY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  <c r="AV228" s="35"/>
      <c r="AW228" s="35"/>
      <c r="AX228" s="35"/>
      <c r="AY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  <c r="AV229" s="35"/>
      <c r="AW229" s="35"/>
      <c r="AX229" s="35"/>
      <c r="AY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35"/>
      <c r="AW230" s="35"/>
      <c r="AX230" s="35"/>
      <c r="AY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  <c r="AT231" s="35"/>
      <c r="AU231" s="35"/>
      <c r="AV231" s="35"/>
      <c r="AW231" s="35"/>
      <c r="AX231" s="35"/>
      <c r="AY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  <c r="AT233" s="35"/>
      <c r="AU233" s="35"/>
      <c r="AV233" s="35"/>
      <c r="AW233" s="35"/>
      <c r="AX233" s="35"/>
      <c r="AY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  <c r="AU234" s="35"/>
      <c r="AV234" s="35"/>
      <c r="AW234" s="35"/>
      <c r="AX234" s="35"/>
      <c r="AY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  <c r="AU235" s="35"/>
      <c r="AV235" s="35"/>
      <c r="AW235" s="35"/>
      <c r="AX235" s="35"/>
      <c r="AY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  <c r="AV236" s="35"/>
      <c r="AW236" s="35"/>
      <c r="AX236" s="35"/>
      <c r="AY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  <c r="AU237" s="35"/>
      <c r="AV237" s="35"/>
      <c r="AW237" s="35"/>
      <c r="AX237" s="35"/>
      <c r="AY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  <c r="AV238" s="35"/>
      <c r="AW238" s="35"/>
      <c r="AX238" s="35"/>
      <c r="AY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  <c r="AT240" s="35"/>
      <c r="AU240" s="35"/>
      <c r="AV240" s="35"/>
      <c r="AW240" s="35"/>
      <c r="AX240" s="35"/>
      <c r="AY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  <c r="AT241" s="35"/>
      <c r="AU241" s="35"/>
      <c r="AV241" s="35"/>
      <c r="AW241" s="35"/>
      <c r="AX241" s="35"/>
      <c r="AY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  <c r="AU243" s="35"/>
      <c r="AV243" s="35"/>
      <c r="AW243" s="35"/>
      <c r="AX243" s="35"/>
      <c r="AY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  <c r="AT244" s="35"/>
      <c r="AU244" s="35"/>
      <c r="AV244" s="35"/>
      <c r="AW244" s="35"/>
      <c r="AX244" s="35"/>
      <c r="AY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  <c r="AU245" s="35"/>
      <c r="AV245" s="35"/>
      <c r="AW245" s="35"/>
      <c r="AX245" s="35"/>
      <c r="AY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  <c r="AV246" s="35"/>
      <c r="AW246" s="35"/>
      <c r="AX246" s="35"/>
      <c r="AY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  <c r="AV247" s="35"/>
      <c r="AW247" s="35"/>
      <c r="AX247" s="35"/>
      <c r="AY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  <c r="AV248" s="35"/>
      <c r="AW248" s="35"/>
      <c r="AX248" s="35"/>
      <c r="AY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  <c r="AU249" s="35"/>
      <c r="AV249" s="35"/>
      <c r="AW249" s="35"/>
      <c r="AX249" s="35"/>
      <c r="AY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  <c r="AT250" s="35"/>
      <c r="AU250" s="35"/>
      <c r="AV250" s="35"/>
      <c r="AW250" s="35"/>
      <c r="AX250" s="35"/>
      <c r="AY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  <c r="AT253" s="35"/>
      <c r="AU253" s="35"/>
      <c r="AV253" s="35"/>
      <c r="AW253" s="35"/>
      <c r="AX253" s="35"/>
      <c r="AY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  <c r="AT254" s="35"/>
      <c r="AU254" s="35"/>
      <c r="AV254" s="35"/>
      <c r="AW254" s="35"/>
      <c r="AX254" s="35"/>
      <c r="AY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  <c r="AT255" s="35"/>
      <c r="AU255" s="35"/>
      <c r="AV255" s="35"/>
      <c r="AW255" s="35"/>
      <c r="AX255" s="35"/>
      <c r="AY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  <c r="AT256" s="35"/>
      <c r="AU256" s="35"/>
      <c r="AV256" s="35"/>
      <c r="AW256" s="35"/>
      <c r="AX256" s="35"/>
      <c r="AY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  <c r="AT257" s="35"/>
      <c r="AU257" s="35"/>
      <c r="AV257" s="35"/>
      <c r="AW257" s="35"/>
      <c r="AX257" s="35"/>
      <c r="AY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  <c r="AT258" s="35"/>
      <c r="AU258" s="35"/>
      <c r="AV258" s="35"/>
      <c r="AW258" s="35"/>
      <c r="AX258" s="35"/>
      <c r="AY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  <c r="AT259" s="35"/>
      <c r="AU259" s="35"/>
      <c r="AV259" s="35"/>
      <c r="AW259" s="35"/>
      <c r="AX259" s="35"/>
      <c r="AY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  <c r="AT260" s="35"/>
      <c r="AU260" s="35"/>
      <c r="AV260" s="35"/>
      <c r="AW260" s="35"/>
      <c r="AX260" s="35"/>
      <c r="AY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  <c r="AU261" s="35"/>
      <c r="AV261" s="35"/>
      <c r="AW261" s="35"/>
      <c r="AX261" s="35"/>
      <c r="AY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  <c r="AT262" s="35"/>
      <c r="AU262" s="35"/>
      <c r="AV262" s="35"/>
      <c r="AW262" s="35"/>
      <c r="AX262" s="35"/>
      <c r="AY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  <c r="AT263" s="35"/>
      <c r="AU263" s="35"/>
      <c r="AV263" s="35"/>
      <c r="AW263" s="35"/>
      <c r="AX263" s="35"/>
      <c r="AY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  <c r="AV264" s="35"/>
      <c r="AW264" s="35"/>
      <c r="AX264" s="35"/>
      <c r="AY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  <c r="AV265" s="35"/>
      <c r="AW265" s="35"/>
      <c r="AX265" s="35"/>
      <c r="AY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  <c r="AV266" s="35"/>
      <c r="AW266" s="35"/>
      <c r="AX266" s="35"/>
      <c r="AY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  <c r="AV267" s="35"/>
      <c r="AW267" s="35"/>
      <c r="AX267" s="35"/>
      <c r="AY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  <c r="AT269" s="35"/>
      <c r="AU269" s="35"/>
      <c r="AV269" s="35"/>
      <c r="AW269" s="35"/>
      <c r="AX269" s="35"/>
      <c r="AY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  <c r="AT270" s="35"/>
      <c r="AU270" s="35"/>
      <c r="AV270" s="35"/>
      <c r="AW270" s="35"/>
      <c r="AX270" s="35"/>
      <c r="AY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  <c r="AT273" s="35"/>
      <c r="AU273" s="35"/>
      <c r="AV273" s="35"/>
      <c r="AW273" s="35"/>
      <c r="AX273" s="35"/>
      <c r="AY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/>
      <c r="AS276" s="35"/>
      <c r="AT276" s="35"/>
      <c r="AU276" s="35"/>
      <c r="AV276" s="35"/>
      <c r="AW276" s="35"/>
      <c r="AX276" s="35"/>
      <c r="AY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/>
      <c r="AS277" s="35"/>
      <c r="AT277" s="35"/>
      <c r="AU277" s="35"/>
      <c r="AV277" s="35"/>
      <c r="AW277" s="35"/>
      <c r="AX277" s="35"/>
      <c r="AY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  <c r="AT279" s="35"/>
      <c r="AU279" s="35"/>
      <c r="AV279" s="35"/>
      <c r="AW279" s="35"/>
      <c r="AX279" s="35"/>
      <c r="AY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  <c r="AT280" s="35"/>
      <c r="AU280" s="35"/>
      <c r="AV280" s="35"/>
      <c r="AW280" s="35"/>
      <c r="AX280" s="35"/>
      <c r="AY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  <c r="AU281" s="35"/>
      <c r="AV281" s="35"/>
      <c r="AW281" s="35"/>
      <c r="AX281" s="35"/>
      <c r="AY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  <c r="AT282" s="35"/>
      <c r="AU282" s="35"/>
      <c r="AV282" s="35"/>
      <c r="AW282" s="35"/>
      <c r="AX282" s="35"/>
      <c r="AY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35"/>
      <c r="AR283" s="35"/>
      <c r="AS283" s="35"/>
      <c r="AT283" s="35"/>
      <c r="AU283" s="35"/>
      <c r="AV283" s="35"/>
      <c r="AW283" s="35"/>
      <c r="AX283" s="35"/>
      <c r="AY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  <c r="AV284" s="35"/>
      <c r="AW284" s="35"/>
      <c r="AX284" s="35"/>
      <c r="AY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  <c r="AV285" s="35"/>
      <c r="AW285" s="35"/>
      <c r="AX285" s="35"/>
      <c r="AY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  <c r="AV286" s="35"/>
      <c r="AW286" s="35"/>
      <c r="AX286" s="35"/>
      <c r="AY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  <c r="AU287" s="35"/>
      <c r="AV287" s="35"/>
      <c r="AW287" s="35"/>
      <c r="AX287" s="35"/>
      <c r="AY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  <c r="AU288" s="35"/>
      <c r="AV288" s="35"/>
      <c r="AW288" s="35"/>
      <c r="AX288" s="35"/>
      <c r="AY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  <c r="AT289" s="35"/>
      <c r="AU289" s="35"/>
      <c r="AV289" s="35"/>
      <c r="AW289" s="35"/>
      <c r="AX289" s="35"/>
      <c r="AY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  <c r="AT290" s="35"/>
      <c r="AU290" s="35"/>
      <c r="AV290" s="35"/>
      <c r="AW290" s="35"/>
      <c r="AX290" s="35"/>
      <c r="AY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  <c r="AT291" s="35"/>
      <c r="AU291" s="35"/>
      <c r="AV291" s="35"/>
      <c r="AW291" s="35"/>
      <c r="AX291" s="35"/>
      <c r="AY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  <c r="AU292" s="35"/>
      <c r="AV292" s="35"/>
      <c r="AW292" s="35"/>
      <c r="AX292" s="35"/>
      <c r="AY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  <c r="AU293" s="35"/>
      <c r="AV293" s="35"/>
      <c r="AW293" s="35"/>
      <c r="AX293" s="35"/>
      <c r="AY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  <c r="AU294" s="35"/>
      <c r="AV294" s="35"/>
      <c r="AW294" s="35"/>
      <c r="AX294" s="35"/>
      <c r="AY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35"/>
      <c r="AR295" s="35"/>
      <c r="AS295" s="35"/>
      <c r="AT295" s="35"/>
      <c r="AU295" s="35"/>
      <c r="AV295" s="35"/>
      <c r="AW295" s="35"/>
      <c r="AX295" s="35"/>
      <c r="AY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35"/>
      <c r="AR296" s="35"/>
      <c r="AS296" s="35"/>
      <c r="AT296" s="35"/>
      <c r="AU296" s="35"/>
      <c r="AV296" s="35"/>
      <c r="AW296" s="35"/>
      <c r="AX296" s="35"/>
      <c r="AY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35"/>
      <c r="AR297" s="35"/>
      <c r="AS297" s="35"/>
      <c r="AT297" s="35"/>
      <c r="AU297" s="35"/>
      <c r="AV297" s="35"/>
      <c r="AW297" s="35"/>
      <c r="AX297" s="35"/>
      <c r="AY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  <c r="AU299" s="35"/>
      <c r="AV299" s="35"/>
      <c r="AW299" s="35"/>
      <c r="AX299" s="35"/>
      <c r="AY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  <c r="AT300" s="35"/>
      <c r="AU300" s="35"/>
      <c r="AV300" s="35"/>
      <c r="AW300" s="35"/>
      <c r="AX300" s="35"/>
      <c r="AY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  <c r="AT301" s="35"/>
      <c r="AU301" s="35"/>
      <c r="AV301" s="35"/>
      <c r="AW301" s="35"/>
      <c r="AX301" s="35"/>
      <c r="AY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  <c r="AT302" s="35"/>
      <c r="AU302" s="35"/>
      <c r="AV302" s="35"/>
      <c r="AW302" s="35"/>
      <c r="AX302" s="35"/>
      <c r="AY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  <c r="AV303" s="35"/>
      <c r="AW303" s="35"/>
      <c r="AX303" s="35"/>
      <c r="AY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  <c r="AV304" s="35"/>
      <c r="AW304" s="35"/>
      <c r="AX304" s="35"/>
      <c r="AY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  <c r="AV305" s="35"/>
      <c r="AW305" s="35"/>
      <c r="AX305" s="35"/>
      <c r="AY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  <c r="AT306" s="35"/>
      <c r="AU306" s="35"/>
      <c r="AV306" s="35"/>
      <c r="AW306" s="35"/>
      <c r="AX306" s="35"/>
      <c r="AY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  <c r="AU307" s="35"/>
      <c r="AV307" s="35"/>
      <c r="AW307" s="35"/>
      <c r="AX307" s="35"/>
      <c r="AY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  <c r="AT309" s="35"/>
      <c r="AU309" s="35"/>
      <c r="AV309" s="35"/>
      <c r="AW309" s="35"/>
      <c r="AX309" s="35"/>
      <c r="AY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35"/>
      <c r="AR311" s="35"/>
      <c r="AS311" s="35"/>
      <c r="AT311" s="35"/>
      <c r="AU311" s="35"/>
      <c r="AV311" s="35"/>
      <c r="AW311" s="35"/>
      <c r="AX311" s="35"/>
      <c r="AY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35"/>
      <c r="AR312" s="35"/>
      <c r="AS312" s="35"/>
      <c r="AT312" s="35"/>
      <c r="AU312" s="35"/>
      <c r="AV312" s="35"/>
      <c r="AW312" s="35"/>
      <c r="AX312" s="35"/>
      <c r="AY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  <c r="AT313" s="35"/>
      <c r="AU313" s="35"/>
      <c r="AV313" s="35"/>
      <c r="AW313" s="35"/>
      <c r="AX313" s="35"/>
      <c r="AY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  <c r="AT314" s="35"/>
      <c r="AU314" s="35"/>
      <c r="AV314" s="35"/>
      <c r="AW314" s="35"/>
      <c r="AX314" s="35"/>
      <c r="AY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35"/>
      <c r="AR315" s="35"/>
      <c r="AS315" s="35"/>
      <c r="AT315" s="35"/>
      <c r="AU315" s="35"/>
      <c r="AV315" s="35"/>
      <c r="AW315" s="35"/>
      <c r="AX315" s="35"/>
      <c r="AY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  <c r="AT316" s="35"/>
      <c r="AU316" s="35"/>
      <c r="AV316" s="35"/>
      <c r="AW316" s="35"/>
      <c r="AX316" s="35"/>
      <c r="AY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35"/>
      <c r="AR317" s="35"/>
      <c r="AS317" s="35"/>
      <c r="AT317" s="35"/>
      <c r="AU317" s="35"/>
      <c r="AV317" s="35"/>
      <c r="AW317" s="35"/>
      <c r="AX317" s="35"/>
      <c r="AY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  <c r="AT318" s="35"/>
      <c r="AU318" s="35"/>
      <c r="AV318" s="35"/>
      <c r="AW318" s="35"/>
      <c r="AX318" s="35"/>
      <c r="AY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35"/>
      <c r="AR319" s="35"/>
      <c r="AS319" s="35"/>
      <c r="AT319" s="35"/>
      <c r="AU319" s="35"/>
      <c r="AV319" s="35"/>
      <c r="AW319" s="35"/>
      <c r="AX319" s="35"/>
      <c r="AY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35"/>
      <c r="AR320" s="35"/>
      <c r="AS320" s="35"/>
      <c r="AT320" s="35"/>
      <c r="AU320" s="35"/>
      <c r="AV320" s="35"/>
      <c r="AW320" s="35"/>
      <c r="AX320" s="35"/>
      <c r="AY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35"/>
      <c r="AR322" s="35"/>
      <c r="AS322" s="35"/>
      <c r="AT322" s="35"/>
      <c r="AU322" s="35"/>
      <c r="AV322" s="35"/>
      <c r="AW322" s="35"/>
      <c r="AX322" s="35"/>
      <c r="AY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35"/>
      <c r="AR323" s="35"/>
      <c r="AS323" s="35"/>
      <c r="AT323" s="35"/>
      <c r="AU323" s="35"/>
      <c r="AV323" s="35"/>
      <c r="AW323" s="35"/>
      <c r="AX323" s="35"/>
      <c r="AY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35"/>
      <c r="AR324" s="35"/>
      <c r="AS324" s="35"/>
      <c r="AT324" s="35"/>
      <c r="AU324" s="35"/>
      <c r="AV324" s="35"/>
      <c r="AW324" s="35"/>
      <c r="AX324" s="35"/>
      <c r="AY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35"/>
      <c r="AR325" s="35"/>
      <c r="AS325" s="35"/>
      <c r="AT325" s="35"/>
      <c r="AU325" s="35"/>
      <c r="AV325" s="35"/>
      <c r="AW325" s="35"/>
      <c r="AX325" s="35"/>
      <c r="AY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  <c r="AV326" s="35"/>
      <c r="AW326" s="35"/>
      <c r="AX326" s="35"/>
      <c r="AY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35"/>
      <c r="AR327" s="35"/>
      <c r="AS327" s="35"/>
      <c r="AT327" s="35"/>
      <c r="AU327" s="35"/>
      <c r="AV327" s="35"/>
      <c r="AW327" s="35"/>
      <c r="AX327" s="35"/>
      <c r="AY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35"/>
      <c r="AR328" s="35"/>
      <c r="AS328" s="35"/>
      <c r="AT328" s="35"/>
      <c r="AU328" s="35"/>
      <c r="AV328" s="35"/>
      <c r="AW328" s="35"/>
      <c r="AX328" s="35"/>
      <c r="AY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35"/>
      <c r="AR329" s="35"/>
      <c r="AS329" s="35"/>
      <c r="AT329" s="35"/>
      <c r="AU329" s="35"/>
      <c r="AV329" s="35"/>
      <c r="AW329" s="35"/>
      <c r="AX329" s="35"/>
      <c r="AY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35"/>
      <c r="AR330" s="35"/>
      <c r="AS330" s="35"/>
      <c r="AT330" s="35"/>
      <c r="AU330" s="35"/>
      <c r="AV330" s="35"/>
      <c r="AW330" s="35"/>
      <c r="AX330" s="35"/>
      <c r="AY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35"/>
      <c r="AR331" s="35"/>
      <c r="AS331" s="35"/>
      <c r="AT331" s="35"/>
      <c r="AU331" s="35"/>
      <c r="AV331" s="35"/>
      <c r="AW331" s="35"/>
      <c r="AX331" s="35"/>
      <c r="AY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35"/>
      <c r="AR332" s="35"/>
      <c r="AS332" s="35"/>
      <c r="AT332" s="35"/>
      <c r="AU332" s="35"/>
      <c r="AV332" s="35"/>
      <c r="AW332" s="35"/>
      <c r="AX332" s="35"/>
      <c r="AY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35"/>
      <c r="AR333" s="35"/>
      <c r="AS333" s="35"/>
      <c r="AT333" s="35"/>
      <c r="AU333" s="35"/>
      <c r="AV333" s="35"/>
      <c r="AW333" s="35"/>
      <c r="AX333" s="35"/>
      <c r="AY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  <c r="AT334" s="35"/>
      <c r="AU334" s="35"/>
      <c r="AV334" s="35"/>
      <c r="AW334" s="35"/>
      <c r="AX334" s="35"/>
      <c r="AY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  <c r="AT335" s="35"/>
      <c r="AU335" s="35"/>
      <c r="AV335" s="35"/>
      <c r="AW335" s="35"/>
      <c r="AX335" s="35"/>
      <c r="AY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35"/>
      <c r="AR337" s="35"/>
      <c r="AS337" s="35"/>
      <c r="AT337" s="35"/>
      <c r="AU337" s="35"/>
      <c r="AV337" s="35"/>
      <c r="AW337" s="35"/>
      <c r="AX337" s="35"/>
      <c r="AY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35"/>
      <c r="AR338" s="35"/>
      <c r="AS338" s="35"/>
      <c r="AT338" s="35"/>
      <c r="AU338" s="35"/>
      <c r="AV338" s="35"/>
      <c r="AW338" s="35"/>
      <c r="AX338" s="35"/>
      <c r="AY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35"/>
      <c r="AR339" s="35"/>
      <c r="AS339" s="35"/>
      <c r="AT339" s="35"/>
      <c r="AU339" s="35"/>
      <c r="AV339" s="35"/>
      <c r="AW339" s="35"/>
      <c r="AX339" s="35"/>
      <c r="AY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35"/>
      <c r="AR340" s="35"/>
      <c r="AS340" s="35"/>
      <c r="AT340" s="35"/>
      <c r="AU340" s="35"/>
      <c r="AV340" s="35"/>
      <c r="AW340" s="35"/>
      <c r="AX340" s="35"/>
      <c r="AY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35"/>
      <c r="AR341" s="35"/>
      <c r="AS341" s="35"/>
      <c r="AT341" s="35"/>
      <c r="AU341" s="35"/>
      <c r="AV341" s="35"/>
      <c r="AW341" s="35"/>
      <c r="AX341" s="35"/>
      <c r="AY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35"/>
      <c r="AR342" s="35"/>
      <c r="AS342" s="35"/>
      <c r="AT342" s="35"/>
      <c r="AU342" s="35"/>
      <c r="AV342" s="35"/>
      <c r="AW342" s="35"/>
      <c r="AX342" s="35"/>
      <c r="AY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35"/>
      <c r="AR343" s="35"/>
      <c r="AS343" s="35"/>
      <c r="AT343" s="35"/>
      <c r="AU343" s="35"/>
      <c r="AV343" s="35"/>
      <c r="AW343" s="35"/>
      <c r="AX343" s="35"/>
      <c r="AY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35"/>
      <c r="AR344" s="35"/>
      <c r="AS344" s="35"/>
      <c r="AT344" s="35"/>
      <c r="AU344" s="35"/>
      <c r="AV344" s="35"/>
      <c r="AW344" s="35"/>
      <c r="AX344" s="35"/>
      <c r="AY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35"/>
      <c r="AR345" s="35"/>
      <c r="AS345" s="35"/>
      <c r="AT345" s="35"/>
      <c r="AU345" s="35"/>
      <c r="AV345" s="35"/>
      <c r="AW345" s="35"/>
      <c r="AX345" s="35"/>
      <c r="AY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35"/>
      <c r="AR346" s="35"/>
      <c r="AS346" s="35"/>
      <c r="AT346" s="35"/>
      <c r="AU346" s="35"/>
      <c r="AV346" s="35"/>
      <c r="AW346" s="35"/>
      <c r="AX346" s="35"/>
      <c r="AY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35"/>
      <c r="AR348" s="35"/>
      <c r="AS348" s="35"/>
      <c r="AT348" s="35"/>
      <c r="AU348" s="35"/>
      <c r="AV348" s="35"/>
      <c r="AW348" s="35"/>
      <c r="AX348" s="35"/>
      <c r="AY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35"/>
      <c r="AR349" s="35"/>
      <c r="AS349" s="35"/>
      <c r="AT349" s="35"/>
      <c r="AU349" s="35"/>
      <c r="AV349" s="35"/>
      <c r="AW349" s="35"/>
      <c r="AX349" s="35"/>
      <c r="AY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35"/>
      <c r="AR352" s="35"/>
      <c r="AS352" s="35"/>
      <c r="AT352" s="35"/>
      <c r="AU352" s="35"/>
      <c r="AV352" s="35"/>
      <c r="AW352" s="35"/>
      <c r="AX352" s="35"/>
      <c r="AY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35"/>
      <c r="AR353" s="35"/>
      <c r="AS353" s="35"/>
      <c r="AT353" s="35"/>
      <c r="AU353" s="35"/>
      <c r="AV353" s="35"/>
      <c r="AW353" s="35"/>
      <c r="AX353" s="35"/>
      <c r="AY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35"/>
      <c r="AR354" s="35"/>
      <c r="AS354" s="35"/>
      <c r="AT354" s="35"/>
      <c r="AU354" s="35"/>
      <c r="AV354" s="35"/>
      <c r="AW354" s="35"/>
      <c r="AX354" s="35"/>
      <c r="AY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35"/>
      <c r="AR356" s="35"/>
      <c r="AS356" s="35"/>
      <c r="AT356" s="35"/>
      <c r="AU356" s="35"/>
      <c r="AV356" s="35"/>
      <c r="AW356" s="35"/>
      <c r="AX356" s="35"/>
      <c r="AY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35"/>
      <c r="AR359" s="35"/>
      <c r="AS359" s="35"/>
      <c r="AT359" s="35"/>
      <c r="AU359" s="35"/>
      <c r="AV359" s="35"/>
      <c r="AW359" s="35"/>
      <c r="AX359" s="35"/>
      <c r="AY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35"/>
      <c r="AR361" s="35"/>
      <c r="AS361" s="35"/>
      <c r="AT361" s="35"/>
      <c r="AU361" s="35"/>
      <c r="AV361" s="35"/>
      <c r="AW361" s="35"/>
      <c r="AX361" s="35"/>
      <c r="AY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35"/>
      <c r="AR362" s="35"/>
      <c r="AS362" s="35"/>
      <c r="AT362" s="35"/>
      <c r="AU362" s="35"/>
      <c r="AV362" s="35"/>
      <c r="AW362" s="35"/>
      <c r="AX362" s="35"/>
      <c r="AY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35"/>
      <c r="AR363" s="35"/>
      <c r="AS363" s="35"/>
      <c r="AT363" s="35"/>
      <c r="AU363" s="35"/>
      <c r="AV363" s="35"/>
      <c r="AW363" s="35"/>
      <c r="AX363" s="35"/>
      <c r="AY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35"/>
      <c r="AR364" s="35"/>
      <c r="AS364" s="35"/>
      <c r="AT364" s="35"/>
      <c r="AU364" s="35"/>
      <c r="AV364" s="35"/>
      <c r="AW364" s="35"/>
      <c r="AX364" s="35"/>
      <c r="AY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35"/>
      <c r="AR366" s="35"/>
      <c r="AS366" s="35"/>
      <c r="AT366" s="35"/>
      <c r="AU366" s="35"/>
      <c r="AV366" s="35"/>
      <c r="AW366" s="35"/>
      <c r="AX366" s="35"/>
      <c r="AY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35"/>
      <c r="AR367" s="35"/>
      <c r="AS367" s="35"/>
      <c r="AT367" s="35"/>
      <c r="AU367" s="35"/>
      <c r="AV367" s="35"/>
      <c r="AW367" s="35"/>
      <c r="AX367" s="35"/>
      <c r="AY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35"/>
      <c r="AR368" s="35"/>
      <c r="AS368" s="35"/>
      <c r="AT368" s="35"/>
      <c r="AU368" s="35"/>
      <c r="AV368" s="35"/>
      <c r="AW368" s="35"/>
      <c r="AX368" s="35"/>
      <c r="AY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35"/>
      <c r="AR369" s="35"/>
      <c r="AS369" s="35"/>
      <c r="AT369" s="35"/>
      <c r="AU369" s="35"/>
      <c r="AV369" s="35"/>
      <c r="AW369" s="35"/>
      <c r="AX369" s="35"/>
      <c r="AY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  <c r="AQ370" s="35"/>
      <c r="AR370" s="35"/>
      <c r="AS370" s="35"/>
      <c r="AT370" s="35"/>
      <c r="AU370" s="35"/>
      <c r="AV370" s="35"/>
      <c r="AW370" s="35"/>
      <c r="AX370" s="35"/>
      <c r="AY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35"/>
      <c r="AR371" s="35"/>
      <c r="AS371" s="35"/>
      <c r="AT371" s="35"/>
      <c r="AU371" s="35"/>
      <c r="AV371" s="35"/>
      <c r="AW371" s="35"/>
      <c r="AX371" s="35"/>
      <c r="AY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35"/>
      <c r="AR372" s="35"/>
      <c r="AS372" s="35"/>
      <c r="AT372" s="35"/>
      <c r="AU372" s="35"/>
      <c r="AV372" s="35"/>
      <c r="AW372" s="35"/>
      <c r="AX372" s="35"/>
      <c r="AY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35"/>
      <c r="AR373" s="35"/>
      <c r="AS373" s="35"/>
      <c r="AT373" s="35"/>
      <c r="AU373" s="35"/>
      <c r="AV373" s="35"/>
      <c r="AW373" s="35"/>
      <c r="AX373" s="35"/>
      <c r="AY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35"/>
      <c r="AR374" s="35"/>
      <c r="AS374" s="35"/>
      <c r="AT374" s="35"/>
      <c r="AU374" s="35"/>
      <c r="AV374" s="35"/>
      <c r="AW374" s="35"/>
      <c r="AX374" s="35"/>
      <c r="AY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35"/>
      <c r="AR376" s="35"/>
      <c r="AS376" s="35"/>
      <c r="AT376" s="35"/>
      <c r="AU376" s="35"/>
      <c r="AV376" s="35"/>
      <c r="AW376" s="35"/>
      <c r="AX376" s="35"/>
      <c r="AY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35"/>
      <c r="AR377" s="35"/>
      <c r="AS377" s="35"/>
      <c r="AT377" s="35"/>
      <c r="AU377" s="35"/>
      <c r="AV377" s="35"/>
      <c r="AW377" s="35"/>
      <c r="AX377" s="35"/>
      <c r="AY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35"/>
      <c r="AR378" s="35"/>
      <c r="AS378" s="35"/>
      <c r="AT378" s="35"/>
      <c r="AU378" s="35"/>
      <c r="AV378" s="35"/>
      <c r="AW378" s="35"/>
      <c r="AX378" s="35"/>
      <c r="AY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35"/>
      <c r="AR380" s="35"/>
      <c r="AS380" s="35"/>
      <c r="AT380" s="35"/>
      <c r="AU380" s="35"/>
      <c r="AV380" s="35"/>
      <c r="AW380" s="35"/>
      <c r="AX380" s="35"/>
      <c r="AY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35"/>
      <c r="AR382" s="35"/>
      <c r="AS382" s="35"/>
      <c r="AT382" s="35"/>
      <c r="AU382" s="35"/>
      <c r="AV382" s="35"/>
      <c r="AW382" s="35"/>
      <c r="AX382" s="35"/>
      <c r="AY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35"/>
      <c r="AR384" s="35"/>
      <c r="AS384" s="35"/>
      <c r="AT384" s="35"/>
      <c r="AU384" s="35"/>
      <c r="AV384" s="35"/>
      <c r="AW384" s="35"/>
      <c r="AX384" s="35"/>
      <c r="AY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35"/>
      <c r="AR385" s="35"/>
      <c r="AS385" s="35"/>
      <c r="AT385" s="35"/>
      <c r="AU385" s="35"/>
      <c r="AV385" s="35"/>
      <c r="AW385" s="35"/>
      <c r="AX385" s="35"/>
      <c r="AY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35"/>
      <c r="AR386" s="35"/>
      <c r="AS386" s="35"/>
      <c r="AT386" s="35"/>
      <c r="AU386" s="35"/>
      <c r="AV386" s="35"/>
      <c r="AW386" s="35"/>
      <c r="AX386" s="35"/>
      <c r="AY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35"/>
      <c r="AR387" s="35"/>
      <c r="AS387" s="35"/>
      <c r="AT387" s="35"/>
      <c r="AU387" s="35"/>
      <c r="AV387" s="35"/>
      <c r="AW387" s="35"/>
      <c r="AX387" s="35"/>
      <c r="AY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35"/>
      <c r="AR388" s="35"/>
      <c r="AS388" s="35"/>
      <c r="AT388" s="35"/>
      <c r="AU388" s="35"/>
      <c r="AV388" s="35"/>
      <c r="AW388" s="35"/>
      <c r="AX388" s="35"/>
      <c r="AY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35"/>
      <c r="AR389" s="35"/>
      <c r="AS389" s="35"/>
      <c r="AT389" s="35"/>
      <c r="AU389" s="35"/>
      <c r="AV389" s="35"/>
      <c r="AW389" s="35"/>
      <c r="AX389" s="35"/>
      <c r="AY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35"/>
      <c r="AR390" s="35"/>
      <c r="AS390" s="35"/>
      <c r="AT390" s="35"/>
      <c r="AU390" s="35"/>
      <c r="AV390" s="35"/>
      <c r="AW390" s="35"/>
      <c r="AX390" s="35"/>
      <c r="AY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35"/>
      <c r="AR392" s="35"/>
      <c r="AS392" s="35"/>
      <c r="AT392" s="35"/>
      <c r="AU392" s="35"/>
      <c r="AV392" s="35"/>
      <c r="AW392" s="35"/>
      <c r="AX392" s="35"/>
      <c r="AY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35"/>
      <c r="AR393" s="35"/>
      <c r="AS393" s="35"/>
      <c r="AT393" s="35"/>
      <c r="AU393" s="35"/>
      <c r="AV393" s="35"/>
      <c r="AW393" s="35"/>
      <c r="AX393" s="35"/>
      <c r="AY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35"/>
      <c r="AR394" s="35"/>
      <c r="AS394" s="35"/>
      <c r="AT394" s="35"/>
      <c r="AU394" s="35"/>
      <c r="AV394" s="35"/>
      <c r="AW394" s="35"/>
      <c r="AX394" s="35"/>
      <c r="AY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  <c r="AQ395" s="35"/>
      <c r="AR395" s="35"/>
      <c r="AS395" s="35"/>
      <c r="AT395" s="35"/>
      <c r="AU395" s="35"/>
      <c r="AV395" s="35"/>
      <c r="AW395" s="35"/>
      <c r="AX395" s="35"/>
      <c r="AY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  <c r="AQ397" s="35"/>
      <c r="AR397" s="35"/>
      <c r="AS397" s="35"/>
      <c r="AT397" s="35"/>
      <c r="AU397" s="35"/>
      <c r="AV397" s="35"/>
      <c r="AW397" s="35"/>
      <c r="AX397" s="35"/>
      <c r="AY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  <c r="AQ398" s="35"/>
      <c r="AR398" s="35"/>
      <c r="AS398" s="35"/>
      <c r="AT398" s="35"/>
      <c r="AU398" s="35"/>
      <c r="AV398" s="35"/>
      <c r="AW398" s="35"/>
      <c r="AX398" s="35"/>
      <c r="AY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  <c r="AQ399" s="35"/>
      <c r="AR399" s="35"/>
      <c r="AS399" s="35"/>
      <c r="AT399" s="35"/>
      <c r="AU399" s="35"/>
      <c r="AV399" s="35"/>
      <c r="AW399" s="35"/>
      <c r="AX399" s="35"/>
      <c r="AY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  <c r="AQ400" s="35"/>
      <c r="AR400" s="35"/>
      <c r="AS400" s="35"/>
      <c r="AT400" s="35"/>
      <c r="AU400" s="35"/>
      <c r="AV400" s="35"/>
      <c r="AW400" s="35"/>
      <c r="AX400" s="35"/>
      <c r="AY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  <c r="AQ401" s="35"/>
      <c r="AR401" s="35"/>
      <c r="AS401" s="35"/>
      <c r="AT401" s="35"/>
      <c r="AU401" s="35"/>
      <c r="AV401" s="35"/>
      <c r="AW401" s="35"/>
      <c r="AX401" s="35"/>
      <c r="AY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  <c r="AQ403" s="35"/>
      <c r="AR403" s="35"/>
      <c r="AS403" s="35"/>
      <c r="AT403" s="35"/>
      <c r="AU403" s="35"/>
      <c r="AV403" s="35"/>
      <c r="AW403" s="35"/>
      <c r="AX403" s="35"/>
      <c r="AY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  <c r="AQ404" s="35"/>
      <c r="AR404" s="35"/>
      <c r="AS404" s="35"/>
      <c r="AT404" s="35"/>
      <c r="AU404" s="35"/>
      <c r="AV404" s="35"/>
      <c r="AW404" s="35"/>
      <c r="AX404" s="35"/>
      <c r="AY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  <c r="AQ405" s="35"/>
      <c r="AR405" s="35"/>
      <c r="AS405" s="35"/>
      <c r="AT405" s="35"/>
      <c r="AU405" s="35"/>
      <c r="AV405" s="35"/>
      <c r="AW405" s="35"/>
      <c r="AX405" s="35"/>
      <c r="AY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  <c r="AQ406" s="35"/>
      <c r="AR406" s="35"/>
      <c r="AS406" s="35"/>
      <c r="AT406" s="35"/>
      <c r="AU406" s="35"/>
      <c r="AV406" s="35"/>
      <c r="AW406" s="35"/>
      <c r="AX406" s="35"/>
      <c r="AY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  <c r="AQ407" s="35"/>
      <c r="AR407" s="35"/>
      <c r="AS407" s="35"/>
      <c r="AT407" s="35"/>
      <c r="AU407" s="35"/>
      <c r="AV407" s="35"/>
      <c r="AW407" s="35"/>
      <c r="AX407" s="35"/>
      <c r="AY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  <c r="AQ408" s="35"/>
      <c r="AR408" s="35"/>
      <c r="AS408" s="35"/>
      <c r="AT408" s="35"/>
      <c r="AU408" s="35"/>
      <c r="AV408" s="35"/>
      <c r="AW408" s="35"/>
      <c r="AX408" s="35"/>
      <c r="AY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  <c r="AQ409" s="35"/>
      <c r="AR409" s="35"/>
      <c r="AS409" s="35"/>
      <c r="AT409" s="35"/>
      <c r="AU409" s="35"/>
      <c r="AV409" s="35"/>
      <c r="AW409" s="35"/>
      <c r="AX409" s="35"/>
      <c r="AY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  <c r="AQ410" s="35"/>
      <c r="AR410" s="35"/>
      <c r="AS410" s="35"/>
      <c r="AT410" s="35"/>
      <c r="AU410" s="35"/>
      <c r="AV410" s="35"/>
      <c r="AW410" s="35"/>
      <c r="AX410" s="35"/>
      <c r="AY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  <c r="AQ411" s="35"/>
      <c r="AR411" s="35"/>
      <c r="AS411" s="35"/>
      <c r="AT411" s="35"/>
      <c r="AU411" s="35"/>
      <c r="AV411" s="35"/>
      <c r="AW411" s="35"/>
      <c r="AX411" s="35"/>
      <c r="AY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  <c r="AQ412" s="35"/>
      <c r="AR412" s="35"/>
      <c r="AS412" s="35"/>
      <c r="AT412" s="35"/>
      <c r="AU412" s="35"/>
      <c r="AV412" s="35"/>
      <c r="AW412" s="35"/>
      <c r="AX412" s="35"/>
      <c r="AY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  <c r="AQ413" s="35"/>
      <c r="AR413" s="35"/>
      <c r="AS413" s="35"/>
      <c r="AT413" s="35"/>
      <c r="AU413" s="35"/>
      <c r="AV413" s="35"/>
      <c r="AW413" s="35"/>
      <c r="AX413" s="35"/>
      <c r="AY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  <c r="AQ414" s="35"/>
      <c r="AR414" s="35"/>
      <c r="AS414" s="35"/>
      <c r="AT414" s="35"/>
      <c r="AU414" s="35"/>
      <c r="AV414" s="35"/>
      <c r="AW414" s="35"/>
      <c r="AX414" s="35"/>
      <c r="AY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  <c r="AQ415" s="35"/>
      <c r="AR415" s="35"/>
      <c r="AS415" s="35"/>
      <c r="AT415" s="35"/>
      <c r="AU415" s="35"/>
      <c r="AV415" s="35"/>
      <c r="AW415" s="35"/>
      <c r="AX415" s="35"/>
      <c r="AY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  <c r="AQ416" s="35"/>
      <c r="AR416" s="35"/>
      <c r="AS416" s="35"/>
      <c r="AT416" s="35"/>
      <c r="AU416" s="35"/>
      <c r="AV416" s="35"/>
      <c r="AW416" s="35"/>
      <c r="AX416" s="35"/>
      <c r="AY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  <c r="AQ417" s="35"/>
      <c r="AR417" s="35"/>
      <c r="AS417" s="35"/>
      <c r="AT417" s="35"/>
      <c r="AU417" s="35"/>
      <c r="AV417" s="35"/>
      <c r="AW417" s="35"/>
      <c r="AX417" s="35"/>
      <c r="AY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  <c r="AQ418" s="35"/>
      <c r="AR418" s="35"/>
      <c r="AS418" s="35"/>
      <c r="AT418" s="35"/>
      <c r="AU418" s="35"/>
      <c r="AV418" s="35"/>
      <c r="AW418" s="35"/>
      <c r="AX418" s="35"/>
      <c r="AY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  <c r="AQ419" s="35"/>
      <c r="AR419" s="35"/>
      <c r="AS419" s="35"/>
      <c r="AT419" s="35"/>
      <c r="AU419" s="35"/>
      <c r="AV419" s="35"/>
      <c r="AW419" s="35"/>
      <c r="AX419" s="35"/>
      <c r="AY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  <c r="AQ420" s="35"/>
      <c r="AR420" s="35"/>
      <c r="AS420" s="35"/>
      <c r="AT420" s="35"/>
      <c r="AU420" s="35"/>
      <c r="AV420" s="35"/>
      <c r="AW420" s="35"/>
      <c r="AX420" s="35"/>
      <c r="AY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  <c r="AQ421" s="35"/>
      <c r="AR421" s="35"/>
      <c r="AS421" s="35"/>
      <c r="AT421" s="35"/>
      <c r="AU421" s="35"/>
      <c r="AV421" s="35"/>
      <c r="AW421" s="35"/>
      <c r="AX421" s="35"/>
      <c r="AY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  <c r="AQ422" s="35"/>
      <c r="AR422" s="35"/>
      <c r="AS422" s="35"/>
      <c r="AT422" s="35"/>
      <c r="AU422" s="35"/>
      <c r="AV422" s="35"/>
      <c r="AW422" s="35"/>
      <c r="AX422" s="35"/>
      <c r="AY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  <c r="AQ423" s="35"/>
      <c r="AR423" s="35"/>
      <c r="AS423" s="35"/>
      <c r="AT423" s="35"/>
      <c r="AU423" s="35"/>
      <c r="AV423" s="35"/>
      <c r="AW423" s="35"/>
      <c r="AX423" s="35"/>
      <c r="AY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  <c r="AQ425" s="35"/>
      <c r="AR425" s="35"/>
      <c r="AS425" s="35"/>
      <c r="AT425" s="35"/>
      <c r="AU425" s="35"/>
      <c r="AV425" s="35"/>
      <c r="AW425" s="35"/>
      <c r="AX425" s="35"/>
      <c r="AY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  <c r="AQ427" s="35"/>
      <c r="AR427" s="35"/>
      <c r="AS427" s="35"/>
      <c r="AT427" s="35"/>
      <c r="AU427" s="35"/>
      <c r="AV427" s="35"/>
      <c r="AW427" s="35"/>
      <c r="AX427" s="35"/>
      <c r="AY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  <c r="AQ428" s="35"/>
      <c r="AR428" s="35"/>
      <c r="AS428" s="35"/>
      <c r="AT428" s="35"/>
      <c r="AU428" s="35"/>
      <c r="AV428" s="35"/>
      <c r="AW428" s="35"/>
      <c r="AX428" s="35"/>
      <c r="AY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  <c r="AQ429" s="35"/>
      <c r="AR429" s="35"/>
      <c r="AS429" s="35"/>
      <c r="AT429" s="35"/>
      <c r="AU429" s="35"/>
      <c r="AV429" s="35"/>
      <c r="AW429" s="35"/>
      <c r="AX429" s="35"/>
      <c r="AY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  <c r="AQ430" s="35"/>
      <c r="AR430" s="35"/>
      <c r="AS430" s="35"/>
      <c r="AT430" s="35"/>
      <c r="AU430" s="35"/>
      <c r="AV430" s="35"/>
      <c r="AW430" s="35"/>
      <c r="AX430" s="35"/>
      <c r="AY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  <c r="AQ431" s="35"/>
      <c r="AR431" s="35"/>
      <c r="AS431" s="35"/>
      <c r="AT431" s="35"/>
      <c r="AU431" s="35"/>
      <c r="AV431" s="35"/>
      <c r="AW431" s="35"/>
      <c r="AX431" s="35"/>
      <c r="AY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  <c r="AQ432" s="35"/>
      <c r="AR432" s="35"/>
      <c r="AS432" s="35"/>
      <c r="AT432" s="35"/>
      <c r="AU432" s="35"/>
      <c r="AV432" s="35"/>
      <c r="AW432" s="35"/>
      <c r="AX432" s="35"/>
      <c r="AY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  <c r="AQ433" s="35"/>
      <c r="AR433" s="35"/>
      <c r="AS433" s="35"/>
      <c r="AT433" s="35"/>
      <c r="AU433" s="35"/>
      <c r="AV433" s="35"/>
      <c r="AW433" s="35"/>
      <c r="AX433" s="35"/>
      <c r="AY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  <c r="AQ434" s="35"/>
      <c r="AR434" s="35"/>
      <c r="AS434" s="35"/>
      <c r="AT434" s="35"/>
      <c r="AU434" s="35"/>
      <c r="AV434" s="35"/>
      <c r="AW434" s="35"/>
      <c r="AX434" s="35"/>
      <c r="AY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  <c r="AQ435" s="35"/>
      <c r="AR435" s="35"/>
      <c r="AS435" s="35"/>
      <c r="AT435" s="35"/>
      <c r="AU435" s="35"/>
      <c r="AV435" s="35"/>
      <c r="AW435" s="35"/>
      <c r="AX435" s="35"/>
      <c r="AY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  <c r="AQ436" s="35"/>
      <c r="AR436" s="35"/>
      <c r="AS436" s="35"/>
      <c r="AT436" s="35"/>
      <c r="AU436" s="35"/>
      <c r="AV436" s="35"/>
      <c r="AW436" s="35"/>
      <c r="AX436" s="35"/>
      <c r="AY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  <c r="AQ439" s="35"/>
      <c r="AR439" s="35"/>
      <c r="AS439" s="35"/>
      <c r="AT439" s="35"/>
      <c r="AU439" s="35"/>
      <c r="AV439" s="35"/>
      <c r="AW439" s="35"/>
      <c r="AX439" s="35"/>
      <c r="AY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  <c r="AQ440" s="35"/>
      <c r="AR440" s="35"/>
      <c r="AS440" s="35"/>
      <c r="AT440" s="35"/>
      <c r="AU440" s="35"/>
      <c r="AV440" s="35"/>
      <c r="AW440" s="35"/>
      <c r="AX440" s="35"/>
      <c r="AY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  <c r="AQ441" s="35"/>
      <c r="AR441" s="35"/>
      <c r="AS441" s="35"/>
      <c r="AT441" s="35"/>
      <c r="AU441" s="35"/>
      <c r="AV441" s="35"/>
      <c r="AW441" s="35"/>
      <c r="AX441" s="35"/>
      <c r="AY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  <c r="AQ443" s="35"/>
      <c r="AR443" s="35"/>
      <c r="AS443" s="35"/>
      <c r="AT443" s="35"/>
      <c r="AU443" s="35"/>
      <c r="AV443" s="35"/>
      <c r="AW443" s="35"/>
      <c r="AX443" s="35"/>
      <c r="AY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  <c r="AQ444" s="35"/>
      <c r="AR444" s="35"/>
      <c r="AS444" s="35"/>
      <c r="AT444" s="35"/>
      <c r="AU444" s="35"/>
      <c r="AV444" s="35"/>
      <c r="AW444" s="35"/>
      <c r="AX444" s="35"/>
      <c r="AY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  <c r="AQ445" s="35"/>
      <c r="AR445" s="35"/>
      <c r="AS445" s="35"/>
      <c r="AT445" s="35"/>
      <c r="AU445" s="35"/>
      <c r="AV445" s="35"/>
      <c r="AW445" s="35"/>
      <c r="AX445" s="35"/>
      <c r="AY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  <c r="AQ446" s="35"/>
      <c r="AR446" s="35"/>
      <c r="AS446" s="35"/>
      <c r="AT446" s="35"/>
      <c r="AU446" s="35"/>
      <c r="AV446" s="35"/>
      <c r="AW446" s="35"/>
      <c r="AX446" s="35"/>
      <c r="AY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  <c r="AQ447" s="35"/>
      <c r="AR447" s="35"/>
      <c r="AS447" s="35"/>
      <c r="AT447" s="35"/>
      <c r="AU447" s="35"/>
      <c r="AV447" s="35"/>
      <c r="AW447" s="35"/>
      <c r="AX447" s="35"/>
      <c r="AY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  <c r="AQ448" s="35"/>
      <c r="AR448" s="35"/>
      <c r="AS448" s="35"/>
      <c r="AT448" s="35"/>
      <c r="AU448" s="35"/>
      <c r="AV448" s="35"/>
      <c r="AW448" s="35"/>
      <c r="AX448" s="35"/>
      <c r="AY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  <c r="AQ449" s="35"/>
      <c r="AR449" s="35"/>
      <c r="AS449" s="35"/>
      <c r="AT449" s="35"/>
      <c r="AU449" s="35"/>
      <c r="AV449" s="35"/>
      <c r="AW449" s="35"/>
      <c r="AX449" s="35"/>
      <c r="AY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  <c r="AQ450" s="35"/>
      <c r="AR450" s="35"/>
      <c r="AS450" s="35"/>
      <c r="AT450" s="35"/>
      <c r="AU450" s="35"/>
      <c r="AV450" s="35"/>
      <c r="AW450" s="35"/>
      <c r="AX450" s="35"/>
      <c r="AY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  <c r="AQ451" s="35"/>
      <c r="AR451" s="35"/>
      <c r="AS451" s="35"/>
      <c r="AT451" s="35"/>
      <c r="AU451" s="35"/>
      <c r="AV451" s="35"/>
      <c r="AW451" s="35"/>
      <c r="AX451" s="35"/>
      <c r="AY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  <c r="AQ452" s="35"/>
      <c r="AR452" s="35"/>
      <c r="AS452" s="35"/>
      <c r="AT452" s="35"/>
      <c r="AU452" s="35"/>
      <c r="AV452" s="35"/>
      <c r="AW452" s="35"/>
      <c r="AX452" s="35"/>
      <c r="AY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  <c r="AQ453" s="35"/>
      <c r="AR453" s="35"/>
      <c r="AS453" s="35"/>
      <c r="AT453" s="35"/>
      <c r="AU453" s="35"/>
      <c r="AV453" s="35"/>
      <c r="AW453" s="35"/>
      <c r="AX453" s="35"/>
      <c r="AY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  <c r="AQ454" s="35"/>
      <c r="AR454" s="35"/>
      <c r="AS454" s="35"/>
      <c r="AT454" s="35"/>
      <c r="AU454" s="35"/>
      <c r="AV454" s="35"/>
      <c r="AW454" s="35"/>
      <c r="AX454" s="35"/>
      <c r="AY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  <c r="AQ455" s="35"/>
      <c r="AR455" s="35"/>
      <c r="AS455" s="35"/>
      <c r="AT455" s="35"/>
      <c r="AU455" s="35"/>
      <c r="AV455" s="35"/>
      <c r="AW455" s="35"/>
      <c r="AX455" s="35"/>
      <c r="AY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  <c r="AQ457" s="35"/>
      <c r="AR457" s="35"/>
      <c r="AS457" s="35"/>
      <c r="AT457" s="35"/>
      <c r="AU457" s="35"/>
      <c r="AV457" s="35"/>
      <c r="AW457" s="35"/>
      <c r="AX457" s="35"/>
      <c r="AY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  <c r="AQ458" s="35"/>
      <c r="AR458" s="35"/>
      <c r="AS458" s="35"/>
      <c r="AT458" s="35"/>
      <c r="AU458" s="35"/>
      <c r="AV458" s="35"/>
      <c r="AW458" s="35"/>
      <c r="AX458" s="35"/>
      <c r="AY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  <c r="AQ459" s="35"/>
      <c r="AR459" s="35"/>
      <c r="AS459" s="35"/>
      <c r="AT459" s="35"/>
      <c r="AU459" s="35"/>
      <c r="AV459" s="35"/>
      <c r="AW459" s="35"/>
      <c r="AX459" s="35"/>
      <c r="AY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  <c r="AQ460" s="35"/>
      <c r="AR460" s="35"/>
      <c r="AS460" s="35"/>
      <c r="AT460" s="35"/>
      <c r="AU460" s="35"/>
      <c r="AV460" s="35"/>
      <c r="AW460" s="35"/>
      <c r="AX460" s="35"/>
      <c r="AY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  <c r="AQ461" s="35"/>
      <c r="AR461" s="35"/>
      <c r="AS461" s="35"/>
      <c r="AT461" s="35"/>
      <c r="AU461" s="35"/>
      <c r="AV461" s="35"/>
      <c r="AW461" s="35"/>
      <c r="AX461" s="35"/>
      <c r="AY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  <c r="AQ462" s="35"/>
      <c r="AR462" s="35"/>
      <c r="AS462" s="35"/>
      <c r="AT462" s="35"/>
      <c r="AU462" s="35"/>
      <c r="AV462" s="35"/>
      <c r="AW462" s="35"/>
      <c r="AX462" s="35"/>
      <c r="AY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  <c r="AQ465" s="35"/>
      <c r="AR465" s="35"/>
      <c r="AS465" s="35"/>
      <c r="AT465" s="35"/>
      <c r="AU465" s="35"/>
      <c r="AV465" s="35"/>
      <c r="AW465" s="35"/>
      <c r="AX465" s="35"/>
      <c r="AY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  <c r="AQ466" s="35"/>
      <c r="AR466" s="35"/>
      <c r="AS466" s="35"/>
      <c r="AT466" s="35"/>
      <c r="AU466" s="35"/>
      <c r="AV466" s="35"/>
      <c r="AW466" s="35"/>
      <c r="AX466" s="35"/>
      <c r="AY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  <c r="AQ467" s="35"/>
      <c r="AR467" s="35"/>
      <c r="AS467" s="35"/>
      <c r="AT467" s="35"/>
      <c r="AU467" s="35"/>
      <c r="AV467" s="35"/>
      <c r="AW467" s="35"/>
      <c r="AX467" s="35"/>
      <c r="AY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  <c r="AQ468" s="35"/>
      <c r="AR468" s="35"/>
      <c r="AS468" s="35"/>
      <c r="AT468" s="35"/>
      <c r="AU468" s="35"/>
      <c r="AV468" s="35"/>
      <c r="AW468" s="35"/>
      <c r="AX468" s="35"/>
      <c r="AY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  <c r="AQ469" s="35"/>
      <c r="AR469" s="35"/>
      <c r="AS469" s="35"/>
      <c r="AT469" s="35"/>
      <c r="AU469" s="35"/>
      <c r="AV469" s="35"/>
      <c r="AW469" s="35"/>
      <c r="AX469" s="35"/>
      <c r="AY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  <c r="AQ470" s="35"/>
      <c r="AR470" s="35"/>
      <c r="AS470" s="35"/>
      <c r="AT470" s="35"/>
      <c r="AU470" s="35"/>
      <c r="AV470" s="35"/>
      <c r="AW470" s="35"/>
      <c r="AX470" s="35"/>
      <c r="AY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  <c r="AQ471" s="35"/>
      <c r="AR471" s="35"/>
      <c r="AS471" s="35"/>
      <c r="AT471" s="35"/>
      <c r="AU471" s="35"/>
      <c r="AV471" s="35"/>
      <c r="AW471" s="35"/>
      <c r="AX471" s="35"/>
      <c r="AY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  <c r="AQ473" s="35"/>
      <c r="AR473" s="35"/>
      <c r="AS473" s="35"/>
      <c r="AT473" s="35"/>
      <c r="AU473" s="35"/>
      <c r="AV473" s="35"/>
      <c r="AW473" s="35"/>
      <c r="AX473" s="35"/>
      <c r="AY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  <c r="AQ474" s="35"/>
      <c r="AR474" s="35"/>
      <c r="AS474" s="35"/>
      <c r="AT474" s="35"/>
      <c r="AU474" s="35"/>
      <c r="AV474" s="35"/>
      <c r="AW474" s="35"/>
      <c r="AX474" s="35"/>
      <c r="AY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  <c r="AQ475" s="35"/>
      <c r="AR475" s="35"/>
      <c r="AS475" s="35"/>
      <c r="AT475" s="35"/>
      <c r="AU475" s="35"/>
      <c r="AV475" s="35"/>
      <c r="AW475" s="35"/>
      <c r="AX475" s="35"/>
      <c r="AY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  <c r="AQ476" s="35"/>
      <c r="AR476" s="35"/>
      <c r="AS476" s="35"/>
      <c r="AT476" s="35"/>
      <c r="AU476" s="35"/>
      <c r="AV476" s="35"/>
      <c r="AW476" s="35"/>
      <c r="AX476" s="35"/>
      <c r="AY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  <c r="AQ477" s="35"/>
      <c r="AR477" s="35"/>
      <c r="AS477" s="35"/>
      <c r="AT477" s="35"/>
      <c r="AU477" s="35"/>
      <c r="AV477" s="35"/>
      <c r="AW477" s="35"/>
      <c r="AX477" s="35"/>
      <c r="AY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  <c r="AQ478" s="35"/>
      <c r="AR478" s="35"/>
      <c r="AS478" s="35"/>
      <c r="AT478" s="35"/>
      <c r="AU478" s="35"/>
      <c r="AV478" s="35"/>
      <c r="AW478" s="35"/>
      <c r="AX478" s="35"/>
      <c r="AY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  <c r="AQ480" s="35"/>
      <c r="AR480" s="35"/>
      <c r="AS480" s="35"/>
      <c r="AT480" s="35"/>
      <c r="AU480" s="35"/>
      <c r="AV480" s="35"/>
      <c r="AW480" s="35"/>
      <c r="AX480" s="35"/>
      <c r="AY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  <c r="AQ481" s="35"/>
      <c r="AR481" s="35"/>
      <c r="AS481" s="35"/>
      <c r="AT481" s="35"/>
      <c r="AU481" s="35"/>
      <c r="AV481" s="35"/>
      <c r="AW481" s="35"/>
      <c r="AX481" s="35"/>
      <c r="AY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  <c r="AQ482" s="35"/>
      <c r="AR482" s="35"/>
      <c r="AS482" s="35"/>
      <c r="AT482" s="35"/>
      <c r="AU482" s="35"/>
      <c r="AV482" s="35"/>
      <c r="AW482" s="35"/>
      <c r="AX482" s="35"/>
      <c r="AY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  <c r="AQ483" s="35"/>
      <c r="AR483" s="35"/>
      <c r="AS483" s="35"/>
      <c r="AT483" s="35"/>
      <c r="AU483" s="35"/>
      <c r="AV483" s="35"/>
      <c r="AW483" s="35"/>
      <c r="AX483" s="35"/>
      <c r="AY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  <c r="AQ484" s="35"/>
      <c r="AR484" s="35"/>
      <c r="AS484" s="35"/>
      <c r="AT484" s="35"/>
      <c r="AU484" s="35"/>
      <c r="AV484" s="35"/>
      <c r="AW484" s="35"/>
      <c r="AX484" s="35"/>
      <c r="AY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  <c r="AQ485" s="35"/>
      <c r="AR485" s="35"/>
      <c r="AS485" s="35"/>
      <c r="AT485" s="35"/>
      <c r="AU485" s="35"/>
      <c r="AV485" s="35"/>
      <c r="AW485" s="35"/>
      <c r="AX485" s="35"/>
      <c r="AY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  <c r="AQ486" s="35"/>
      <c r="AR486" s="35"/>
      <c r="AS486" s="35"/>
      <c r="AT486" s="35"/>
      <c r="AU486" s="35"/>
      <c r="AV486" s="35"/>
      <c r="AW486" s="35"/>
      <c r="AX486" s="35"/>
      <c r="AY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  <c r="AQ487" s="35"/>
      <c r="AR487" s="35"/>
      <c r="AS487" s="35"/>
      <c r="AT487" s="35"/>
      <c r="AU487" s="35"/>
      <c r="AV487" s="35"/>
      <c r="AW487" s="35"/>
      <c r="AX487" s="35"/>
      <c r="AY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  <c r="AQ488" s="35"/>
      <c r="AR488" s="35"/>
      <c r="AS488" s="35"/>
      <c r="AT488" s="35"/>
      <c r="AU488" s="35"/>
      <c r="AV488" s="35"/>
      <c r="AW488" s="35"/>
      <c r="AX488" s="35"/>
      <c r="AY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  <c r="AQ489" s="35"/>
      <c r="AR489" s="35"/>
      <c r="AS489" s="35"/>
      <c r="AT489" s="35"/>
      <c r="AU489" s="35"/>
      <c r="AV489" s="35"/>
      <c r="AW489" s="35"/>
      <c r="AX489" s="35"/>
      <c r="AY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  <c r="AQ490" s="35"/>
      <c r="AR490" s="35"/>
      <c r="AS490" s="35"/>
      <c r="AT490" s="35"/>
      <c r="AU490" s="35"/>
      <c r="AV490" s="35"/>
      <c r="AW490" s="35"/>
      <c r="AX490" s="35"/>
      <c r="AY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  <c r="AQ491" s="35"/>
      <c r="AR491" s="35"/>
      <c r="AS491" s="35"/>
      <c r="AT491" s="35"/>
      <c r="AU491" s="35"/>
      <c r="AV491" s="35"/>
      <c r="AW491" s="35"/>
      <c r="AX491" s="35"/>
      <c r="AY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  <c r="AQ492" s="35"/>
      <c r="AR492" s="35"/>
      <c r="AS492" s="35"/>
      <c r="AT492" s="35"/>
      <c r="AU492" s="35"/>
      <c r="AV492" s="35"/>
      <c r="AW492" s="35"/>
      <c r="AX492" s="35"/>
      <c r="AY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  <c r="AQ494" s="35"/>
      <c r="AR494" s="35"/>
      <c r="AS494" s="35"/>
      <c r="AT494" s="35"/>
      <c r="AU494" s="35"/>
      <c r="AV494" s="35"/>
      <c r="AW494" s="35"/>
      <c r="AX494" s="35"/>
      <c r="AY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  <c r="AQ495" s="35"/>
      <c r="AR495" s="35"/>
      <c r="AS495" s="35"/>
      <c r="AT495" s="35"/>
      <c r="AU495" s="35"/>
      <c r="AV495" s="35"/>
      <c r="AW495" s="35"/>
      <c r="AX495" s="35"/>
      <c r="AY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  <c r="AQ496" s="35"/>
      <c r="AR496" s="35"/>
      <c r="AS496" s="35"/>
      <c r="AT496" s="35"/>
      <c r="AU496" s="35"/>
      <c r="AV496" s="35"/>
      <c r="AW496" s="35"/>
      <c r="AX496" s="35"/>
      <c r="AY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  <c r="AQ497" s="35"/>
      <c r="AR497" s="35"/>
      <c r="AS497" s="35"/>
      <c r="AT497" s="35"/>
      <c r="AU497" s="35"/>
      <c r="AV497" s="35"/>
      <c r="AW497" s="35"/>
      <c r="AX497" s="35"/>
      <c r="AY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  <c r="AQ498" s="35"/>
      <c r="AR498" s="35"/>
      <c r="AS498" s="35"/>
      <c r="AT498" s="35"/>
      <c r="AU498" s="35"/>
      <c r="AV498" s="35"/>
      <c r="AW498" s="35"/>
      <c r="AX498" s="35"/>
      <c r="AY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  <c r="AQ499" s="35"/>
      <c r="AR499" s="35"/>
      <c r="AS499" s="35"/>
      <c r="AT499" s="35"/>
      <c r="AU499" s="35"/>
      <c r="AV499" s="35"/>
      <c r="AW499" s="35"/>
      <c r="AX499" s="35"/>
      <c r="AY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  <c r="AQ502" s="35"/>
      <c r="AR502" s="35"/>
      <c r="AS502" s="35"/>
      <c r="AT502" s="35"/>
      <c r="AU502" s="35"/>
      <c r="AV502" s="35"/>
      <c r="AW502" s="35"/>
      <c r="AX502" s="35"/>
      <c r="AY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  <c r="AQ503" s="35"/>
      <c r="AR503" s="35"/>
      <c r="AS503" s="35"/>
      <c r="AT503" s="35"/>
      <c r="AU503" s="35"/>
      <c r="AV503" s="35"/>
      <c r="AW503" s="35"/>
      <c r="AX503" s="35"/>
      <c r="AY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  <c r="AQ504" s="35"/>
      <c r="AR504" s="35"/>
      <c r="AS504" s="35"/>
      <c r="AT504" s="35"/>
      <c r="AU504" s="35"/>
      <c r="AV504" s="35"/>
      <c r="AW504" s="35"/>
      <c r="AX504" s="35"/>
      <c r="AY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  <c r="AQ505" s="35"/>
      <c r="AR505" s="35"/>
      <c r="AS505" s="35"/>
      <c r="AT505" s="35"/>
      <c r="AU505" s="35"/>
      <c r="AV505" s="35"/>
      <c r="AW505" s="35"/>
      <c r="AX505" s="35"/>
      <c r="AY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  <c r="AQ506" s="35"/>
      <c r="AR506" s="35"/>
      <c r="AS506" s="35"/>
      <c r="AT506" s="35"/>
      <c r="AU506" s="35"/>
      <c r="AV506" s="35"/>
      <c r="AW506" s="35"/>
      <c r="AX506" s="35"/>
      <c r="AY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  <c r="AQ507" s="35"/>
      <c r="AR507" s="35"/>
      <c r="AS507" s="35"/>
      <c r="AT507" s="35"/>
      <c r="AU507" s="35"/>
      <c r="AV507" s="35"/>
      <c r="AW507" s="35"/>
      <c r="AX507" s="35"/>
      <c r="AY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  <c r="AQ510" s="35"/>
      <c r="AR510" s="35"/>
      <c r="AS510" s="35"/>
      <c r="AT510" s="35"/>
      <c r="AU510" s="35"/>
      <c r="AV510" s="35"/>
      <c r="AW510" s="35"/>
      <c r="AX510" s="35"/>
      <c r="AY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  <c r="AQ511" s="35"/>
      <c r="AR511" s="35"/>
      <c r="AS511" s="35"/>
      <c r="AT511" s="35"/>
      <c r="AU511" s="35"/>
      <c r="AV511" s="35"/>
      <c r="AW511" s="35"/>
      <c r="AX511" s="35"/>
      <c r="AY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  <c r="AQ512" s="35"/>
      <c r="AR512" s="35"/>
      <c r="AS512" s="35"/>
      <c r="AT512" s="35"/>
      <c r="AU512" s="35"/>
      <c r="AV512" s="35"/>
      <c r="AW512" s="35"/>
      <c r="AX512" s="35"/>
      <c r="AY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  <c r="AQ513" s="35"/>
      <c r="AR513" s="35"/>
      <c r="AS513" s="35"/>
      <c r="AT513" s="35"/>
      <c r="AU513" s="35"/>
      <c r="AV513" s="35"/>
      <c r="AW513" s="35"/>
      <c r="AX513" s="35"/>
      <c r="AY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  <c r="AQ514" s="35"/>
      <c r="AR514" s="35"/>
      <c r="AS514" s="35"/>
      <c r="AT514" s="35"/>
      <c r="AU514" s="35"/>
      <c r="AV514" s="35"/>
      <c r="AW514" s="35"/>
      <c r="AX514" s="35"/>
      <c r="AY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  <c r="AQ515" s="35"/>
      <c r="AR515" s="35"/>
      <c r="AS515" s="35"/>
      <c r="AT515" s="35"/>
      <c r="AU515" s="35"/>
      <c r="AV515" s="35"/>
      <c r="AW515" s="35"/>
      <c r="AX515" s="35"/>
      <c r="AY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  <c r="AQ516" s="35"/>
      <c r="AR516" s="35"/>
      <c r="AS516" s="35"/>
      <c r="AT516" s="35"/>
      <c r="AU516" s="35"/>
      <c r="AV516" s="35"/>
      <c r="AW516" s="35"/>
      <c r="AX516" s="35"/>
      <c r="AY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  <c r="AQ517" s="35"/>
      <c r="AR517" s="35"/>
      <c r="AS517" s="35"/>
      <c r="AT517" s="35"/>
      <c r="AU517" s="35"/>
      <c r="AV517" s="35"/>
      <c r="AW517" s="35"/>
      <c r="AX517" s="35"/>
      <c r="AY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  <c r="AQ518" s="35"/>
      <c r="AR518" s="35"/>
      <c r="AS518" s="35"/>
      <c r="AT518" s="35"/>
      <c r="AU518" s="35"/>
      <c r="AV518" s="35"/>
      <c r="AW518" s="35"/>
      <c r="AX518" s="35"/>
      <c r="AY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  <c r="AQ519" s="35"/>
      <c r="AR519" s="35"/>
      <c r="AS519" s="35"/>
      <c r="AT519" s="35"/>
      <c r="AU519" s="35"/>
      <c r="AV519" s="35"/>
      <c r="AW519" s="35"/>
      <c r="AX519" s="35"/>
      <c r="AY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  <c r="AQ520" s="35"/>
      <c r="AR520" s="35"/>
      <c r="AS520" s="35"/>
      <c r="AT520" s="35"/>
      <c r="AU520" s="35"/>
      <c r="AV520" s="35"/>
      <c r="AW520" s="35"/>
      <c r="AX520" s="35"/>
      <c r="AY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  <c r="AQ522" s="35"/>
      <c r="AR522" s="35"/>
      <c r="AS522" s="35"/>
      <c r="AT522" s="35"/>
      <c r="AU522" s="35"/>
      <c r="AV522" s="35"/>
      <c r="AW522" s="35"/>
      <c r="AX522" s="35"/>
      <c r="AY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  <c r="AQ523" s="35"/>
      <c r="AR523" s="35"/>
      <c r="AS523" s="35"/>
      <c r="AT523" s="35"/>
      <c r="AU523" s="35"/>
      <c r="AV523" s="35"/>
      <c r="AW523" s="35"/>
      <c r="AX523" s="35"/>
      <c r="AY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  <c r="AQ524" s="35"/>
      <c r="AR524" s="35"/>
      <c r="AS524" s="35"/>
      <c r="AT524" s="35"/>
      <c r="AU524" s="35"/>
      <c r="AV524" s="35"/>
      <c r="AW524" s="35"/>
      <c r="AX524" s="35"/>
      <c r="AY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  <c r="AQ525" s="35"/>
      <c r="AR525" s="35"/>
      <c r="AS525" s="35"/>
      <c r="AT525" s="35"/>
      <c r="AU525" s="35"/>
      <c r="AV525" s="35"/>
      <c r="AW525" s="35"/>
      <c r="AX525" s="35"/>
      <c r="AY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  <c r="AQ526" s="35"/>
      <c r="AR526" s="35"/>
      <c r="AS526" s="35"/>
      <c r="AT526" s="35"/>
      <c r="AU526" s="35"/>
      <c r="AV526" s="35"/>
      <c r="AW526" s="35"/>
      <c r="AX526" s="35"/>
      <c r="AY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  <c r="AQ527" s="35"/>
      <c r="AR527" s="35"/>
      <c r="AS527" s="35"/>
      <c r="AT527" s="35"/>
      <c r="AU527" s="35"/>
      <c r="AV527" s="35"/>
      <c r="AW527" s="35"/>
      <c r="AX527" s="35"/>
      <c r="AY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  <c r="AQ528" s="35"/>
      <c r="AR528" s="35"/>
      <c r="AS528" s="35"/>
      <c r="AT528" s="35"/>
      <c r="AU528" s="35"/>
      <c r="AV528" s="35"/>
      <c r="AW528" s="35"/>
      <c r="AX528" s="35"/>
      <c r="AY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  <c r="AQ529" s="35"/>
      <c r="AR529" s="35"/>
      <c r="AS529" s="35"/>
      <c r="AT529" s="35"/>
      <c r="AU529" s="35"/>
      <c r="AV529" s="35"/>
      <c r="AW529" s="35"/>
      <c r="AX529" s="35"/>
      <c r="AY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  <c r="AQ530" s="35"/>
      <c r="AR530" s="35"/>
      <c r="AS530" s="35"/>
      <c r="AT530" s="35"/>
      <c r="AU530" s="35"/>
      <c r="AV530" s="35"/>
      <c r="AW530" s="35"/>
      <c r="AX530" s="35"/>
      <c r="AY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  <c r="AQ531" s="35"/>
      <c r="AR531" s="35"/>
      <c r="AS531" s="35"/>
      <c r="AT531" s="35"/>
      <c r="AU531" s="35"/>
      <c r="AV531" s="35"/>
      <c r="AW531" s="35"/>
      <c r="AX531" s="35"/>
      <c r="AY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  <c r="AQ532" s="35"/>
      <c r="AR532" s="35"/>
      <c r="AS532" s="35"/>
      <c r="AT532" s="35"/>
      <c r="AU532" s="35"/>
      <c r="AV532" s="35"/>
      <c r="AW532" s="35"/>
      <c r="AX532" s="35"/>
      <c r="AY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  <c r="AQ534" s="35"/>
      <c r="AR534" s="35"/>
      <c r="AS534" s="35"/>
      <c r="AT534" s="35"/>
      <c r="AU534" s="35"/>
      <c r="AV534" s="35"/>
      <c r="AW534" s="35"/>
      <c r="AX534" s="35"/>
      <c r="AY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  <c r="AQ535" s="35"/>
      <c r="AR535" s="35"/>
      <c r="AS535" s="35"/>
      <c r="AT535" s="35"/>
      <c r="AU535" s="35"/>
      <c r="AV535" s="35"/>
      <c r="AW535" s="35"/>
      <c r="AX535" s="35"/>
      <c r="AY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  <c r="AQ536" s="35"/>
      <c r="AR536" s="35"/>
      <c r="AS536" s="35"/>
      <c r="AT536" s="35"/>
      <c r="AU536" s="35"/>
      <c r="AV536" s="35"/>
      <c r="AW536" s="35"/>
      <c r="AX536" s="35"/>
      <c r="AY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  <c r="AQ537" s="35"/>
      <c r="AR537" s="35"/>
      <c r="AS537" s="35"/>
      <c r="AT537" s="35"/>
      <c r="AU537" s="35"/>
      <c r="AV537" s="35"/>
      <c r="AW537" s="35"/>
      <c r="AX537" s="35"/>
      <c r="AY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  <c r="AQ538" s="35"/>
      <c r="AR538" s="35"/>
      <c r="AS538" s="35"/>
      <c r="AT538" s="35"/>
      <c r="AU538" s="35"/>
      <c r="AV538" s="35"/>
      <c r="AW538" s="35"/>
      <c r="AX538" s="35"/>
      <c r="AY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  <c r="AQ539" s="35"/>
      <c r="AR539" s="35"/>
      <c r="AS539" s="35"/>
      <c r="AT539" s="35"/>
      <c r="AU539" s="35"/>
      <c r="AV539" s="35"/>
      <c r="AW539" s="35"/>
      <c r="AX539" s="35"/>
      <c r="AY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  <c r="AQ540" s="35"/>
      <c r="AR540" s="35"/>
      <c r="AS540" s="35"/>
      <c r="AT540" s="35"/>
      <c r="AU540" s="35"/>
      <c r="AV540" s="35"/>
      <c r="AW540" s="35"/>
      <c r="AX540" s="35"/>
      <c r="AY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  <c r="AQ541" s="35"/>
      <c r="AR541" s="35"/>
      <c r="AS541" s="35"/>
      <c r="AT541" s="35"/>
      <c r="AU541" s="35"/>
      <c r="AV541" s="35"/>
      <c r="AW541" s="35"/>
      <c r="AX541" s="35"/>
      <c r="AY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  <c r="AQ542" s="35"/>
      <c r="AR542" s="35"/>
      <c r="AS542" s="35"/>
      <c r="AT542" s="35"/>
      <c r="AU542" s="35"/>
      <c r="AV542" s="35"/>
      <c r="AW542" s="35"/>
      <c r="AX542" s="35"/>
      <c r="AY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  <c r="AQ543" s="35"/>
      <c r="AR543" s="35"/>
      <c r="AS543" s="35"/>
      <c r="AT543" s="35"/>
      <c r="AU543" s="35"/>
      <c r="AV543" s="35"/>
      <c r="AW543" s="35"/>
      <c r="AX543" s="35"/>
      <c r="AY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  <c r="AQ544" s="35"/>
      <c r="AR544" s="35"/>
      <c r="AS544" s="35"/>
      <c r="AT544" s="35"/>
      <c r="AU544" s="35"/>
      <c r="AV544" s="35"/>
      <c r="AW544" s="35"/>
      <c r="AX544" s="35"/>
      <c r="AY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  <c r="AQ545" s="35"/>
      <c r="AR545" s="35"/>
      <c r="AS545" s="35"/>
      <c r="AT545" s="35"/>
      <c r="AU545" s="35"/>
      <c r="AV545" s="35"/>
      <c r="AW545" s="35"/>
      <c r="AX545" s="35"/>
      <c r="AY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  <c r="AQ546" s="35"/>
      <c r="AR546" s="35"/>
      <c r="AS546" s="35"/>
      <c r="AT546" s="35"/>
      <c r="AU546" s="35"/>
      <c r="AV546" s="35"/>
      <c r="AW546" s="35"/>
      <c r="AX546" s="35"/>
      <c r="AY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  <c r="AQ547" s="35"/>
      <c r="AR547" s="35"/>
      <c r="AS547" s="35"/>
      <c r="AT547" s="35"/>
      <c r="AU547" s="35"/>
      <c r="AV547" s="35"/>
      <c r="AW547" s="35"/>
      <c r="AX547" s="35"/>
      <c r="AY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  <c r="AQ548" s="35"/>
      <c r="AR548" s="35"/>
      <c r="AS548" s="35"/>
      <c r="AT548" s="35"/>
      <c r="AU548" s="35"/>
      <c r="AV548" s="35"/>
      <c r="AW548" s="35"/>
      <c r="AX548" s="35"/>
      <c r="AY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  <c r="AQ549" s="35"/>
      <c r="AR549" s="35"/>
      <c r="AS549" s="35"/>
      <c r="AT549" s="35"/>
      <c r="AU549" s="35"/>
      <c r="AV549" s="35"/>
      <c r="AW549" s="35"/>
      <c r="AX549" s="35"/>
      <c r="AY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  <c r="AQ550" s="35"/>
      <c r="AR550" s="35"/>
      <c r="AS550" s="35"/>
      <c r="AT550" s="35"/>
      <c r="AU550" s="35"/>
      <c r="AV550" s="35"/>
      <c r="AW550" s="35"/>
      <c r="AX550" s="35"/>
      <c r="AY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  <c r="AQ551" s="35"/>
      <c r="AR551" s="35"/>
      <c r="AS551" s="35"/>
      <c r="AT551" s="35"/>
      <c r="AU551" s="35"/>
      <c r="AV551" s="35"/>
      <c r="AW551" s="35"/>
      <c r="AX551" s="35"/>
      <c r="AY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  <c r="AQ552" s="35"/>
      <c r="AR552" s="35"/>
      <c r="AS552" s="35"/>
      <c r="AT552" s="35"/>
      <c r="AU552" s="35"/>
      <c r="AV552" s="35"/>
      <c r="AW552" s="35"/>
      <c r="AX552" s="35"/>
      <c r="AY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  <c r="AQ554" s="35"/>
      <c r="AR554" s="35"/>
      <c r="AS554" s="35"/>
      <c r="AT554" s="35"/>
      <c r="AU554" s="35"/>
      <c r="AV554" s="35"/>
      <c r="AW554" s="35"/>
      <c r="AX554" s="35"/>
      <c r="AY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  <c r="AQ555" s="35"/>
      <c r="AR555" s="35"/>
      <c r="AS555" s="35"/>
      <c r="AT555" s="35"/>
      <c r="AU555" s="35"/>
      <c r="AV555" s="35"/>
      <c r="AW555" s="35"/>
      <c r="AX555" s="35"/>
      <c r="AY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  <c r="AQ556" s="35"/>
      <c r="AR556" s="35"/>
      <c r="AS556" s="35"/>
      <c r="AT556" s="35"/>
      <c r="AU556" s="35"/>
      <c r="AV556" s="35"/>
      <c r="AW556" s="35"/>
      <c r="AX556" s="35"/>
      <c r="AY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  <c r="AQ557" s="35"/>
      <c r="AR557" s="35"/>
      <c r="AS557" s="35"/>
      <c r="AT557" s="35"/>
      <c r="AU557" s="35"/>
      <c r="AV557" s="35"/>
      <c r="AW557" s="35"/>
      <c r="AX557" s="35"/>
      <c r="AY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  <c r="AQ558" s="35"/>
      <c r="AR558" s="35"/>
      <c r="AS558" s="35"/>
      <c r="AT558" s="35"/>
      <c r="AU558" s="35"/>
      <c r="AV558" s="35"/>
      <c r="AW558" s="35"/>
      <c r="AX558" s="35"/>
      <c r="AY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  <c r="AQ560" s="35"/>
      <c r="AR560" s="35"/>
      <c r="AS560" s="35"/>
      <c r="AT560" s="35"/>
      <c r="AU560" s="35"/>
      <c r="AV560" s="35"/>
      <c r="AW560" s="35"/>
      <c r="AX560" s="35"/>
      <c r="AY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  <c r="AQ561" s="35"/>
      <c r="AR561" s="35"/>
      <c r="AS561" s="35"/>
      <c r="AT561" s="35"/>
      <c r="AU561" s="35"/>
      <c r="AV561" s="35"/>
      <c r="AW561" s="35"/>
      <c r="AX561" s="35"/>
      <c r="AY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  <c r="AQ562" s="35"/>
      <c r="AR562" s="35"/>
      <c r="AS562" s="35"/>
      <c r="AT562" s="35"/>
      <c r="AU562" s="35"/>
      <c r="AV562" s="35"/>
      <c r="AW562" s="35"/>
      <c r="AX562" s="35"/>
      <c r="AY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  <c r="AQ564" s="35"/>
      <c r="AR564" s="35"/>
      <c r="AS564" s="35"/>
      <c r="AT564" s="35"/>
      <c r="AU564" s="35"/>
      <c r="AV564" s="35"/>
      <c r="AW564" s="35"/>
      <c r="AX564" s="35"/>
      <c r="AY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  <c r="AQ566" s="35"/>
      <c r="AR566" s="35"/>
      <c r="AS566" s="35"/>
      <c r="AT566" s="35"/>
      <c r="AU566" s="35"/>
      <c r="AV566" s="35"/>
      <c r="AW566" s="35"/>
      <c r="AX566" s="35"/>
      <c r="AY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  <c r="AQ567" s="35"/>
      <c r="AR567" s="35"/>
      <c r="AS567" s="35"/>
      <c r="AT567" s="35"/>
      <c r="AU567" s="35"/>
      <c r="AV567" s="35"/>
      <c r="AW567" s="35"/>
      <c r="AX567" s="35"/>
      <c r="AY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  <c r="AQ568" s="35"/>
      <c r="AR568" s="35"/>
      <c r="AS568" s="35"/>
      <c r="AT568" s="35"/>
      <c r="AU568" s="35"/>
      <c r="AV568" s="35"/>
      <c r="AW568" s="35"/>
      <c r="AX568" s="35"/>
      <c r="AY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  <c r="AQ570" s="35"/>
      <c r="AR570" s="35"/>
      <c r="AS570" s="35"/>
      <c r="AT570" s="35"/>
      <c r="AU570" s="35"/>
      <c r="AV570" s="35"/>
      <c r="AW570" s="35"/>
      <c r="AX570" s="35"/>
      <c r="AY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  <c r="AQ571" s="35"/>
      <c r="AR571" s="35"/>
      <c r="AS571" s="35"/>
      <c r="AT571" s="35"/>
      <c r="AU571" s="35"/>
      <c r="AV571" s="35"/>
      <c r="AW571" s="35"/>
      <c r="AX571" s="35"/>
      <c r="AY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  <c r="AQ572" s="35"/>
      <c r="AR572" s="35"/>
      <c r="AS572" s="35"/>
      <c r="AT572" s="35"/>
      <c r="AU572" s="35"/>
      <c r="AV572" s="35"/>
      <c r="AW572" s="35"/>
      <c r="AX572" s="35"/>
      <c r="AY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  <c r="AQ573" s="35"/>
      <c r="AR573" s="35"/>
      <c r="AS573" s="35"/>
      <c r="AT573" s="35"/>
      <c r="AU573" s="35"/>
      <c r="AV573" s="35"/>
      <c r="AW573" s="35"/>
      <c r="AX573" s="35"/>
      <c r="AY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  <c r="AQ574" s="35"/>
      <c r="AR574" s="35"/>
      <c r="AS574" s="35"/>
      <c r="AT574" s="35"/>
      <c r="AU574" s="35"/>
      <c r="AV574" s="35"/>
      <c r="AW574" s="35"/>
      <c r="AX574" s="35"/>
      <c r="AY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  <c r="AQ575" s="35"/>
      <c r="AR575" s="35"/>
      <c r="AS575" s="35"/>
      <c r="AT575" s="35"/>
      <c r="AU575" s="35"/>
      <c r="AV575" s="35"/>
      <c r="AW575" s="35"/>
      <c r="AX575" s="35"/>
      <c r="AY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  <c r="AQ576" s="35"/>
      <c r="AR576" s="35"/>
      <c r="AS576" s="35"/>
      <c r="AT576" s="35"/>
      <c r="AU576" s="35"/>
      <c r="AV576" s="35"/>
      <c r="AW576" s="35"/>
      <c r="AX576" s="35"/>
      <c r="AY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  <c r="AQ577" s="35"/>
      <c r="AR577" s="35"/>
      <c r="AS577" s="35"/>
      <c r="AT577" s="35"/>
      <c r="AU577" s="35"/>
      <c r="AV577" s="35"/>
      <c r="AW577" s="35"/>
      <c r="AX577" s="35"/>
      <c r="AY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  <c r="AQ578" s="35"/>
      <c r="AR578" s="35"/>
      <c r="AS578" s="35"/>
      <c r="AT578" s="35"/>
      <c r="AU578" s="35"/>
      <c r="AV578" s="35"/>
      <c r="AW578" s="35"/>
      <c r="AX578" s="35"/>
      <c r="AY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  <c r="AQ579" s="35"/>
      <c r="AR579" s="35"/>
      <c r="AS579" s="35"/>
      <c r="AT579" s="35"/>
      <c r="AU579" s="35"/>
      <c r="AV579" s="35"/>
      <c r="AW579" s="35"/>
      <c r="AX579" s="35"/>
      <c r="AY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  <c r="AQ580" s="35"/>
      <c r="AR580" s="35"/>
      <c r="AS580" s="35"/>
      <c r="AT580" s="35"/>
      <c r="AU580" s="35"/>
      <c r="AV580" s="35"/>
      <c r="AW580" s="35"/>
      <c r="AX580" s="35"/>
      <c r="AY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  <c r="AQ581" s="35"/>
      <c r="AR581" s="35"/>
      <c r="AS581" s="35"/>
      <c r="AT581" s="35"/>
      <c r="AU581" s="35"/>
      <c r="AV581" s="35"/>
      <c r="AW581" s="35"/>
      <c r="AX581" s="35"/>
      <c r="AY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  <c r="AQ583" s="35"/>
      <c r="AR583" s="35"/>
      <c r="AS583" s="35"/>
      <c r="AT583" s="35"/>
      <c r="AU583" s="35"/>
      <c r="AV583" s="35"/>
      <c r="AW583" s="35"/>
      <c r="AX583" s="35"/>
      <c r="AY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  <c r="AQ584" s="35"/>
      <c r="AR584" s="35"/>
      <c r="AS584" s="35"/>
      <c r="AT584" s="35"/>
      <c r="AU584" s="35"/>
      <c r="AV584" s="35"/>
      <c r="AW584" s="35"/>
      <c r="AX584" s="35"/>
      <c r="AY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  <c r="AQ586" s="35"/>
      <c r="AR586" s="35"/>
      <c r="AS586" s="35"/>
      <c r="AT586" s="35"/>
      <c r="AU586" s="35"/>
      <c r="AV586" s="35"/>
      <c r="AW586" s="35"/>
      <c r="AX586" s="35"/>
      <c r="AY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  <c r="AQ587" s="35"/>
      <c r="AR587" s="35"/>
      <c r="AS587" s="35"/>
      <c r="AT587" s="35"/>
      <c r="AU587" s="35"/>
      <c r="AV587" s="35"/>
      <c r="AW587" s="35"/>
      <c r="AX587" s="35"/>
      <c r="AY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  <c r="AQ588" s="35"/>
      <c r="AR588" s="35"/>
      <c r="AS588" s="35"/>
      <c r="AT588" s="35"/>
      <c r="AU588" s="35"/>
      <c r="AV588" s="35"/>
      <c r="AW588" s="35"/>
      <c r="AX588" s="35"/>
      <c r="AY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  <c r="AQ589" s="35"/>
      <c r="AR589" s="35"/>
      <c r="AS589" s="35"/>
      <c r="AT589" s="35"/>
      <c r="AU589" s="35"/>
      <c r="AV589" s="35"/>
      <c r="AW589" s="35"/>
      <c r="AX589" s="35"/>
      <c r="AY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  <c r="AQ590" s="35"/>
      <c r="AR590" s="35"/>
      <c r="AS590" s="35"/>
      <c r="AT590" s="35"/>
      <c r="AU590" s="35"/>
      <c r="AV590" s="35"/>
      <c r="AW590" s="35"/>
      <c r="AX590" s="35"/>
      <c r="AY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  <c r="AQ591" s="35"/>
      <c r="AR591" s="35"/>
      <c r="AS591" s="35"/>
      <c r="AT591" s="35"/>
      <c r="AU591" s="35"/>
      <c r="AV591" s="35"/>
      <c r="AW591" s="35"/>
      <c r="AX591" s="35"/>
      <c r="AY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  <c r="AQ592" s="35"/>
      <c r="AR592" s="35"/>
      <c r="AS592" s="35"/>
      <c r="AT592" s="35"/>
      <c r="AU592" s="35"/>
      <c r="AV592" s="35"/>
      <c r="AW592" s="35"/>
      <c r="AX592" s="35"/>
      <c r="AY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  <c r="AQ593" s="35"/>
      <c r="AR593" s="35"/>
      <c r="AS593" s="35"/>
      <c r="AT593" s="35"/>
      <c r="AU593" s="35"/>
      <c r="AV593" s="35"/>
      <c r="AW593" s="35"/>
      <c r="AX593" s="35"/>
      <c r="AY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  <c r="AQ594" s="35"/>
      <c r="AR594" s="35"/>
      <c r="AS594" s="35"/>
      <c r="AT594" s="35"/>
      <c r="AU594" s="35"/>
      <c r="AV594" s="35"/>
      <c r="AW594" s="35"/>
      <c r="AX594" s="35"/>
      <c r="AY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  <c r="AQ596" s="35"/>
      <c r="AR596" s="35"/>
      <c r="AS596" s="35"/>
      <c r="AT596" s="35"/>
      <c r="AU596" s="35"/>
      <c r="AV596" s="35"/>
      <c r="AW596" s="35"/>
      <c r="AX596" s="35"/>
      <c r="AY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  <c r="AQ597" s="35"/>
      <c r="AR597" s="35"/>
      <c r="AS597" s="35"/>
      <c r="AT597" s="35"/>
      <c r="AU597" s="35"/>
      <c r="AV597" s="35"/>
      <c r="AW597" s="35"/>
      <c r="AX597" s="35"/>
      <c r="AY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  <c r="AQ598" s="35"/>
      <c r="AR598" s="35"/>
      <c r="AS598" s="35"/>
      <c r="AT598" s="35"/>
      <c r="AU598" s="35"/>
      <c r="AV598" s="35"/>
      <c r="AW598" s="35"/>
      <c r="AX598" s="35"/>
      <c r="AY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  <c r="AQ600" s="35"/>
      <c r="AR600" s="35"/>
      <c r="AS600" s="35"/>
      <c r="AT600" s="35"/>
      <c r="AU600" s="35"/>
      <c r="AV600" s="35"/>
      <c r="AW600" s="35"/>
      <c r="AX600" s="35"/>
      <c r="AY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  <c r="AQ601" s="35"/>
      <c r="AR601" s="35"/>
      <c r="AS601" s="35"/>
      <c r="AT601" s="35"/>
      <c r="AU601" s="35"/>
      <c r="AV601" s="35"/>
      <c r="AW601" s="35"/>
      <c r="AX601" s="35"/>
      <c r="AY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  <c r="AQ602" s="35"/>
      <c r="AR602" s="35"/>
      <c r="AS602" s="35"/>
      <c r="AT602" s="35"/>
      <c r="AU602" s="35"/>
      <c r="AV602" s="35"/>
      <c r="AW602" s="35"/>
      <c r="AX602" s="35"/>
      <c r="AY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  <c r="AQ603" s="35"/>
      <c r="AR603" s="35"/>
      <c r="AS603" s="35"/>
      <c r="AT603" s="35"/>
      <c r="AU603" s="35"/>
      <c r="AV603" s="35"/>
      <c r="AW603" s="35"/>
      <c r="AX603" s="35"/>
      <c r="AY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  <c r="AQ604" s="35"/>
      <c r="AR604" s="35"/>
      <c r="AS604" s="35"/>
      <c r="AT604" s="35"/>
      <c r="AU604" s="35"/>
      <c r="AV604" s="35"/>
      <c r="AW604" s="35"/>
      <c r="AX604" s="35"/>
      <c r="AY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  <c r="AQ605" s="35"/>
      <c r="AR605" s="35"/>
      <c r="AS605" s="35"/>
      <c r="AT605" s="35"/>
      <c r="AU605" s="35"/>
      <c r="AV605" s="35"/>
      <c r="AW605" s="35"/>
      <c r="AX605" s="35"/>
      <c r="AY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  <c r="AQ606" s="35"/>
      <c r="AR606" s="35"/>
      <c r="AS606" s="35"/>
      <c r="AT606" s="35"/>
      <c r="AU606" s="35"/>
      <c r="AV606" s="35"/>
      <c r="AW606" s="35"/>
      <c r="AX606" s="35"/>
      <c r="AY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  <c r="AQ607" s="35"/>
      <c r="AR607" s="35"/>
      <c r="AS607" s="35"/>
      <c r="AT607" s="35"/>
      <c r="AU607" s="35"/>
      <c r="AV607" s="35"/>
      <c r="AW607" s="35"/>
      <c r="AX607" s="35"/>
      <c r="AY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  <c r="AQ608" s="35"/>
      <c r="AR608" s="35"/>
      <c r="AS608" s="35"/>
      <c r="AT608" s="35"/>
      <c r="AU608" s="35"/>
      <c r="AV608" s="35"/>
      <c r="AW608" s="35"/>
      <c r="AX608" s="35"/>
      <c r="AY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  <c r="AQ609" s="35"/>
      <c r="AR609" s="35"/>
      <c r="AS609" s="35"/>
      <c r="AT609" s="35"/>
      <c r="AU609" s="35"/>
      <c r="AV609" s="35"/>
      <c r="AW609" s="35"/>
      <c r="AX609" s="35"/>
      <c r="AY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  <c r="AQ610" s="35"/>
      <c r="AR610" s="35"/>
      <c r="AS610" s="35"/>
      <c r="AT610" s="35"/>
      <c r="AU610" s="35"/>
      <c r="AV610" s="35"/>
      <c r="AW610" s="35"/>
      <c r="AX610" s="35"/>
      <c r="AY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  <c r="AQ611" s="35"/>
      <c r="AR611" s="35"/>
      <c r="AS611" s="35"/>
      <c r="AT611" s="35"/>
      <c r="AU611" s="35"/>
      <c r="AV611" s="35"/>
      <c r="AW611" s="35"/>
      <c r="AX611" s="35"/>
      <c r="AY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  <c r="AQ612" s="35"/>
      <c r="AR612" s="35"/>
      <c r="AS612" s="35"/>
      <c r="AT612" s="35"/>
      <c r="AU612" s="35"/>
      <c r="AV612" s="35"/>
      <c r="AW612" s="35"/>
      <c r="AX612" s="35"/>
      <c r="AY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  <c r="AQ613" s="35"/>
      <c r="AR613" s="35"/>
      <c r="AS613" s="35"/>
      <c r="AT613" s="35"/>
      <c r="AU613" s="35"/>
      <c r="AV613" s="35"/>
      <c r="AW613" s="35"/>
      <c r="AX613" s="35"/>
      <c r="AY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  <c r="AQ614" s="35"/>
      <c r="AR614" s="35"/>
      <c r="AS614" s="35"/>
      <c r="AT614" s="35"/>
      <c r="AU614" s="35"/>
      <c r="AV614" s="35"/>
      <c r="AW614" s="35"/>
      <c r="AX614" s="35"/>
      <c r="AY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  <c r="AQ615" s="35"/>
      <c r="AR615" s="35"/>
      <c r="AS615" s="35"/>
      <c r="AT615" s="35"/>
      <c r="AU615" s="35"/>
      <c r="AV615" s="35"/>
      <c r="AW615" s="35"/>
      <c r="AX615" s="35"/>
      <c r="AY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  <c r="AQ616" s="35"/>
      <c r="AR616" s="35"/>
      <c r="AS616" s="35"/>
      <c r="AT616" s="35"/>
      <c r="AU616" s="35"/>
      <c r="AV616" s="35"/>
      <c r="AW616" s="35"/>
      <c r="AX616" s="35"/>
      <c r="AY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  <c r="AQ617" s="35"/>
      <c r="AR617" s="35"/>
      <c r="AS617" s="35"/>
      <c r="AT617" s="35"/>
      <c r="AU617" s="35"/>
      <c r="AV617" s="35"/>
      <c r="AW617" s="35"/>
      <c r="AX617" s="35"/>
      <c r="AY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  <c r="AQ618" s="35"/>
      <c r="AR618" s="35"/>
      <c r="AS618" s="35"/>
      <c r="AT618" s="35"/>
      <c r="AU618" s="35"/>
      <c r="AV618" s="35"/>
      <c r="AW618" s="35"/>
      <c r="AX618" s="35"/>
      <c r="AY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  <c r="AQ619" s="35"/>
      <c r="AR619" s="35"/>
      <c r="AS619" s="35"/>
      <c r="AT619" s="35"/>
      <c r="AU619" s="35"/>
      <c r="AV619" s="35"/>
      <c r="AW619" s="35"/>
      <c r="AX619" s="35"/>
      <c r="AY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  <c r="AQ620" s="35"/>
      <c r="AR620" s="35"/>
      <c r="AS620" s="35"/>
      <c r="AT620" s="35"/>
      <c r="AU620" s="35"/>
      <c r="AV620" s="35"/>
      <c r="AW620" s="35"/>
      <c r="AX620" s="35"/>
      <c r="AY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  <c r="AQ621" s="35"/>
      <c r="AR621" s="35"/>
      <c r="AS621" s="35"/>
      <c r="AT621" s="35"/>
      <c r="AU621" s="35"/>
      <c r="AV621" s="35"/>
      <c r="AW621" s="35"/>
      <c r="AX621" s="35"/>
      <c r="AY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  <c r="AQ622" s="35"/>
      <c r="AR622" s="35"/>
      <c r="AS622" s="35"/>
      <c r="AT622" s="35"/>
      <c r="AU622" s="35"/>
      <c r="AV622" s="35"/>
      <c r="AW622" s="35"/>
      <c r="AX622" s="35"/>
      <c r="AY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  <c r="AQ623" s="35"/>
      <c r="AR623" s="35"/>
      <c r="AS623" s="35"/>
      <c r="AT623" s="35"/>
      <c r="AU623" s="35"/>
      <c r="AV623" s="35"/>
      <c r="AW623" s="35"/>
      <c r="AX623" s="35"/>
      <c r="AY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  <c r="AQ624" s="35"/>
      <c r="AR624" s="35"/>
      <c r="AS624" s="35"/>
      <c r="AT624" s="35"/>
      <c r="AU624" s="35"/>
      <c r="AV624" s="35"/>
      <c r="AW624" s="35"/>
      <c r="AX624" s="35"/>
      <c r="AY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  <c r="AQ626" s="35"/>
      <c r="AR626" s="35"/>
      <c r="AS626" s="35"/>
      <c r="AT626" s="35"/>
      <c r="AU626" s="35"/>
      <c r="AV626" s="35"/>
      <c r="AW626" s="35"/>
      <c r="AX626" s="35"/>
      <c r="AY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  <c r="AQ627" s="35"/>
      <c r="AR627" s="35"/>
      <c r="AS627" s="35"/>
      <c r="AT627" s="35"/>
      <c r="AU627" s="35"/>
      <c r="AV627" s="35"/>
      <c r="AW627" s="35"/>
      <c r="AX627" s="35"/>
      <c r="AY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  <c r="AQ628" s="35"/>
      <c r="AR628" s="35"/>
      <c r="AS628" s="35"/>
      <c r="AT628" s="35"/>
      <c r="AU628" s="35"/>
      <c r="AV628" s="35"/>
      <c r="AW628" s="35"/>
      <c r="AX628" s="35"/>
      <c r="AY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  <c r="AQ629" s="35"/>
      <c r="AR629" s="35"/>
      <c r="AS629" s="35"/>
      <c r="AT629" s="35"/>
      <c r="AU629" s="35"/>
      <c r="AV629" s="35"/>
      <c r="AW629" s="35"/>
      <c r="AX629" s="35"/>
      <c r="AY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  <c r="AQ630" s="35"/>
      <c r="AR630" s="35"/>
      <c r="AS630" s="35"/>
      <c r="AT630" s="35"/>
      <c r="AU630" s="35"/>
      <c r="AV630" s="35"/>
      <c r="AW630" s="35"/>
      <c r="AX630" s="35"/>
      <c r="AY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  <c r="AQ631" s="35"/>
      <c r="AR631" s="35"/>
      <c r="AS631" s="35"/>
      <c r="AT631" s="35"/>
      <c r="AU631" s="35"/>
      <c r="AV631" s="35"/>
      <c r="AW631" s="35"/>
      <c r="AX631" s="35"/>
      <c r="AY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  <c r="AQ632" s="35"/>
      <c r="AR632" s="35"/>
      <c r="AS632" s="35"/>
      <c r="AT632" s="35"/>
      <c r="AU632" s="35"/>
      <c r="AV632" s="35"/>
      <c r="AW632" s="35"/>
      <c r="AX632" s="35"/>
      <c r="AY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  <c r="AQ633" s="35"/>
      <c r="AR633" s="35"/>
      <c r="AS633" s="35"/>
      <c r="AT633" s="35"/>
      <c r="AU633" s="35"/>
      <c r="AV633" s="35"/>
      <c r="AW633" s="35"/>
      <c r="AX633" s="35"/>
      <c r="AY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  <c r="AQ634" s="35"/>
      <c r="AR634" s="35"/>
      <c r="AS634" s="35"/>
      <c r="AT634" s="35"/>
      <c r="AU634" s="35"/>
      <c r="AV634" s="35"/>
      <c r="AW634" s="35"/>
      <c r="AX634" s="35"/>
      <c r="AY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  <c r="AQ635" s="35"/>
      <c r="AR635" s="35"/>
      <c r="AS635" s="35"/>
      <c r="AT635" s="35"/>
      <c r="AU635" s="35"/>
      <c r="AV635" s="35"/>
      <c r="AW635" s="35"/>
      <c r="AX635" s="35"/>
      <c r="AY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  <c r="AQ636" s="35"/>
      <c r="AR636" s="35"/>
      <c r="AS636" s="35"/>
      <c r="AT636" s="35"/>
      <c r="AU636" s="35"/>
      <c r="AV636" s="35"/>
      <c r="AW636" s="35"/>
      <c r="AX636" s="35"/>
      <c r="AY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  <c r="AQ638" s="35"/>
      <c r="AR638" s="35"/>
      <c r="AS638" s="35"/>
      <c r="AT638" s="35"/>
      <c r="AU638" s="35"/>
      <c r="AV638" s="35"/>
      <c r="AW638" s="35"/>
      <c r="AX638" s="35"/>
      <c r="AY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  <c r="AQ639" s="35"/>
      <c r="AR639" s="35"/>
      <c r="AS639" s="35"/>
      <c r="AT639" s="35"/>
      <c r="AU639" s="35"/>
      <c r="AV639" s="35"/>
      <c r="AW639" s="35"/>
      <c r="AX639" s="35"/>
      <c r="AY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  <c r="AQ641" s="35"/>
      <c r="AR641" s="35"/>
      <c r="AS641" s="35"/>
      <c r="AT641" s="35"/>
      <c r="AU641" s="35"/>
      <c r="AV641" s="35"/>
      <c r="AW641" s="35"/>
      <c r="AX641" s="35"/>
      <c r="AY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  <c r="AQ642" s="35"/>
      <c r="AR642" s="35"/>
      <c r="AS642" s="35"/>
      <c r="AT642" s="35"/>
      <c r="AU642" s="35"/>
      <c r="AV642" s="35"/>
      <c r="AW642" s="35"/>
      <c r="AX642" s="35"/>
      <c r="AY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  <c r="AQ643" s="35"/>
      <c r="AR643" s="35"/>
      <c r="AS643" s="35"/>
      <c r="AT643" s="35"/>
      <c r="AU643" s="35"/>
      <c r="AV643" s="35"/>
      <c r="AW643" s="35"/>
      <c r="AX643" s="35"/>
      <c r="AY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  <c r="AQ644" s="35"/>
      <c r="AR644" s="35"/>
      <c r="AS644" s="35"/>
      <c r="AT644" s="35"/>
      <c r="AU644" s="35"/>
      <c r="AV644" s="35"/>
      <c r="AW644" s="35"/>
      <c r="AX644" s="35"/>
      <c r="AY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  <c r="AQ645" s="35"/>
      <c r="AR645" s="35"/>
      <c r="AS645" s="35"/>
      <c r="AT645" s="35"/>
      <c r="AU645" s="35"/>
      <c r="AV645" s="35"/>
      <c r="AW645" s="35"/>
      <c r="AX645" s="35"/>
      <c r="AY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  <c r="AQ646" s="35"/>
      <c r="AR646" s="35"/>
      <c r="AS646" s="35"/>
      <c r="AT646" s="35"/>
      <c r="AU646" s="35"/>
      <c r="AV646" s="35"/>
      <c r="AW646" s="35"/>
      <c r="AX646" s="35"/>
      <c r="AY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  <c r="AQ647" s="35"/>
      <c r="AR647" s="35"/>
      <c r="AS647" s="35"/>
      <c r="AT647" s="35"/>
      <c r="AU647" s="35"/>
      <c r="AV647" s="35"/>
      <c r="AW647" s="35"/>
      <c r="AX647" s="35"/>
      <c r="AY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  <c r="AQ648" s="35"/>
      <c r="AR648" s="35"/>
      <c r="AS648" s="35"/>
      <c r="AT648" s="35"/>
      <c r="AU648" s="35"/>
      <c r="AV648" s="35"/>
      <c r="AW648" s="35"/>
      <c r="AX648" s="35"/>
      <c r="AY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  <c r="AQ649" s="35"/>
      <c r="AR649" s="35"/>
      <c r="AS649" s="35"/>
      <c r="AT649" s="35"/>
      <c r="AU649" s="35"/>
      <c r="AV649" s="35"/>
      <c r="AW649" s="35"/>
      <c r="AX649" s="35"/>
      <c r="AY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  <c r="AQ650" s="35"/>
      <c r="AR650" s="35"/>
      <c r="AS650" s="35"/>
      <c r="AT650" s="35"/>
      <c r="AU650" s="35"/>
      <c r="AV650" s="35"/>
      <c r="AW650" s="35"/>
      <c r="AX650" s="35"/>
      <c r="AY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  <c r="AQ651" s="35"/>
      <c r="AR651" s="35"/>
      <c r="AS651" s="35"/>
      <c r="AT651" s="35"/>
      <c r="AU651" s="35"/>
      <c r="AV651" s="35"/>
      <c r="AW651" s="35"/>
      <c r="AX651" s="35"/>
      <c r="AY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  <c r="AQ652" s="35"/>
      <c r="AR652" s="35"/>
      <c r="AS652" s="35"/>
      <c r="AT652" s="35"/>
      <c r="AU652" s="35"/>
      <c r="AV652" s="35"/>
      <c r="AW652" s="35"/>
      <c r="AX652" s="35"/>
      <c r="AY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  <c r="AQ653" s="35"/>
      <c r="AR653" s="35"/>
      <c r="AS653" s="35"/>
      <c r="AT653" s="35"/>
      <c r="AU653" s="35"/>
      <c r="AV653" s="35"/>
      <c r="AW653" s="35"/>
      <c r="AX653" s="35"/>
      <c r="AY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  <c r="AQ654" s="35"/>
      <c r="AR654" s="35"/>
      <c r="AS654" s="35"/>
      <c r="AT654" s="35"/>
      <c r="AU654" s="35"/>
      <c r="AV654" s="35"/>
      <c r="AW654" s="35"/>
      <c r="AX654" s="35"/>
      <c r="AY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  <c r="AQ655" s="35"/>
      <c r="AR655" s="35"/>
      <c r="AS655" s="35"/>
      <c r="AT655" s="35"/>
      <c r="AU655" s="35"/>
      <c r="AV655" s="35"/>
      <c r="AW655" s="35"/>
      <c r="AX655" s="35"/>
      <c r="AY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  <c r="AQ656" s="35"/>
      <c r="AR656" s="35"/>
      <c r="AS656" s="35"/>
      <c r="AT656" s="35"/>
      <c r="AU656" s="35"/>
      <c r="AV656" s="35"/>
      <c r="AW656" s="35"/>
      <c r="AX656" s="35"/>
      <c r="AY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  <c r="AQ657" s="35"/>
      <c r="AR657" s="35"/>
      <c r="AS657" s="35"/>
      <c r="AT657" s="35"/>
      <c r="AU657" s="35"/>
      <c r="AV657" s="35"/>
      <c r="AW657" s="35"/>
      <c r="AX657" s="35"/>
      <c r="AY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  <c r="AQ658" s="35"/>
      <c r="AR658" s="35"/>
      <c r="AS658" s="35"/>
      <c r="AT658" s="35"/>
      <c r="AU658" s="35"/>
      <c r="AV658" s="35"/>
      <c r="AW658" s="35"/>
      <c r="AX658" s="35"/>
      <c r="AY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  <c r="AQ660" s="35"/>
      <c r="AR660" s="35"/>
      <c r="AS660" s="35"/>
      <c r="AT660" s="35"/>
      <c r="AU660" s="35"/>
      <c r="AV660" s="35"/>
      <c r="AW660" s="35"/>
      <c r="AX660" s="35"/>
      <c r="AY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  <c r="AQ661" s="35"/>
      <c r="AR661" s="35"/>
      <c r="AS661" s="35"/>
      <c r="AT661" s="35"/>
      <c r="AU661" s="35"/>
      <c r="AV661" s="35"/>
      <c r="AW661" s="35"/>
      <c r="AX661" s="35"/>
      <c r="AY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  <c r="AQ662" s="35"/>
      <c r="AR662" s="35"/>
      <c r="AS662" s="35"/>
      <c r="AT662" s="35"/>
      <c r="AU662" s="35"/>
      <c r="AV662" s="35"/>
      <c r="AW662" s="35"/>
      <c r="AX662" s="35"/>
      <c r="AY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  <c r="AQ663" s="35"/>
      <c r="AR663" s="35"/>
      <c r="AS663" s="35"/>
      <c r="AT663" s="35"/>
      <c r="AU663" s="35"/>
      <c r="AV663" s="35"/>
      <c r="AW663" s="35"/>
      <c r="AX663" s="35"/>
      <c r="AY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  <c r="AQ664" s="35"/>
      <c r="AR664" s="35"/>
      <c r="AS664" s="35"/>
      <c r="AT664" s="35"/>
      <c r="AU664" s="35"/>
      <c r="AV664" s="35"/>
      <c r="AW664" s="35"/>
      <c r="AX664" s="35"/>
      <c r="AY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  <c r="AQ665" s="35"/>
      <c r="AR665" s="35"/>
      <c r="AS665" s="35"/>
      <c r="AT665" s="35"/>
      <c r="AU665" s="35"/>
      <c r="AV665" s="35"/>
      <c r="AW665" s="35"/>
      <c r="AX665" s="35"/>
      <c r="AY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  <c r="AQ666" s="35"/>
      <c r="AR666" s="35"/>
      <c r="AS666" s="35"/>
      <c r="AT666" s="35"/>
      <c r="AU666" s="35"/>
      <c r="AV666" s="35"/>
      <c r="AW666" s="35"/>
      <c r="AX666" s="35"/>
      <c r="AY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  <c r="AQ667" s="35"/>
      <c r="AR667" s="35"/>
      <c r="AS667" s="35"/>
      <c r="AT667" s="35"/>
      <c r="AU667" s="35"/>
      <c r="AV667" s="35"/>
      <c r="AW667" s="35"/>
      <c r="AX667" s="35"/>
      <c r="AY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  <c r="AL668" s="35"/>
      <c r="AM668" s="35"/>
      <c r="AN668" s="35"/>
      <c r="AO668" s="35"/>
      <c r="AP668" s="35"/>
      <c r="AQ668" s="35"/>
      <c r="AR668" s="35"/>
      <c r="AS668" s="35"/>
      <c r="AT668" s="35"/>
      <c r="AU668" s="35"/>
      <c r="AV668" s="35"/>
      <c r="AW668" s="35"/>
      <c r="AX668" s="35"/>
      <c r="AY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  <c r="AL669" s="35"/>
      <c r="AM669" s="35"/>
      <c r="AN669" s="35"/>
      <c r="AO669" s="35"/>
      <c r="AP669" s="35"/>
      <c r="AQ669" s="35"/>
      <c r="AR669" s="35"/>
      <c r="AS669" s="35"/>
      <c r="AT669" s="35"/>
      <c r="AU669" s="35"/>
      <c r="AV669" s="35"/>
      <c r="AW669" s="35"/>
      <c r="AX669" s="35"/>
      <c r="AY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  <c r="AL670" s="35"/>
      <c r="AM670" s="35"/>
      <c r="AN670" s="35"/>
      <c r="AO670" s="35"/>
      <c r="AP670" s="35"/>
      <c r="AQ670" s="35"/>
      <c r="AR670" s="35"/>
      <c r="AS670" s="35"/>
      <c r="AT670" s="35"/>
      <c r="AU670" s="35"/>
      <c r="AV670" s="35"/>
      <c r="AW670" s="35"/>
      <c r="AX670" s="35"/>
      <c r="AY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  <c r="AL671" s="35"/>
      <c r="AM671" s="35"/>
      <c r="AN671" s="35"/>
      <c r="AO671" s="35"/>
      <c r="AP671" s="35"/>
      <c r="AQ671" s="35"/>
      <c r="AR671" s="35"/>
      <c r="AS671" s="35"/>
      <c r="AT671" s="35"/>
      <c r="AU671" s="35"/>
      <c r="AV671" s="35"/>
      <c r="AW671" s="35"/>
      <c r="AX671" s="35"/>
      <c r="AY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  <c r="AL672" s="35"/>
      <c r="AM672" s="35"/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  <c r="AL673" s="35"/>
      <c r="AM673" s="35"/>
      <c r="AN673" s="35"/>
      <c r="AO673" s="35"/>
      <c r="AP673" s="35"/>
      <c r="AQ673" s="35"/>
      <c r="AR673" s="35"/>
      <c r="AS673" s="35"/>
      <c r="AT673" s="35"/>
      <c r="AU673" s="35"/>
      <c r="AV673" s="35"/>
      <c r="AW673" s="35"/>
      <c r="AX673" s="35"/>
      <c r="AY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  <c r="AL674" s="35"/>
      <c r="AM674" s="35"/>
      <c r="AN674" s="35"/>
      <c r="AO674" s="35"/>
      <c r="AP674" s="35"/>
      <c r="AQ674" s="35"/>
      <c r="AR674" s="35"/>
      <c r="AS674" s="35"/>
      <c r="AT674" s="35"/>
      <c r="AU674" s="35"/>
      <c r="AV674" s="35"/>
      <c r="AW674" s="35"/>
      <c r="AX674" s="35"/>
      <c r="AY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  <c r="AL675" s="35"/>
      <c r="AM675" s="35"/>
      <c r="AN675" s="35"/>
      <c r="AO675" s="35"/>
      <c r="AP675" s="35"/>
      <c r="AQ675" s="35"/>
      <c r="AR675" s="35"/>
      <c r="AS675" s="35"/>
      <c r="AT675" s="35"/>
      <c r="AU675" s="35"/>
      <c r="AV675" s="35"/>
      <c r="AW675" s="35"/>
      <c r="AX675" s="35"/>
      <c r="AY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  <c r="AL676" s="35"/>
      <c r="AM676" s="35"/>
      <c r="AN676" s="35"/>
      <c r="AO676" s="35"/>
      <c r="AP676" s="35"/>
      <c r="AQ676" s="35"/>
      <c r="AR676" s="35"/>
      <c r="AS676" s="35"/>
      <c r="AT676" s="35"/>
      <c r="AU676" s="35"/>
      <c r="AV676" s="35"/>
      <c r="AW676" s="35"/>
      <c r="AX676" s="35"/>
      <c r="AY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  <c r="AL677" s="35"/>
      <c r="AM677" s="35"/>
      <c r="AN677" s="35"/>
      <c r="AO677" s="35"/>
      <c r="AP677" s="35"/>
      <c r="AQ677" s="35"/>
      <c r="AR677" s="35"/>
      <c r="AS677" s="35"/>
      <c r="AT677" s="35"/>
      <c r="AU677" s="35"/>
      <c r="AV677" s="35"/>
      <c r="AW677" s="35"/>
      <c r="AX677" s="35"/>
      <c r="AY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  <c r="AL678" s="35"/>
      <c r="AM678" s="35"/>
      <c r="AN678" s="35"/>
      <c r="AO678" s="35"/>
      <c r="AP678" s="35"/>
      <c r="AQ678" s="35"/>
      <c r="AR678" s="35"/>
      <c r="AS678" s="35"/>
      <c r="AT678" s="35"/>
      <c r="AU678" s="35"/>
      <c r="AV678" s="35"/>
      <c r="AW678" s="35"/>
      <c r="AX678" s="35"/>
      <c r="AY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  <c r="AL679" s="35"/>
      <c r="AM679" s="35"/>
      <c r="AN679" s="35"/>
      <c r="AO679" s="35"/>
      <c r="AP679" s="35"/>
      <c r="AQ679" s="35"/>
      <c r="AR679" s="35"/>
      <c r="AS679" s="35"/>
      <c r="AT679" s="35"/>
      <c r="AU679" s="35"/>
      <c r="AV679" s="35"/>
      <c r="AW679" s="35"/>
      <c r="AX679" s="35"/>
      <c r="AY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  <c r="AL680" s="35"/>
      <c r="AM680" s="35"/>
      <c r="AN680" s="35"/>
      <c r="AO680" s="35"/>
      <c r="AP680" s="35"/>
      <c r="AQ680" s="35"/>
      <c r="AR680" s="35"/>
      <c r="AS680" s="35"/>
      <c r="AT680" s="35"/>
      <c r="AU680" s="35"/>
      <c r="AV680" s="35"/>
      <c r="AW680" s="35"/>
      <c r="AX680" s="35"/>
      <c r="AY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  <c r="AL681" s="35"/>
      <c r="AM681" s="35"/>
      <c r="AN681" s="35"/>
      <c r="AO681" s="35"/>
      <c r="AP681" s="35"/>
      <c r="AQ681" s="35"/>
      <c r="AR681" s="35"/>
      <c r="AS681" s="35"/>
      <c r="AT681" s="35"/>
      <c r="AU681" s="35"/>
      <c r="AV681" s="35"/>
      <c r="AW681" s="35"/>
      <c r="AX681" s="35"/>
      <c r="AY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  <c r="AL682" s="35"/>
      <c r="AM682" s="35"/>
      <c r="AN682" s="35"/>
      <c r="AO682" s="35"/>
      <c r="AP682" s="35"/>
      <c r="AQ682" s="35"/>
      <c r="AR682" s="35"/>
      <c r="AS682" s="35"/>
      <c r="AT682" s="35"/>
      <c r="AU682" s="35"/>
      <c r="AV682" s="35"/>
      <c r="AW682" s="35"/>
      <c r="AX682" s="35"/>
      <c r="AY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  <c r="AL683" s="35"/>
      <c r="AM683" s="35"/>
      <c r="AN683" s="35"/>
      <c r="AO683" s="35"/>
      <c r="AP683" s="35"/>
      <c r="AQ683" s="35"/>
      <c r="AR683" s="35"/>
      <c r="AS683" s="35"/>
      <c r="AT683" s="35"/>
      <c r="AU683" s="35"/>
      <c r="AV683" s="35"/>
      <c r="AW683" s="35"/>
      <c r="AX683" s="35"/>
      <c r="AY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  <c r="AL684" s="35"/>
      <c r="AM684" s="35"/>
      <c r="AN684" s="35"/>
      <c r="AO684" s="35"/>
      <c r="AP684" s="35"/>
      <c r="AQ684" s="35"/>
      <c r="AR684" s="35"/>
      <c r="AS684" s="35"/>
      <c r="AT684" s="35"/>
      <c r="AU684" s="35"/>
      <c r="AV684" s="35"/>
      <c r="AW684" s="35"/>
      <c r="AX684" s="35"/>
      <c r="AY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  <c r="AL685" s="35"/>
      <c r="AM685" s="35"/>
      <c r="AN685" s="35"/>
      <c r="AO685" s="35"/>
      <c r="AP685" s="35"/>
      <c r="AQ685" s="35"/>
      <c r="AR685" s="35"/>
      <c r="AS685" s="35"/>
      <c r="AT685" s="35"/>
      <c r="AU685" s="35"/>
      <c r="AV685" s="35"/>
      <c r="AW685" s="35"/>
      <c r="AX685" s="35"/>
      <c r="AY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  <c r="AL686" s="35"/>
      <c r="AM686" s="35"/>
      <c r="AN686" s="35"/>
      <c r="AO686" s="35"/>
      <c r="AP686" s="35"/>
      <c r="AQ686" s="35"/>
      <c r="AR686" s="35"/>
      <c r="AS686" s="35"/>
      <c r="AT686" s="35"/>
      <c r="AU686" s="35"/>
      <c r="AV686" s="35"/>
      <c r="AW686" s="35"/>
      <c r="AX686" s="35"/>
      <c r="AY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  <c r="AL687" s="35"/>
      <c r="AM687" s="35"/>
      <c r="AN687" s="35"/>
      <c r="AO687" s="35"/>
      <c r="AP687" s="35"/>
      <c r="AQ687" s="35"/>
      <c r="AR687" s="35"/>
      <c r="AS687" s="35"/>
      <c r="AT687" s="35"/>
      <c r="AU687" s="35"/>
      <c r="AV687" s="35"/>
      <c r="AW687" s="35"/>
      <c r="AX687" s="35"/>
      <c r="AY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  <c r="AL688" s="35"/>
      <c r="AM688" s="35"/>
      <c r="AN688" s="35"/>
      <c r="AO688" s="35"/>
      <c r="AP688" s="35"/>
      <c r="AQ688" s="35"/>
      <c r="AR688" s="35"/>
      <c r="AS688" s="35"/>
      <c r="AT688" s="35"/>
      <c r="AU688" s="35"/>
      <c r="AV688" s="35"/>
      <c r="AW688" s="35"/>
      <c r="AX688" s="35"/>
      <c r="AY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  <c r="AL689" s="35"/>
      <c r="AM689" s="35"/>
      <c r="AN689" s="35"/>
      <c r="AO689" s="35"/>
      <c r="AP689" s="35"/>
      <c r="AQ689" s="35"/>
      <c r="AR689" s="35"/>
      <c r="AS689" s="35"/>
      <c r="AT689" s="35"/>
      <c r="AU689" s="35"/>
      <c r="AV689" s="35"/>
      <c r="AW689" s="35"/>
      <c r="AX689" s="35"/>
      <c r="AY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  <c r="AL690" s="35"/>
      <c r="AM690" s="35"/>
      <c r="AN690" s="35"/>
      <c r="AO690" s="35"/>
      <c r="AP690" s="35"/>
      <c r="AQ690" s="35"/>
      <c r="AR690" s="35"/>
      <c r="AS690" s="35"/>
      <c r="AT690" s="35"/>
      <c r="AU690" s="35"/>
      <c r="AV690" s="35"/>
      <c r="AW690" s="35"/>
      <c r="AX690" s="35"/>
      <c r="AY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  <c r="AL691" s="35"/>
      <c r="AM691" s="35"/>
      <c r="AN691" s="35"/>
      <c r="AO691" s="35"/>
      <c r="AP691" s="35"/>
      <c r="AQ691" s="35"/>
      <c r="AR691" s="35"/>
      <c r="AS691" s="35"/>
      <c r="AT691" s="35"/>
      <c r="AU691" s="35"/>
      <c r="AV691" s="35"/>
      <c r="AW691" s="35"/>
      <c r="AX691" s="35"/>
      <c r="AY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  <c r="AL692" s="35"/>
      <c r="AM692" s="35"/>
      <c r="AN692" s="35"/>
      <c r="AO692" s="35"/>
      <c r="AP692" s="35"/>
      <c r="AQ692" s="35"/>
      <c r="AR692" s="35"/>
      <c r="AS692" s="35"/>
      <c r="AT692" s="35"/>
      <c r="AU692" s="35"/>
      <c r="AV692" s="35"/>
      <c r="AW692" s="35"/>
      <c r="AX692" s="35"/>
      <c r="AY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  <c r="AL693" s="35"/>
      <c r="AM693" s="35"/>
      <c r="AN693" s="35"/>
      <c r="AO693" s="35"/>
      <c r="AP693" s="35"/>
      <c r="AQ693" s="35"/>
      <c r="AR693" s="35"/>
      <c r="AS693" s="35"/>
      <c r="AT693" s="35"/>
      <c r="AU693" s="35"/>
      <c r="AV693" s="35"/>
      <c r="AW693" s="35"/>
      <c r="AX693" s="35"/>
      <c r="AY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  <c r="AL694" s="35"/>
      <c r="AM694" s="35"/>
      <c r="AN694" s="35"/>
      <c r="AO694" s="35"/>
      <c r="AP694" s="35"/>
      <c r="AQ694" s="35"/>
      <c r="AR694" s="35"/>
      <c r="AS694" s="35"/>
      <c r="AT694" s="35"/>
      <c r="AU694" s="35"/>
      <c r="AV694" s="35"/>
      <c r="AW694" s="35"/>
      <c r="AX694" s="35"/>
      <c r="AY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  <c r="AL695" s="35"/>
      <c r="AM695" s="35"/>
      <c r="AN695" s="35"/>
      <c r="AO695" s="35"/>
      <c r="AP695" s="35"/>
      <c r="AQ695" s="35"/>
      <c r="AR695" s="35"/>
      <c r="AS695" s="35"/>
      <c r="AT695" s="35"/>
      <c r="AU695" s="35"/>
      <c r="AV695" s="35"/>
      <c r="AW695" s="35"/>
      <c r="AX695" s="35"/>
      <c r="AY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  <c r="AL696" s="35"/>
      <c r="AM696" s="35"/>
      <c r="AN696" s="35"/>
      <c r="AO696" s="35"/>
      <c r="AP696" s="35"/>
      <c r="AQ696" s="35"/>
      <c r="AR696" s="35"/>
      <c r="AS696" s="35"/>
      <c r="AT696" s="35"/>
      <c r="AU696" s="35"/>
      <c r="AV696" s="35"/>
      <c r="AW696" s="35"/>
      <c r="AX696" s="35"/>
      <c r="AY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  <c r="AL697" s="35"/>
      <c r="AM697" s="35"/>
      <c r="AN697" s="35"/>
      <c r="AO697" s="35"/>
      <c r="AP697" s="35"/>
      <c r="AQ697" s="35"/>
      <c r="AR697" s="35"/>
      <c r="AS697" s="35"/>
      <c r="AT697" s="35"/>
      <c r="AU697" s="35"/>
      <c r="AV697" s="35"/>
      <c r="AW697" s="35"/>
      <c r="AX697" s="35"/>
      <c r="AY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  <c r="AL698" s="35"/>
      <c r="AM698" s="35"/>
      <c r="AN698" s="35"/>
      <c r="AO698" s="35"/>
      <c r="AP698" s="35"/>
      <c r="AQ698" s="35"/>
      <c r="AR698" s="35"/>
      <c r="AS698" s="35"/>
      <c r="AT698" s="35"/>
      <c r="AU698" s="35"/>
      <c r="AV698" s="35"/>
      <c r="AW698" s="35"/>
      <c r="AX698" s="35"/>
      <c r="AY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  <c r="AL699" s="35"/>
      <c r="AM699" s="35"/>
      <c r="AN699" s="35"/>
      <c r="AO699" s="35"/>
      <c r="AP699" s="35"/>
      <c r="AQ699" s="35"/>
      <c r="AR699" s="35"/>
      <c r="AS699" s="35"/>
      <c r="AT699" s="35"/>
      <c r="AU699" s="35"/>
      <c r="AV699" s="35"/>
      <c r="AW699" s="35"/>
      <c r="AX699" s="35"/>
      <c r="AY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  <c r="AL700" s="35"/>
      <c r="AM700" s="35"/>
      <c r="AN700" s="35"/>
      <c r="AO700" s="35"/>
      <c r="AP700" s="35"/>
      <c r="AQ700" s="35"/>
      <c r="AR700" s="35"/>
      <c r="AS700" s="35"/>
      <c r="AT700" s="35"/>
      <c r="AU700" s="35"/>
      <c r="AV700" s="35"/>
      <c r="AW700" s="35"/>
      <c r="AX700" s="35"/>
      <c r="AY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  <c r="AL701" s="35"/>
      <c r="AM701" s="35"/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  <c r="AL702" s="35"/>
      <c r="AM702" s="35"/>
      <c r="AN702" s="35"/>
      <c r="AO702" s="35"/>
      <c r="AP702" s="35"/>
      <c r="AQ702" s="35"/>
      <c r="AR702" s="35"/>
      <c r="AS702" s="35"/>
      <c r="AT702" s="35"/>
      <c r="AU702" s="35"/>
      <c r="AV702" s="35"/>
      <c r="AW702" s="35"/>
      <c r="AX702" s="35"/>
      <c r="AY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  <c r="AL703" s="35"/>
      <c r="AM703" s="35"/>
      <c r="AN703" s="35"/>
      <c r="AO703" s="35"/>
      <c r="AP703" s="35"/>
      <c r="AQ703" s="35"/>
      <c r="AR703" s="35"/>
      <c r="AS703" s="35"/>
      <c r="AT703" s="35"/>
      <c r="AU703" s="35"/>
      <c r="AV703" s="35"/>
      <c r="AW703" s="35"/>
      <c r="AX703" s="35"/>
      <c r="AY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  <c r="AL704" s="35"/>
      <c r="AM704" s="35"/>
      <c r="AN704" s="35"/>
      <c r="AO704" s="35"/>
      <c r="AP704" s="35"/>
      <c r="AQ704" s="35"/>
      <c r="AR704" s="35"/>
      <c r="AS704" s="35"/>
      <c r="AT704" s="35"/>
      <c r="AU704" s="35"/>
      <c r="AV704" s="35"/>
      <c r="AW704" s="35"/>
      <c r="AX704" s="35"/>
      <c r="AY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  <c r="AL705" s="35"/>
      <c r="AM705" s="35"/>
      <c r="AN705" s="35"/>
      <c r="AO705" s="35"/>
      <c r="AP705" s="35"/>
      <c r="AQ705" s="35"/>
      <c r="AR705" s="35"/>
      <c r="AS705" s="35"/>
      <c r="AT705" s="35"/>
      <c r="AU705" s="35"/>
      <c r="AV705" s="35"/>
      <c r="AW705" s="35"/>
      <c r="AX705" s="35"/>
      <c r="AY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  <c r="AL706" s="35"/>
      <c r="AM706" s="35"/>
      <c r="AN706" s="35"/>
      <c r="AO706" s="35"/>
      <c r="AP706" s="35"/>
      <c r="AQ706" s="35"/>
      <c r="AR706" s="35"/>
      <c r="AS706" s="35"/>
      <c r="AT706" s="35"/>
      <c r="AU706" s="35"/>
      <c r="AV706" s="35"/>
      <c r="AW706" s="35"/>
      <c r="AX706" s="35"/>
      <c r="AY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  <c r="AL707" s="35"/>
      <c r="AM707" s="35"/>
      <c r="AN707" s="35"/>
      <c r="AO707" s="35"/>
      <c r="AP707" s="35"/>
      <c r="AQ707" s="35"/>
      <c r="AR707" s="35"/>
      <c r="AS707" s="35"/>
      <c r="AT707" s="35"/>
      <c r="AU707" s="35"/>
      <c r="AV707" s="35"/>
      <c r="AW707" s="35"/>
      <c r="AX707" s="35"/>
      <c r="AY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  <c r="AL708" s="35"/>
      <c r="AM708" s="35"/>
      <c r="AN708" s="35"/>
      <c r="AO708" s="35"/>
      <c r="AP708" s="35"/>
      <c r="AQ708" s="35"/>
      <c r="AR708" s="35"/>
      <c r="AS708" s="35"/>
      <c r="AT708" s="35"/>
      <c r="AU708" s="35"/>
      <c r="AV708" s="35"/>
      <c r="AW708" s="35"/>
      <c r="AX708" s="35"/>
      <c r="AY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  <c r="AL709" s="35"/>
      <c r="AM709" s="35"/>
      <c r="AN709" s="35"/>
      <c r="AO709" s="35"/>
      <c r="AP709" s="35"/>
      <c r="AQ709" s="35"/>
      <c r="AR709" s="35"/>
      <c r="AS709" s="35"/>
      <c r="AT709" s="35"/>
      <c r="AU709" s="35"/>
      <c r="AV709" s="35"/>
      <c r="AW709" s="35"/>
      <c r="AX709" s="35"/>
      <c r="AY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  <c r="AL710" s="35"/>
      <c r="AM710" s="35"/>
      <c r="AN710" s="35"/>
      <c r="AO710" s="35"/>
      <c r="AP710" s="35"/>
      <c r="AQ710" s="35"/>
      <c r="AR710" s="35"/>
      <c r="AS710" s="35"/>
      <c r="AT710" s="35"/>
      <c r="AU710" s="35"/>
      <c r="AV710" s="35"/>
      <c r="AW710" s="35"/>
      <c r="AX710" s="35"/>
      <c r="AY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  <c r="AL711" s="35"/>
      <c r="AM711" s="35"/>
      <c r="AN711" s="35"/>
      <c r="AO711" s="35"/>
      <c r="AP711" s="35"/>
      <c r="AQ711" s="35"/>
      <c r="AR711" s="35"/>
      <c r="AS711" s="35"/>
      <c r="AT711" s="35"/>
      <c r="AU711" s="35"/>
      <c r="AV711" s="35"/>
      <c r="AW711" s="35"/>
      <c r="AX711" s="35"/>
      <c r="AY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  <c r="AL712" s="35"/>
      <c r="AM712" s="35"/>
      <c r="AN712" s="35"/>
      <c r="AO712" s="35"/>
      <c r="AP712" s="35"/>
      <c r="AQ712" s="35"/>
      <c r="AR712" s="35"/>
      <c r="AS712" s="35"/>
      <c r="AT712" s="35"/>
      <c r="AU712" s="35"/>
      <c r="AV712" s="35"/>
      <c r="AW712" s="35"/>
      <c r="AX712" s="35"/>
      <c r="AY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  <c r="AL713" s="35"/>
      <c r="AM713" s="35"/>
      <c r="AN713" s="35"/>
      <c r="AO713" s="35"/>
      <c r="AP713" s="35"/>
      <c r="AQ713" s="35"/>
      <c r="AR713" s="35"/>
      <c r="AS713" s="35"/>
      <c r="AT713" s="35"/>
      <c r="AU713" s="35"/>
      <c r="AV713" s="35"/>
      <c r="AW713" s="35"/>
      <c r="AX713" s="35"/>
      <c r="AY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  <c r="AK714" s="35"/>
      <c r="AL714" s="35"/>
      <c r="AM714" s="35"/>
      <c r="AN714" s="35"/>
      <c r="AO714" s="35"/>
      <c r="AP714" s="35"/>
      <c r="AQ714" s="35"/>
      <c r="AR714" s="35"/>
      <c r="AS714" s="35"/>
      <c r="AT714" s="35"/>
      <c r="AU714" s="35"/>
      <c r="AV714" s="35"/>
      <c r="AW714" s="35"/>
      <c r="AX714" s="35"/>
      <c r="AY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  <c r="AK715" s="35"/>
      <c r="AL715" s="35"/>
      <c r="AM715" s="35"/>
      <c r="AN715" s="35"/>
      <c r="AO715" s="35"/>
      <c r="AP715" s="35"/>
      <c r="AQ715" s="35"/>
      <c r="AR715" s="35"/>
      <c r="AS715" s="35"/>
      <c r="AT715" s="35"/>
      <c r="AU715" s="35"/>
      <c r="AV715" s="35"/>
      <c r="AW715" s="35"/>
      <c r="AX715" s="35"/>
      <c r="AY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  <c r="AK716" s="35"/>
      <c r="AL716" s="35"/>
      <c r="AM716" s="35"/>
      <c r="AN716" s="35"/>
      <c r="AO716" s="35"/>
      <c r="AP716" s="35"/>
      <c r="AQ716" s="35"/>
      <c r="AR716" s="35"/>
      <c r="AS716" s="35"/>
      <c r="AT716" s="35"/>
      <c r="AU716" s="35"/>
      <c r="AV716" s="35"/>
      <c r="AW716" s="35"/>
      <c r="AX716" s="35"/>
      <c r="AY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  <c r="AK717" s="35"/>
      <c r="AL717" s="35"/>
      <c r="AM717" s="35"/>
      <c r="AN717" s="35"/>
      <c r="AO717" s="35"/>
      <c r="AP717" s="35"/>
      <c r="AQ717" s="35"/>
      <c r="AR717" s="35"/>
      <c r="AS717" s="35"/>
      <c r="AT717" s="35"/>
      <c r="AU717" s="35"/>
      <c r="AV717" s="35"/>
      <c r="AW717" s="35"/>
      <c r="AX717" s="35"/>
      <c r="AY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  <c r="AK718" s="35"/>
      <c r="AL718" s="35"/>
      <c r="AM718" s="35"/>
      <c r="AN718" s="35"/>
      <c r="AO718" s="35"/>
      <c r="AP718" s="35"/>
      <c r="AQ718" s="35"/>
      <c r="AR718" s="35"/>
      <c r="AS718" s="35"/>
      <c r="AT718" s="35"/>
      <c r="AU718" s="35"/>
      <c r="AV718" s="35"/>
      <c r="AW718" s="35"/>
      <c r="AX718" s="35"/>
      <c r="AY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  <c r="AK719" s="35"/>
      <c r="AL719" s="35"/>
      <c r="AM719" s="35"/>
      <c r="AN719" s="35"/>
      <c r="AO719" s="35"/>
      <c r="AP719" s="35"/>
      <c r="AQ719" s="35"/>
      <c r="AR719" s="35"/>
      <c r="AS719" s="35"/>
      <c r="AT719" s="35"/>
      <c r="AU719" s="35"/>
      <c r="AV719" s="35"/>
      <c r="AW719" s="35"/>
      <c r="AX719" s="35"/>
      <c r="AY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  <c r="AK720" s="35"/>
      <c r="AL720" s="35"/>
      <c r="AM720" s="35"/>
      <c r="AN720" s="35"/>
      <c r="AO720" s="35"/>
      <c r="AP720" s="35"/>
      <c r="AQ720" s="35"/>
      <c r="AR720" s="35"/>
      <c r="AS720" s="35"/>
      <c r="AT720" s="35"/>
      <c r="AU720" s="35"/>
      <c r="AV720" s="35"/>
      <c r="AW720" s="35"/>
      <c r="AX720" s="35"/>
      <c r="AY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  <c r="AK721" s="35"/>
      <c r="AL721" s="35"/>
      <c r="AM721" s="35"/>
      <c r="AN721" s="35"/>
      <c r="AO721" s="35"/>
      <c r="AP721" s="35"/>
      <c r="AQ721" s="35"/>
      <c r="AR721" s="35"/>
      <c r="AS721" s="35"/>
      <c r="AT721" s="35"/>
      <c r="AU721" s="35"/>
      <c r="AV721" s="35"/>
      <c r="AW721" s="35"/>
      <c r="AX721" s="35"/>
      <c r="AY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  <c r="AK722" s="35"/>
      <c r="AL722" s="35"/>
      <c r="AM722" s="35"/>
      <c r="AN722" s="35"/>
      <c r="AO722" s="35"/>
      <c r="AP722" s="35"/>
      <c r="AQ722" s="35"/>
      <c r="AR722" s="35"/>
      <c r="AS722" s="35"/>
      <c r="AT722" s="35"/>
      <c r="AU722" s="35"/>
      <c r="AV722" s="35"/>
      <c r="AW722" s="35"/>
      <c r="AX722" s="35"/>
      <c r="AY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  <c r="AK723" s="35"/>
      <c r="AL723" s="35"/>
      <c r="AM723" s="35"/>
      <c r="AN723" s="35"/>
      <c r="AO723" s="35"/>
      <c r="AP723" s="35"/>
      <c r="AQ723" s="35"/>
      <c r="AR723" s="35"/>
      <c r="AS723" s="35"/>
      <c r="AT723" s="35"/>
      <c r="AU723" s="35"/>
      <c r="AV723" s="35"/>
      <c r="AW723" s="35"/>
      <c r="AX723" s="35"/>
      <c r="AY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  <c r="AK724" s="35"/>
      <c r="AL724" s="35"/>
      <c r="AM724" s="35"/>
      <c r="AN724" s="35"/>
      <c r="AO724" s="35"/>
      <c r="AP724" s="35"/>
      <c r="AQ724" s="35"/>
      <c r="AR724" s="35"/>
      <c r="AS724" s="35"/>
      <c r="AT724" s="35"/>
      <c r="AU724" s="35"/>
      <c r="AV724" s="35"/>
      <c r="AW724" s="35"/>
      <c r="AX724" s="35"/>
      <c r="AY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  <c r="AK725" s="35"/>
      <c r="AL725" s="35"/>
      <c r="AM725" s="35"/>
      <c r="AN725" s="35"/>
      <c r="AO725" s="35"/>
      <c r="AP725" s="35"/>
      <c r="AQ725" s="35"/>
      <c r="AR725" s="35"/>
      <c r="AS725" s="35"/>
      <c r="AT725" s="35"/>
      <c r="AU725" s="35"/>
      <c r="AV725" s="35"/>
      <c r="AW725" s="35"/>
      <c r="AX725" s="35"/>
      <c r="AY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  <c r="AK726" s="35"/>
      <c r="AL726" s="35"/>
      <c r="AM726" s="35"/>
      <c r="AN726" s="35"/>
      <c r="AO726" s="35"/>
      <c r="AP726" s="35"/>
      <c r="AQ726" s="35"/>
      <c r="AR726" s="35"/>
      <c r="AS726" s="35"/>
      <c r="AT726" s="35"/>
      <c r="AU726" s="35"/>
      <c r="AV726" s="35"/>
      <c r="AW726" s="35"/>
      <c r="AX726" s="35"/>
      <c r="AY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  <c r="AK727" s="35"/>
      <c r="AL727" s="35"/>
      <c r="AM727" s="35"/>
      <c r="AN727" s="35"/>
      <c r="AO727" s="35"/>
      <c r="AP727" s="35"/>
      <c r="AQ727" s="35"/>
      <c r="AR727" s="35"/>
      <c r="AS727" s="35"/>
      <c r="AT727" s="35"/>
      <c r="AU727" s="35"/>
      <c r="AV727" s="35"/>
      <c r="AW727" s="35"/>
      <c r="AX727" s="35"/>
      <c r="AY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  <c r="AK728" s="35"/>
      <c r="AL728" s="35"/>
      <c r="AM728" s="35"/>
      <c r="AN728" s="35"/>
      <c r="AO728" s="35"/>
      <c r="AP728" s="35"/>
      <c r="AQ728" s="35"/>
      <c r="AR728" s="35"/>
      <c r="AS728" s="35"/>
      <c r="AT728" s="35"/>
      <c r="AU728" s="35"/>
      <c r="AV728" s="35"/>
      <c r="AW728" s="35"/>
      <c r="AX728" s="35"/>
      <c r="AY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  <c r="AK729" s="35"/>
      <c r="AL729" s="35"/>
      <c r="AM729" s="35"/>
      <c r="AN729" s="35"/>
      <c r="AO729" s="35"/>
      <c r="AP729" s="35"/>
      <c r="AQ729" s="35"/>
      <c r="AR729" s="35"/>
      <c r="AS729" s="35"/>
      <c r="AT729" s="35"/>
      <c r="AU729" s="35"/>
      <c r="AV729" s="35"/>
      <c r="AW729" s="35"/>
      <c r="AX729" s="35"/>
      <c r="AY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  <c r="AK730" s="35"/>
      <c r="AL730" s="35"/>
      <c r="AM730" s="35"/>
      <c r="AN730" s="35"/>
      <c r="AO730" s="35"/>
      <c r="AP730" s="35"/>
      <c r="AQ730" s="35"/>
      <c r="AR730" s="35"/>
      <c r="AS730" s="35"/>
      <c r="AT730" s="35"/>
      <c r="AU730" s="35"/>
      <c r="AV730" s="35"/>
      <c r="AW730" s="35"/>
      <c r="AX730" s="35"/>
      <c r="AY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  <c r="AK731" s="35"/>
      <c r="AL731" s="35"/>
      <c r="AM731" s="35"/>
      <c r="AN731" s="35"/>
      <c r="AO731" s="35"/>
      <c r="AP731" s="35"/>
      <c r="AQ731" s="35"/>
      <c r="AR731" s="35"/>
      <c r="AS731" s="35"/>
      <c r="AT731" s="35"/>
      <c r="AU731" s="35"/>
      <c r="AV731" s="35"/>
      <c r="AW731" s="35"/>
      <c r="AX731" s="35"/>
      <c r="AY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  <c r="AK732" s="35"/>
      <c r="AL732" s="35"/>
      <c r="AM732" s="35"/>
      <c r="AN732" s="35"/>
      <c r="AO732" s="35"/>
      <c r="AP732" s="35"/>
      <c r="AQ732" s="35"/>
      <c r="AR732" s="35"/>
      <c r="AS732" s="35"/>
      <c r="AT732" s="35"/>
      <c r="AU732" s="35"/>
      <c r="AV732" s="35"/>
      <c r="AW732" s="35"/>
      <c r="AX732" s="35"/>
      <c r="AY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  <c r="AK733" s="35"/>
      <c r="AL733" s="35"/>
      <c r="AM733" s="35"/>
      <c r="AN733" s="35"/>
      <c r="AO733" s="35"/>
      <c r="AP733" s="35"/>
      <c r="AQ733" s="35"/>
      <c r="AR733" s="35"/>
      <c r="AS733" s="35"/>
      <c r="AT733" s="35"/>
      <c r="AU733" s="35"/>
      <c r="AV733" s="35"/>
      <c r="AW733" s="35"/>
      <c r="AX733" s="35"/>
      <c r="AY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  <c r="AK734" s="35"/>
      <c r="AL734" s="35"/>
      <c r="AM734" s="35"/>
      <c r="AN734" s="35"/>
      <c r="AO734" s="35"/>
      <c r="AP734" s="35"/>
      <c r="AQ734" s="35"/>
      <c r="AR734" s="35"/>
      <c r="AS734" s="35"/>
      <c r="AT734" s="35"/>
      <c r="AU734" s="35"/>
      <c r="AV734" s="35"/>
      <c r="AW734" s="35"/>
      <c r="AX734" s="35"/>
      <c r="AY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  <c r="AK735" s="35"/>
      <c r="AL735" s="35"/>
      <c r="AM735" s="35"/>
      <c r="AN735" s="35"/>
      <c r="AO735" s="35"/>
      <c r="AP735" s="35"/>
      <c r="AQ735" s="35"/>
      <c r="AR735" s="35"/>
      <c r="AS735" s="35"/>
      <c r="AT735" s="35"/>
      <c r="AU735" s="35"/>
      <c r="AV735" s="35"/>
      <c r="AW735" s="35"/>
      <c r="AX735" s="35"/>
      <c r="AY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  <c r="AK736" s="35"/>
      <c r="AL736" s="35"/>
      <c r="AM736" s="35"/>
      <c r="AN736" s="35"/>
      <c r="AO736" s="35"/>
      <c r="AP736" s="35"/>
      <c r="AQ736" s="35"/>
      <c r="AR736" s="35"/>
      <c r="AS736" s="35"/>
      <c r="AT736" s="35"/>
      <c r="AU736" s="35"/>
      <c r="AV736" s="35"/>
      <c r="AW736" s="35"/>
      <c r="AX736" s="35"/>
      <c r="AY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  <c r="AK737" s="35"/>
      <c r="AL737" s="35"/>
      <c r="AM737" s="35"/>
      <c r="AN737" s="35"/>
      <c r="AO737" s="35"/>
      <c r="AP737" s="35"/>
      <c r="AQ737" s="35"/>
      <c r="AR737" s="35"/>
      <c r="AS737" s="35"/>
      <c r="AT737" s="35"/>
      <c r="AU737" s="35"/>
      <c r="AV737" s="35"/>
      <c r="AW737" s="35"/>
      <c r="AX737" s="35"/>
      <c r="AY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  <c r="AK738" s="35"/>
      <c r="AL738" s="35"/>
      <c r="AM738" s="35"/>
      <c r="AN738" s="35"/>
      <c r="AO738" s="35"/>
      <c r="AP738" s="35"/>
      <c r="AQ738" s="35"/>
      <c r="AR738" s="35"/>
      <c r="AS738" s="35"/>
      <c r="AT738" s="35"/>
      <c r="AU738" s="35"/>
      <c r="AV738" s="35"/>
      <c r="AW738" s="35"/>
      <c r="AX738" s="35"/>
      <c r="AY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  <c r="AK739" s="35"/>
      <c r="AL739" s="35"/>
      <c r="AM739" s="35"/>
      <c r="AN739" s="35"/>
      <c r="AO739" s="35"/>
      <c r="AP739" s="35"/>
      <c r="AQ739" s="35"/>
      <c r="AR739" s="35"/>
      <c r="AS739" s="35"/>
      <c r="AT739" s="35"/>
      <c r="AU739" s="35"/>
      <c r="AV739" s="35"/>
      <c r="AW739" s="35"/>
      <c r="AX739" s="35"/>
      <c r="AY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  <c r="AK740" s="35"/>
      <c r="AL740" s="35"/>
      <c r="AM740" s="35"/>
      <c r="AN740" s="35"/>
      <c r="AO740" s="35"/>
      <c r="AP740" s="35"/>
      <c r="AQ740" s="35"/>
      <c r="AR740" s="35"/>
      <c r="AS740" s="35"/>
      <c r="AT740" s="35"/>
      <c r="AU740" s="35"/>
      <c r="AV740" s="35"/>
      <c r="AW740" s="35"/>
      <c r="AX740" s="35"/>
      <c r="AY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  <c r="AK741" s="35"/>
      <c r="AL741" s="35"/>
      <c r="AM741" s="35"/>
      <c r="AN741" s="35"/>
      <c r="AO741" s="35"/>
      <c r="AP741" s="35"/>
      <c r="AQ741" s="35"/>
      <c r="AR741" s="35"/>
      <c r="AS741" s="35"/>
      <c r="AT741" s="35"/>
      <c r="AU741" s="35"/>
      <c r="AV741" s="35"/>
      <c r="AW741" s="35"/>
      <c r="AX741" s="35"/>
      <c r="AY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  <c r="AK742" s="35"/>
      <c r="AL742" s="35"/>
      <c r="AM742" s="35"/>
      <c r="AN742" s="35"/>
      <c r="AO742" s="35"/>
      <c r="AP742" s="35"/>
      <c r="AQ742" s="35"/>
      <c r="AR742" s="35"/>
      <c r="AS742" s="35"/>
      <c r="AT742" s="35"/>
      <c r="AU742" s="35"/>
      <c r="AV742" s="35"/>
      <c r="AW742" s="35"/>
      <c r="AX742" s="35"/>
      <c r="AY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  <c r="AK743" s="35"/>
      <c r="AL743" s="35"/>
      <c r="AM743" s="35"/>
      <c r="AN743" s="35"/>
      <c r="AO743" s="35"/>
      <c r="AP743" s="35"/>
      <c r="AQ743" s="35"/>
      <c r="AR743" s="35"/>
      <c r="AS743" s="35"/>
      <c r="AT743" s="35"/>
      <c r="AU743" s="35"/>
      <c r="AV743" s="35"/>
      <c r="AW743" s="35"/>
      <c r="AX743" s="35"/>
      <c r="AY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  <c r="AK744" s="35"/>
      <c r="AL744" s="35"/>
      <c r="AM744" s="35"/>
      <c r="AN744" s="35"/>
      <c r="AO744" s="35"/>
      <c r="AP744" s="35"/>
      <c r="AQ744" s="35"/>
      <c r="AR744" s="35"/>
      <c r="AS744" s="35"/>
      <c r="AT744" s="35"/>
      <c r="AU744" s="35"/>
      <c r="AV744" s="35"/>
      <c r="AW744" s="35"/>
      <c r="AX744" s="35"/>
      <c r="AY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  <c r="AK745" s="35"/>
      <c r="AL745" s="35"/>
      <c r="AM745" s="35"/>
      <c r="AN745" s="35"/>
      <c r="AO745" s="35"/>
      <c r="AP745" s="35"/>
      <c r="AQ745" s="35"/>
      <c r="AR745" s="35"/>
      <c r="AS745" s="35"/>
      <c r="AT745" s="35"/>
      <c r="AU745" s="35"/>
      <c r="AV745" s="35"/>
      <c r="AW745" s="35"/>
      <c r="AX745" s="35"/>
      <c r="AY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  <c r="AK746" s="35"/>
      <c r="AL746" s="35"/>
      <c r="AM746" s="35"/>
      <c r="AN746" s="35"/>
      <c r="AO746" s="35"/>
      <c r="AP746" s="35"/>
      <c r="AQ746" s="35"/>
      <c r="AR746" s="35"/>
      <c r="AS746" s="35"/>
      <c r="AT746" s="35"/>
      <c r="AU746" s="35"/>
      <c r="AV746" s="35"/>
      <c r="AW746" s="35"/>
      <c r="AX746" s="35"/>
      <c r="AY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  <c r="AK747" s="35"/>
      <c r="AL747" s="35"/>
      <c r="AM747" s="35"/>
      <c r="AN747" s="35"/>
      <c r="AO747" s="35"/>
      <c r="AP747" s="35"/>
      <c r="AQ747" s="35"/>
      <c r="AR747" s="35"/>
      <c r="AS747" s="35"/>
      <c r="AT747" s="35"/>
      <c r="AU747" s="35"/>
      <c r="AV747" s="35"/>
      <c r="AW747" s="35"/>
      <c r="AX747" s="35"/>
      <c r="AY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  <c r="AK748" s="35"/>
      <c r="AL748" s="35"/>
      <c r="AM748" s="35"/>
      <c r="AN748" s="35"/>
      <c r="AO748" s="35"/>
      <c r="AP748" s="35"/>
      <c r="AQ748" s="35"/>
      <c r="AR748" s="35"/>
      <c r="AS748" s="35"/>
      <c r="AT748" s="35"/>
      <c r="AU748" s="35"/>
      <c r="AV748" s="35"/>
      <c r="AW748" s="35"/>
      <c r="AX748" s="35"/>
      <c r="AY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  <c r="AK749" s="35"/>
      <c r="AL749" s="35"/>
      <c r="AM749" s="35"/>
      <c r="AN749" s="35"/>
      <c r="AO749" s="35"/>
      <c r="AP749" s="35"/>
      <c r="AQ749" s="35"/>
      <c r="AR749" s="35"/>
      <c r="AS749" s="35"/>
      <c r="AT749" s="35"/>
      <c r="AU749" s="35"/>
      <c r="AV749" s="35"/>
      <c r="AW749" s="35"/>
      <c r="AX749" s="35"/>
      <c r="AY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  <c r="AK750" s="35"/>
      <c r="AL750" s="35"/>
      <c r="AM750" s="35"/>
      <c r="AN750" s="35"/>
      <c r="AO750" s="35"/>
      <c r="AP750" s="35"/>
      <c r="AQ750" s="35"/>
      <c r="AR750" s="35"/>
      <c r="AS750" s="35"/>
      <c r="AT750" s="35"/>
      <c r="AU750" s="35"/>
      <c r="AV750" s="35"/>
      <c r="AW750" s="35"/>
      <c r="AX750" s="35"/>
      <c r="AY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  <c r="AK751" s="35"/>
      <c r="AL751" s="35"/>
      <c r="AM751" s="35"/>
      <c r="AN751" s="35"/>
      <c r="AO751" s="35"/>
      <c r="AP751" s="35"/>
      <c r="AQ751" s="35"/>
      <c r="AR751" s="35"/>
      <c r="AS751" s="35"/>
      <c r="AT751" s="35"/>
      <c r="AU751" s="35"/>
      <c r="AV751" s="35"/>
      <c r="AW751" s="35"/>
      <c r="AX751" s="35"/>
      <c r="AY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  <c r="AK752" s="35"/>
      <c r="AL752" s="35"/>
      <c r="AM752" s="35"/>
      <c r="AN752" s="35"/>
      <c r="AO752" s="35"/>
      <c r="AP752" s="35"/>
      <c r="AQ752" s="35"/>
      <c r="AR752" s="35"/>
      <c r="AS752" s="35"/>
      <c r="AT752" s="35"/>
      <c r="AU752" s="35"/>
      <c r="AV752" s="35"/>
      <c r="AW752" s="35"/>
      <c r="AX752" s="35"/>
      <c r="AY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  <c r="AK753" s="35"/>
      <c r="AL753" s="35"/>
      <c r="AM753" s="35"/>
      <c r="AN753" s="35"/>
      <c r="AO753" s="35"/>
      <c r="AP753" s="35"/>
      <c r="AQ753" s="35"/>
      <c r="AR753" s="35"/>
      <c r="AS753" s="35"/>
      <c r="AT753" s="35"/>
      <c r="AU753" s="35"/>
      <c r="AV753" s="35"/>
      <c r="AW753" s="35"/>
      <c r="AX753" s="35"/>
      <c r="AY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  <c r="AK754" s="35"/>
      <c r="AL754" s="35"/>
      <c r="AM754" s="35"/>
      <c r="AN754" s="35"/>
      <c r="AO754" s="35"/>
      <c r="AP754" s="35"/>
      <c r="AQ754" s="35"/>
      <c r="AR754" s="35"/>
      <c r="AS754" s="35"/>
      <c r="AT754" s="35"/>
      <c r="AU754" s="35"/>
      <c r="AV754" s="35"/>
      <c r="AW754" s="35"/>
      <c r="AX754" s="35"/>
      <c r="AY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  <c r="AK755" s="35"/>
      <c r="AL755" s="35"/>
      <c r="AM755" s="35"/>
      <c r="AN755" s="35"/>
      <c r="AO755" s="35"/>
      <c r="AP755" s="35"/>
      <c r="AQ755" s="35"/>
      <c r="AR755" s="35"/>
      <c r="AS755" s="35"/>
      <c r="AT755" s="35"/>
      <c r="AU755" s="35"/>
      <c r="AV755" s="35"/>
      <c r="AW755" s="35"/>
      <c r="AX755" s="35"/>
      <c r="AY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  <c r="AK756" s="35"/>
      <c r="AL756" s="35"/>
      <c r="AM756" s="35"/>
      <c r="AN756" s="35"/>
      <c r="AO756" s="35"/>
      <c r="AP756" s="35"/>
      <c r="AQ756" s="35"/>
      <c r="AR756" s="35"/>
      <c r="AS756" s="35"/>
      <c r="AT756" s="35"/>
      <c r="AU756" s="35"/>
      <c r="AV756" s="35"/>
      <c r="AW756" s="35"/>
      <c r="AX756" s="35"/>
      <c r="AY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  <c r="AK757" s="35"/>
      <c r="AL757" s="35"/>
      <c r="AM757" s="35"/>
      <c r="AN757" s="35"/>
      <c r="AO757" s="35"/>
      <c r="AP757" s="35"/>
      <c r="AQ757" s="35"/>
      <c r="AR757" s="35"/>
      <c r="AS757" s="35"/>
      <c r="AT757" s="35"/>
      <c r="AU757" s="35"/>
      <c r="AV757" s="35"/>
      <c r="AW757" s="35"/>
      <c r="AX757" s="35"/>
      <c r="AY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  <c r="AK758" s="35"/>
      <c r="AL758" s="35"/>
      <c r="AM758" s="35"/>
      <c r="AN758" s="35"/>
      <c r="AO758" s="35"/>
      <c r="AP758" s="35"/>
      <c r="AQ758" s="35"/>
      <c r="AR758" s="35"/>
      <c r="AS758" s="35"/>
      <c r="AT758" s="35"/>
      <c r="AU758" s="35"/>
      <c r="AV758" s="35"/>
      <c r="AW758" s="35"/>
      <c r="AX758" s="35"/>
      <c r="AY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  <c r="AK759" s="35"/>
      <c r="AL759" s="35"/>
      <c r="AM759" s="35"/>
      <c r="AN759" s="35"/>
      <c r="AO759" s="35"/>
      <c r="AP759" s="35"/>
      <c r="AQ759" s="35"/>
      <c r="AR759" s="35"/>
      <c r="AS759" s="35"/>
      <c r="AT759" s="35"/>
      <c r="AU759" s="35"/>
      <c r="AV759" s="35"/>
      <c r="AW759" s="35"/>
      <c r="AX759" s="35"/>
      <c r="AY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  <c r="AK760" s="35"/>
      <c r="AL760" s="35"/>
      <c r="AM760" s="35"/>
      <c r="AN760" s="35"/>
      <c r="AO760" s="35"/>
      <c r="AP760" s="35"/>
      <c r="AQ760" s="35"/>
      <c r="AR760" s="35"/>
      <c r="AS760" s="35"/>
      <c r="AT760" s="35"/>
      <c r="AU760" s="35"/>
      <c r="AV760" s="35"/>
      <c r="AW760" s="35"/>
      <c r="AX760" s="35"/>
      <c r="AY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  <c r="AK761" s="35"/>
      <c r="AL761" s="35"/>
      <c r="AM761" s="35"/>
      <c r="AN761" s="35"/>
      <c r="AO761" s="35"/>
      <c r="AP761" s="35"/>
      <c r="AQ761" s="35"/>
      <c r="AR761" s="35"/>
      <c r="AS761" s="35"/>
      <c r="AT761" s="35"/>
      <c r="AU761" s="35"/>
      <c r="AV761" s="35"/>
      <c r="AW761" s="35"/>
      <c r="AX761" s="35"/>
      <c r="AY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  <c r="AK762" s="35"/>
      <c r="AL762" s="35"/>
      <c r="AM762" s="35"/>
      <c r="AN762" s="35"/>
      <c r="AO762" s="35"/>
      <c r="AP762" s="35"/>
      <c r="AQ762" s="35"/>
      <c r="AR762" s="35"/>
      <c r="AS762" s="35"/>
      <c r="AT762" s="35"/>
      <c r="AU762" s="35"/>
      <c r="AV762" s="35"/>
      <c r="AW762" s="35"/>
      <c r="AX762" s="35"/>
      <c r="AY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  <c r="AK763" s="35"/>
      <c r="AL763" s="35"/>
      <c r="AM763" s="35"/>
      <c r="AN763" s="35"/>
      <c r="AO763" s="35"/>
      <c r="AP763" s="35"/>
      <c r="AQ763" s="35"/>
      <c r="AR763" s="35"/>
      <c r="AS763" s="35"/>
      <c r="AT763" s="35"/>
      <c r="AU763" s="35"/>
      <c r="AV763" s="35"/>
      <c r="AW763" s="35"/>
      <c r="AX763" s="35"/>
      <c r="AY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  <c r="AK764" s="35"/>
      <c r="AL764" s="35"/>
      <c r="AM764" s="35"/>
      <c r="AN764" s="35"/>
      <c r="AO764" s="35"/>
      <c r="AP764" s="35"/>
      <c r="AQ764" s="35"/>
      <c r="AR764" s="35"/>
      <c r="AS764" s="35"/>
      <c r="AT764" s="35"/>
      <c r="AU764" s="35"/>
      <c r="AV764" s="35"/>
      <c r="AW764" s="35"/>
      <c r="AX764" s="35"/>
      <c r="AY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  <c r="AK765" s="35"/>
      <c r="AL765" s="35"/>
      <c r="AM765" s="35"/>
      <c r="AN765" s="35"/>
      <c r="AO765" s="35"/>
      <c r="AP765" s="35"/>
      <c r="AQ765" s="35"/>
      <c r="AR765" s="35"/>
      <c r="AS765" s="35"/>
      <c r="AT765" s="35"/>
      <c r="AU765" s="35"/>
      <c r="AV765" s="35"/>
      <c r="AW765" s="35"/>
      <c r="AX765" s="35"/>
      <c r="AY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  <c r="AK766" s="35"/>
      <c r="AL766" s="35"/>
      <c r="AM766" s="35"/>
      <c r="AN766" s="35"/>
      <c r="AO766" s="35"/>
      <c r="AP766" s="35"/>
      <c r="AQ766" s="35"/>
      <c r="AR766" s="35"/>
      <c r="AS766" s="35"/>
      <c r="AT766" s="35"/>
      <c r="AU766" s="35"/>
      <c r="AV766" s="35"/>
      <c r="AW766" s="35"/>
      <c r="AX766" s="35"/>
      <c r="AY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  <c r="AK767" s="35"/>
      <c r="AL767" s="35"/>
      <c r="AM767" s="35"/>
      <c r="AN767" s="35"/>
      <c r="AO767" s="35"/>
      <c r="AP767" s="35"/>
      <c r="AQ767" s="35"/>
      <c r="AR767" s="35"/>
      <c r="AS767" s="35"/>
      <c r="AT767" s="35"/>
      <c r="AU767" s="35"/>
      <c r="AV767" s="35"/>
      <c r="AW767" s="35"/>
      <c r="AX767" s="35"/>
      <c r="AY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  <c r="AK768" s="35"/>
      <c r="AL768" s="35"/>
      <c r="AM768" s="35"/>
      <c r="AN768" s="35"/>
      <c r="AO768" s="35"/>
      <c r="AP768" s="35"/>
      <c r="AQ768" s="35"/>
      <c r="AR768" s="35"/>
      <c r="AS768" s="35"/>
      <c r="AT768" s="35"/>
      <c r="AU768" s="35"/>
      <c r="AV768" s="35"/>
      <c r="AW768" s="35"/>
      <c r="AX768" s="35"/>
      <c r="AY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  <c r="AK769" s="35"/>
      <c r="AL769" s="35"/>
      <c r="AM769" s="35"/>
      <c r="AN769" s="35"/>
      <c r="AO769" s="35"/>
      <c r="AP769" s="35"/>
      <c r="AQ769" s="35"/>
      <c r="AR769" s="35"/>
      <c r="AS769" s="35"/>
      <c r="AT769" s="35"/>
      <c r="AU769" s="35"/>
      <c r="AV769" s="35"/>
      <c r="AW769" s="35"/>
      <c r="AX769" s="35"/>
      <c r="AY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  <c r="AK770" s="35"/>
      <c r="AL770" s="35"/>
      <c r="AM770" s="35"/>
      <c r="AN770" s="35"/>
      <c r="AO770" s="35"/>
      <c r="AP770" s="35"/>
      <c r="AQ770" s="35"/>
      <c r="AR770" s="35"/>
      <c r="AS770" s="35"/>
      <c r="AT770" s="35"/>
      <c r="AU770" s="35"/>
      <c r="AV770" s="35"/>
      <c r="AW770" s="35"/>
      <c r="AX770" s="35"/>
      <c r="AY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  <c r="AK771" s="35"/>
      <c r="AL771" s="35"/>
      <c r="AM771" s="35"/>
      <c r="AN771" s="35"/>
      <c r="AO771" s="35"/>
      <c r="AP771" s="35"/>
      <c r="AQ771" s="35"/>
      <c r="AR771" s="35"/>
      <c r="AS771" s="35"/>
      <c r="AT771" s="35"/>
      <c r="AU771" s="35"/>
      <c r="AV771" s="35"/>
      <c r="AW771" s="35"/>
      <c r="AX771" s="35"/>
      <c r="AY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  <c r="AK772" s="35"/>
      <c r="AL772" s="35"/>
      <c r="AM772" s="35"/>
      <c r="AN772" s="35"/>
      <c r="AO772" s="35"/>
      <c r="AP772" s="35"/>
      <c r="AQ772" s="35"/>
      <c r="AR772" s="35"/>
      <c r="AS772" s="35"/>
      <c r="AT772" s="35"/>
      <c r="AU772" s="35"/>
      <c r="AV772" s="35"/>
      <c r="AW772" s="35"/>
      <c r="AX772" s="35"/>
      <c r="AY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  <c r="AK773" s="35"/>
      <c r="AL773" s="35"/>
      <c r="AM773" s="35"/>
      <c r="AN773" s="35"/>
      <c r="AO773" s="35"/>
      <c r="AP773" s="35"/>
      <c r="AQ773" s="35"/>
      <c r="AR773" s="35"/>
      <c r="AS773" s="35"/>
      <c r="AT773" s="35"/>
      <c r="AU773" s="35"/>
      <c r="AV773" s="35"/>
      <c r="AW773" s="35"/>
      <c r="AX773" s="35"/>
      <c r="AY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  <c r="AK774" s="35"/>
      <c r="AL774" s="35"/>
      <c r="AM774" s="35"/>
      <c r="AN774" s="35"/>
      <c r="AO774" s="35"/>
      <c r="AP774" s="35"/>
      <c r="AQ774" s="35"/>
      <c r="AR774" s="35"/>
      <c r="AS774" s="35"/>
      <c r="AT774" s="35"/>
      <c r="AU774" s="35"/>
      <c r="AV774" s="35"/>
      <c r="AW774" s="35"/>
      <c r="AX774" s="35"/>
      <c r="AY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  <c r="AK775" s="35"/>
      <c r="AL775" s="35"/>
      <c r="AM775" s="35"/>
      <c r="AN775" s="35"/>
      <c r="AO775" s="35"/>
      <c r="AP775" s="35"/>
      <c r="AQ775" s="35"/>
      <c r="AR775" s="35"/>
      <c r="AS775" s="35"/>
      <c r="AT775" s="35"/>
      <c r="AU775" s="35"/>
      <c r="AV775" s="35"/>
      <c r="AW775" s="35"/>
      <c r="AX775" s="35"/>
      <c r="AY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  <c r="AK776" s="35"/>
      <c r="AL776" s="35"/>
      <c r="AM776" s="35"/>
      <c r="AN776" s="35"/>
      <c r="AO776" s="35"/>
      <c r="AP776" s="35"/>
      <c r="AQ776" s="35"/>
      <c r="AR776" s="35"/>
      <c r="AS776" s="35"/>
      <c r="AT776" s="35"/>
      <c r="AU776" s="35"/>
      <c r="AV776" s="35"/>
      <c r="AW776" s="35"/>
      <c r="AX776" s="35"/>
      <c r="AY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5"/>
      <c r="AP902" s="35"/>
      <c r="AQ902" s="35"/>
      <c r="AR902" s="35"/>
      <c r="AS902" s="35"/>
      <c r="AT902" s="35"/>
      <c r="AU902" s="35"/>
      <c r="AV902" s="35"/>
      <c r="AW902" s="35"/>
      <c r="AX902" s="35"/>
      <c r="AY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5"/>
      <c r="AP903" s="35"/>
      <c r="AQ903" s="35"/>
      <c r="AR903" s="35"/>
      <c r="AS903" s="35"/>
      <c r="AT903" s="35"/>
      <c r="AU903" s="35"/>
      <c r="AV903" s="35"/>
      <c r="AW903" s="35"/>
      <c r="AX903" s="35"/>
      <c r="AY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5"/>
      <c r="AP904" s="35"/>
      <c r="AQ904" s="35"/>
      <c r="AR904" s="35"/>
      <c r="AS904" s="35"/>
      <c r="AT904" s="35"/>
      <c r="AU904" s="35"/>
      <c r="AV904" s="35"/>
      <c r="AW904" s="35"/>
      <c r="AX904" s="35"/>
      <c r="AY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5"/>
      <c r="AP905" s="35"/>
      <c r="AQ905" s="35"/>
      <c r="AR905" s="35"/>
      <c r="AS905" s="35"/>
      <c r="AT905" s="35"/>
      <c r="AU905" s="35"/>
      <c r="AV905" s="35"/>
      <c r="AW905" s="35"/>
      <c r="AX905" s="35"/>
      <c r="AY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5"/>
      <c r="AP906" s="35"/>
      <c r="AQ906" s="35"/>
      <c r="AR906" s="35"/>
      <c r="AS906" s="35"/>
      <c r="AT906" s="35"/>
      <c r="AU906" s="35"/>
      <c r="AV906" s="35"/>
      <c r="AW906" s="35"/>
      <c r="AX906" s="35"/>
      <c r="AY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5"/>
      <c r="AP907" s="35"/>
      <c r="AQ907" s="35"/>
      <c r="AR907" s="35"/>
      <c r="AS907" s="35"/>
      <c r="AT907" s="35"/>
      <c r="AU907" s="35"/>
      <c r="AV907" s="35"/>
      <c r="AW907" s="35"/>
      <c r="AX907" s="35"/>
      <c r="AY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5"/>
      <c r="AP908" s="35"/>
      <c r="AQ908" s="35"/>
      <c r="AR908" s="35"/>
      <c r="AS908" s="35"/>
      <c r="AT908" s="35"/>
      <c r="AU908" s="35"/>
      <c r="AV908" s="35"/>
      <c r="AW908" s="35"/>
      <c r="AX908" s="35"/>
      <c r="AY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5"/>
      <c r="AP909" s="35"/>
      <c r="AQ909" s="35"/>
      <c r="AR909" s="35"/>
      <c r="AS909" s="35"/>
      <c r="AT909" s="35"/>
      <c r="AU909" s="35"/>
      <c r="AV909" s="35"/>
      <c r="AW909" s="35"/>
      <c r="AX909" s="35"/>
      <c r="AY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5"/>
      <c r="AP910" s="35"/>
      <c r="AQ910" s="35"/>
      <c r="AR910" s="35"/>
      <c r="AS910" s="35"/>
      <c r="AT910" s="35"/>
      <c r="AU910" s="35"/>
      <c r="AV910" s="35"/>
      <c r="AW910" s="35"/>
      <c r="AX910" s="35"/>
      <c r="AY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5"/>
      <c r="AP911" s="35"/>
      <c r="AQ911" s="35"/>
      <c r="AR911" s="35"/>
      <c r="AS911" s="35"/>
      <c r="AT911" s="35"/>
      <c r="AU911" s="35"/>
      <c r="AV911" s="35"/>
      <c r="AW911" s="35"/>
      <c r="AX911" s="35"/>
      <c r="AY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5"/>
      <c r="AP912" s="35"/>
      <c r="AQ912" s="35"/>
      <c r="AR912" s="35"/>
      <c r="AS912" s="35"/>
      <c r="AT912" s="35"/>
      <c r="AU912" s="35"/>
      <c r="AV912" s="35"/>
      <c r="AW912" s="35"/>
      <c r="AX912" s="35"/>
      <c r="AY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5"/>
      <c r="AP913" s="35"/>
      <c r="AQ913" s="35"/>
      <c r="AR913" s="35"/>
      <c r="AS913" s="35"/>
      <c r="AT913" s="35"/>
      <c r="AU913" s="35"/>
      <c r="AV913" s="35"/>
      <c r="AW913" s="35"/>
      <c r="AX913" s="35"/>
      <c r="AY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5"/>
      <c r="AP914" s="35"/>
      <c r="AQ914" s="35"/>
      <c r="AR914" s="35"/>
      <c r="AS914" s="35"/>
      <c r="AT914" s="35"/>
      <c r="AU914" s="35"/>
      <c r="AV914" s="35"/>
      <c r="AW914" s="35"/>
      <c r="AX914" s="35"/>
      <c r="AY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5"/>
      <c r="AP915" s="35"/>
      <c r="AQ915" s="35"/>
      <c r="AR915" s="35"/>
      <c r="AS915" s="35"/>
      <c r="AT915" s="35"/>
      <c r="AU915" s="35"/>
      <c r="AV915" s="35"/>
      <c r="AW915" s="35"/>
      <c r="AX915" s="35"/>
      <c r="AY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5"/>
      <c r="AP916" s="35"/>
      <c r="AQ916" s="35"/>
      <c r="AR916" s="35"/>
      <c r="AS916" s="35"/>
      <c r="AT916" s="35"/>
      <c r="AU916" s="35"/>
      <c r="AV916" s="35"/>
      <c r="AW916" s="35"/>
      <c r="AX916" s="35"/>
      <c r="AY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5"/>
      <c r="AP917" s="35"/>
      <c r="AQ917" s="35"/>
      <c r="AR917" s="35"/>
      <c r="AS917" s="35"/>
      <c r="AT917" s="35"/>
      <c r="AU917" s="35"/>
      <c r="AV917" s="35"/>
      <c r="AW917" s="35"/>
      <c r="AX917" s="35"/>
      <c r="AY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5"/>
      <c r="AP918" s="35"/>
      <c r="AQ918" s="35"/>
      <c r="AR918" s="35"/>
      <c r="AS918" s="35"/>
      <c r="AT918" s="35"/>
      <c r="AU918" s="35"/>
      <c r="AV918" s="35"/>
      <c r="AW918" s="35"/>
      <c r="AX918" s="35"/>
      <c r="AY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5"/>
      <c r="AP919" s="35"/>
      <c r="AQ919" s="35"/>
      <c r="AR919" s="35"/>
      <c r="AS919" s="35"/>
      <c r="AT919" s="35"/>
      <c r="AU919" s="35"/>
      <c r="AV919" s="35"/>
      <c r="AW919" s="35"/>
      <c r="AX919" s="35"/>
      <c r="AY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5"/>
      <c r="AP920" s="35"/>
      <c r="AQ920" s="35"/>
      <c r="AR920" s="35"/>
      <c r="AS920" s="35"/>
      <c r="AT920" s="35"/>
      <c r="AU920" s="35"/>
      <c r="AV920" s="35"/>
      <c r="AW920" s="35"/>
      <c r="AX920" s="35"/>
      <c r="AY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5"/>
      <c r="AP921" s="35"/>
      <c r="AQ921" s="35"/>
      <c r="AR921" s="35"/>
      <c r="AS921" s="35"/>
      <c r="AT921" s="35"/>
      <c r="AU921" s="35"/>
      <c r="AV921" s="35"/>
      <c r="AW921" s="35"/>
      <c r="AX921" s="35"/>
      <c r="AY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5"/>
      <c r="AP922" s="35"/>
      <c r="AQ922" s="35"/>
      <c r="AR922" s="35"/>
      <c r="AS922" s="35"/>
      <c r="AT922" s="35"/>
      <c r="AU922" s="35"/>
      <c r="AV922" s="35"/>
      <c r="AW922" s="35"/>
      <c r="AX922" s="35"/>
      <c r="AY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5"/>
      <c r="AP923" s="35"/>
      <c r="AQ923" s="35"/>
      <c r="AR923" s="35"/>
      <c r="AS923" s="35"/>
      <c r="AT923" s="35"/>
      <c r="AU923" s="35"/>
      <c r="AV923" s="35"/>
      <c r="AW923" s="35"/>
      <c r="AX923" s="35"/>
      <c r="AY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5"/>
      <c r="AP924" s="35"/>
      <c r="AQ924" s="35"/>
      <c r="AR924" s="35"/>
      <c r="AS924" s="35"/>
      <c r="AT924" s="35"/>
      <c r="AU924" s="35"/>
      <c r="AV924" s="35"/>
      <c r="AW924" s="35"/>
      <c r="AX924" s="35"/>
      <c r="AY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5"/>
      <c r="AP925" s="35"/>
      <c r="AQ925" s="35"/>
      <c r="AR925" s="35"/>
      <c r="AS925" s="35"/>
      <c r="AT925" s="35"/>
      <c r="AU925" s="35"/>
      <c r="AV925" s="35"/>
      <c r="AW925" s="35"/>
      <c r="AX925" s="35"/>
      <c r="AY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5"/>
      <c r="AP926" s="35"/>
      <c r="AQ926" s="35"/>
      <c r="AR926" s="35"/>
      <c r="AS926" s="35"/>
      <c r="AT926" s="35"/>
      <c r="AU926" s="35"/>
      <c r="AV926" s="35"/>
      <c r="AW926" s="35"/>
      <c r="AX926" s="35"/>
      <c r="AY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5"/>
      <c r="AP927" s="35"/>
      <c r="AQ927" s="35"/>
      <c r="AR927" s="35"/>
      <c r="AS927" s="35"/>
      <c r="AT927" s="35"/>
      <c r="AU927" s="35"/>
      <c r="AV927" s="35"/>
      <c r="AW927" s="35"/>
      <c r="AX927" s="35"/>
      <c r="AY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5"/>
      <c r="AP928" s="35"/>
      <c r="AQ928" s="35"/>
      <c r="AR928" s="35"/>
      <c r="AS928" s="35"/>
      <c r="AT928" s="35"/>
      <c r="AU928" s="35"/>
      <c r="AV928" s="35"/>
      <c r="AW928" s="35"/>
      <c r="AX928" s="35"/>
      <c r="AY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5"/>
      <c r="AP929" s="35"/>
      <c r="AQ929" s="35"/>
      <c r="AR929" s="35"/>
      <c r="AS929" s="35"/>
      <c r="AT929" s="35"/>
      <c r="AU929" s="35"/>
      <c r="AV929" s="35"/>
      <c r="AW929" s="35"/>
      <c r="AX929" s="35"/>
      <c r="AY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5"/>
      <c r="AP930" s="35"/>
      <c r="AQ930" s="35"/>
      <c r="AR930" s="35"/>
      <c r="AS930" s="35"/>
      <c r="AT930" s="35"/>
      <c r="AU930" s="35"/>
      <c r="AV930" s="35"/>
      <c r="AW930" s="35"/>
      <c r="AX930" s="35"/>
      <c r="AY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5"/>
      <c r="AP931" s="35"/>
      <c r="AQ931" s="35"/>
      <c r="AR931" s="35"/>
      <c r="AS931" s="35"/>
      <c r="AT931" s="35"/>
      <c r="AU931" s="35"/>
      <c r="AV931" s="35"/>
      <c r="AW931" s="35"/>
      <c r="AX931" s="35"/>
      <c r="AY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5"/>
      <c r="AP932" s="35"/>
      <c r="AQ932" s="35"/>
      <c r="AR932" s="35"/>
      <c r="AS932" s="35"/>
      <c r="AT932" s="35"/>
      <c r="AU932" s="35"/>
      <c r="AV932" s="35"/>
      <c r="AW932" s="35"/>
      <c r="AX932" s="35"/>
      <c r="AY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5"/>
      <c r="AP933" s="35"/>
      <c r="AQ933" s="35"/>
      <c r="AR933" s="35"/>
      <c r="AS933" s="35"/>
      <c r="AT933" s="35"/>
      <c r="AU933" s="35"/>
      <c r="AV933" s="35"/>
      <c r="AW933" s="35"/>
      <c r="AX933" s="35"/>
      <c r="AY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5"/>
      <c r="AP934" s="35"/>
      <c r="AQ934" s="35"/>
      <c r="AR934" s="35"/>
      <c r="AS934" s="35"/>
      <c r="AT934" s="35"/>
      <c r="AU934" s="35"/>
      <c r="AV934" s="35"/>
      <c r="AW934" s="35"/>
      <c r="AX934" s="35"/>
      <c r="AY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5"/>
      <c r="AP935" s="35"/>
      <c r="AQ935" s="35"/>
      <c r="AR935" s="35"/>
      <c r="AS935" s="35"/>
      <c r="AT935" s="35"/>
      <c r="AU935" s="35"/>
      <c r="AV935" s="35"/>
      <c r="AW935" s="35"/>
      <c r="AX935" s="35"/>
      <c r="AY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5"/>
      <c r="AP936" s="35"/>
      <c r="AQ936" s="35"/>
      <c r="AR936" s="35"/>
      <c r="AS936" s="35"/>
      <c r="AT936" s="35"/>
      <c r="AU936" s="35"/>
      <c r="AV936" s="35"/>
      <c r="AW936" s="35"/>
      <c r="AX936" s="35"/>
      <c r="AY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5"/>
      <c r="AP937" s="35"/>
      <c r="AQ937" s="35"/>
      <c r="AR937" s="35"/>
      <c r="AS937" s="35"/>
      <c r="AT937" s="35"/>
      <c r="AU937" s="35"/>
      <c r="AV937" s="35"/>
      <c r="AW937" s="35"/>
      <c r="AX937" s="35"/>
      <c r="AY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5"/>
      <c r="AP938" s="35"/>
      <c r="AQ938" s="35"/>
      <c r="AR938" s="35"/>
      <c r="AS938" s="35"/>
      <c r="AT938" s="35"/>
      <c r="AU938" s="35"/>
      <c r="AV938" s="35"/>
      <c r="AW938" s="35"/>
      <c r="AX938" s="35"/>
      <c r="AY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5"/>
      <c r="AP939" s="35"/>
      <c r="AQ939" s="35"/>
      <c r="AR939" s="35"/>
      <c r="AS939" s="35"/>
      <c r="AT939" s="35"/>
      <c r="AU939" s="35"/>
      <c r="AV939" s="35"/>
      <c r="AW939" s="35"/>
      <c r="AX939" s="35"/>
      <c r="AY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5"/>
      <c r="AP940" s="35"/>
      <c r="AQ940" s="35"/>
      <c r="AR940" s="35"/>
      <c r="AS940" s="35"/>
      <c r="AT940" s="35"/>
      <c r="AU940" s="35"/>
      <c r="AV940" s="35"/>
      <c r="AW940" s="35"/>
      <c r="AX940" s="35"/>
      <c r="AY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5"/>
      <c r="AP941" s="35"/>
      <c r="AQ941" s="35"/>
      <c r="AR941" s="35"/>
      <c r="AS941" s="35"/>
      <c r="AT941" s="35"/>
      <c r="AU941" s="35"/>
      <c r="AV941" s="35"/>
      <c r="AW941" s="35"/>
      <c r="AX941" s="35"/>
      <c r="AY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5"/>
      <c r="AP942" s="35"/>
      <c r="AQ942" s="35"/>
      <c r="AR942" s="35"/>
      <c r="AS942" s="35"/>
      <c r="AT942" s="35"/>
      <c r="AU942" s="35"/>
      <c r="AV942" s="35"/>
      <c r="AW942" s="35"/>
      <c r="AX942" s="35"/>
      <c r="AY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5"/>
      <c r="AP943" s="35"/>
      <c r="AQ943" s="35"/>
      <c r="AR943" s="35"/>
      <c r="AS943" s="35"/>
      <c r="AT943" s="35"/>
      <c r="AU943" s="35"/>
      <c r="AV943" s="35"/>
      <c r="AW943" s="35"/>
      <c r="AX943" s="35"/>
      <c r="AY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5"/>
      <c r="AP944" s="35"/>
      <c r="AQ944" s="35"/>
      <c r="AR944" s="35"/>
      <c r="AS944" s="35"/>
      <c r="AT944" s="35"/>
      <c r="AU944" s="35"/>
      <c r="AV944" s="35"/>
      <c r="AW944" s="35"/>
      <c r="AX944" s="35"/>
      <c r="AY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5"/>
      <c r="AP945" s="35"/>
      <c r="AQ945" s="35"/>
      <c r="AR945" s="35"/>
      <c r="AS945" s="35"/>
      <c r="AT945" s="35"/>
      <c r="AU945" s="35"/>
      <c r="AV945" s="35"/>
      <c r="AW945" s="35"/>
      <c r="AX945" s="35"/>
      <c r="AY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5"/>
      <c r="AP946" s="35"/>
      <c r="AQ946" s="35"/>
      <c r="AR946" s="35"/>
      <c r="AS946" s="35"/>
      <c r="AT946" s="35"/>
      <c r="AU946" s="35"/>
      <c r="AV946" s="35"/>
      <c r="AW946" s="35"/>
      <c r="AX946" s="35"/>
      <c r="AY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5"/>
      <c r="AP947" s="35"/>
      <c r="AQ947" s="35"/>
      <c r="AR947" s="35"/>
      <c r="AS947" s="35"/>
      <c r="AT947" s="35"/>
      <c r="AU947" s="35"/>
      <c r="AV947" s="35"/>
      <c r="AW947" s="35"/>
      <c r="AX947" s="35"/>
      <c r="AY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5"/>
      <c r="AP948" s="35"/>
      <c r="AQ948" s="35"/>
      <c r="AR948" s="35"/>
      <c r="AS948" s="35"/>
      <c r="AT948" s="35"/>
      <c r="AU948" s="35"/>
      <c r="AV948" s="35"/>
      <c r="AW948" s="35"/>
      <c r="AX948" s="35"/>
      <c r="AY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5"/>
      <c r="AP949" s="35"/>
      <c r="AQ949" s="35"/>
      <c r="AR949" s="35"/>
      <c r="AS949" s="35"/>
      <c r="AT949" s="35"/>
      <c r="AU949" s="35"/>
      <c r="AV949" s="35"/>
      <c r="AW949" s="35"/>
      <c r="AX949" s="35"/>
      <c r="AY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5"/>
      <c r="AP950" s="35"/>
      <c r="AQ950" s="35"/>
      <c r="AR950" s="35"/>
      <c r="AS950" s="35"/>
      <c r="AT950" s="35"/>
      <c r="AU950" s="35"/>
      <c r="AV950" s="35"/>
      <c r="AW950" s="35"/>
      <c r="AX950" s="35"/>
      <c r="AY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5"/>
      <c r="AP951" s="35"/>
      <c r="AQ951" s="35"/>
      <c r="AR951" s="35"/>
      <c r="AS951" s="35"/>
      <c r="AT951" s="35"/>
      <c r="AU951" s="35"/>
      <c r="AV951" s="35"/>
      <c r="AW951" s="35"/>
      <c r="AX951" s="35"/>
      <c r="AY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5"/>
      <c r="AP952" s="35"/>
      <c r="AQ952" s="35"/>
      <c r="AR952" s="35"/>
      <c r="AS952" s="35"/>
      <c r="AT952" s="35"/>
      <c r="AU952" s="35"/>
      <c r="AV952" s="35"/>
      <c r="AW952" s="35"/>
      <c r="AX952" s="35"/>
      <c r="AY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5"/>
      <c r="AP953" s="35"/>
      <c r="AQ953" s="35"/>
      <c r="AR953" s="35"/>
      <c r="AS953" s="35"/>
      <c r="AT953" s="35"/>
      <c r="AU953" s="35"/>
      <c r="AV953" s="35"/>
      <c r="AW953" s="35"/>
      <c r="AX953" s="35"/>
      <c r="AY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5"/>
      <c r="AP954" s="35"/>
      <c r="AQ954" s="35"/>
      <c r="AR954" s="35"/>
      <c r="AS954" s="35"/>
      <c r="AT954" s="35"/>
      <c r="AU954" s="35"/>
      <c r="AV954" s="35"/>
      <c r="AW954" s="35"/>
      <c r="AX954" s="35"/>
      <c r="AY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5"/>
      <c r="AP955" s="35"/>
      <c r="AQ955" s="35"/>
      <c r="AR955" s="35"/>
      <c r="AS955" s="35"/>
      <c r="AT955" s="35"/>
      <c r="AU955" s="35"/>
      <c r="AV955" s="35"/>
      <c r="AW955" s="35"/>
      <c r="AX955" s="35"/>
      <c r="AY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5"/>
      <c r="AP956" s="35"/>
      <c r="AQ956" s="35"/>
      <c r="AR956" s="35"/>
      <c r="AS956" s="35"/>
      <c r="AT956" s="35"/>
      <c r="AU956" s="35"/>
      <c r="AV956" s="35"/>
      <c r="AW956" s="35"/>
      <c r="AX956" s="35"/>
      <c r="AY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5"/>
      <c r="AP957" s="35"/>
      <c r="AQ957" s="35"/>
      <c r="AR957" s="35"/>
      <c r="AS957" s="35"/>
      <c r="AT957" s="35"/>
      <c r="AU957" s="35"/>
      <c r="AV957" s="35"/>
      <c r="AW957" s="35"/>
      <c r="AX957" s="35"/>
      <c r="AY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5"/>
      <c r="AP958" s="35"/>
      <c r="AQ958" s="35"/>
      <c r="AR958" s="35"/>
      <c r="AS958" s="35"/>
      <c r="AT958" s="35"/>
      <c r="AU958" s="35"/>
      <c r="AV958" s="35"/>
      <c r="AW958" s="35"/>
      <c r="AX958" s="35"/>
      <c r="AY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5"/>
      <c r="AP959" s="35"/>
      <c r="AQ959" s="35"/>
      <c r="AR959" s="35"/>
      <c r="AS959" s="35"/>
      <c r="AT959" s="35"/>
      <c r="AU959" s="35"/>
      <c r="AV959" s="35"/>
      <c r="AW959" s="35"/>
      <c r="AX959" s="35"/>
      <c r="AY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5"/>
      <c r="AP960" s="35"/>
      <c r="AQ960" s="35"/>
      <c r="AR960" s="35"/>
      <c r="AS960" s="35"/>
      <c r="AT960" s="35"/>
      <c r="AU960" s="35"/>
      <c r="AV960" s="35"/>
      <c r="AW960" s="35"/>
      <c r="AX960" s="35"/>
      <c r="AY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  <c r="AO961" s="35"/>
      <c r="AP961" s="35"/>
      <c r="AQ961" s="35"/>
      <c r="AR961" s="35"/>
      <c r="AS961" s="35"/>
      <c r="AT961" s="35"/>
      <c r="AU961" s="35"/>
      <c r="AV961" s="35"/>
      <c r="AW961" s="35"/>
      <c r="AX961" s="35"/>
      <c r="AY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  <c r="AO962" s="35"/>
      <c r="AP962" s="35"/>
      <c r="AQ962" s="35"/>
      <c r="AR962" s="35"/>
      <c r="AS962" s="35"/>
      <c r="AT962" s="35"/>
      <c r="AU962" s="35"/>
      <c r="AV962" s="35"/>
      <c r="AW962" s="35"/>
      <c r="AX962" s="35"/>
      <c r="AY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  <c r="AO963" s="35"/>
      <c r="AP963" s="35"/>
      <c r="AQ963" s="35"/>
      <c r="AR963" s="35"/>
      <c r="AS963" s="35"/>
      <c r="AT963" s="35"/>
      <c r="AU963" s="35"/>
      <c r="AV963" s="35"/>
      <c r="AW963" s="35"/>
      <c r="AX963" s="35"/>
      <c r="AY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  <c r="AO964" s="35"/>
      <c r="AP964" s="35"/>
      <c r="AQ964" s="35"/>
      <c r="AR964" s="35"/>
      <c r="AS964" s="35"/>
      <c r="AT964" s="35"/>
      <c r="AU964" s="35"/>
      <c r="AV964" s="35"/>
      <c r="AW964" s="35"/>
      <c r="AX964" s="35"/>
      <c r="AY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  <c r="AO965" s="35"/>
      <c r="AP965" s="35"/>
      <c r="AQ965" s="35"/>
      <c r="AR965" s="35"/>
      <c r="AS965" s="35"/>
      <c r="AT965" s="35"/>
      <c r="AU965" s="35"/>
      <c r="AV965" s="35"/>
      <c r="AW965" s="35"/>
      <c r="AX965" s="35"/>
      <c r="AY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  <c r="AO966" s="35"/>
      <c r="AP966" s="35"/>
      <c r="AQ966" s="35"/>
      <c r="AR966" s="35"/>
      <c r="AS966" s="35"/>
      <c r="AT966" s="35"/>
      <c r="AU966" s="35"/>
      <c r="AV966" s="35"/>
      <c r="AW966" s="35"/>
      <c r="AX966" s="35"/>
      <c r="AY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  <c r="AO967" s="35"/>
      <c r="AP967" s="35"/>
      <c r="AQ967" s="35"/>
      <c r="AR967" s="35"/>
      <c r="AS967" s="35"/>
      <c r="AT967" s="35"/>
      <c r="AU967" s="35"/>
      <c r="AV967" s="35"/>
      <c r="AW967" s="35"/>
      <c r="AX967" s="35"/>
      <c r="AY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  <c r="AK968" s="35"/>
      <c r="AL968" s="35"/>
      <c r="AM968" s="35"/>
      <c r="AN968" s="35"/>
      <c r="AO968" s="35"/>
      <c r="AP968" s="35"/>
      <c r="AQ968" s="35"/>
      <c r="AR968" s="35"/>
      <c r="AS968" s="35"/>
      <c r="AT968" s="35"/>
      <c r="AU968" s="35"/>
      <c r="AV968" s="35"/>
      <c r="AW968" s="35"/>
      <c r="AX968" s="35"/>
      <c r="AY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  <c r="AK969" s="35"/>
      <c r="AL969" s="35"/>
      <c r="AM969" s="35"/>
      <c r="AN969" s="35"/>
      <c r="AO969" s="35"/>
      <c r="AP969" s="35"/>
      <c r="AQ969" s="35"/>
      <c r="AR969" s="35"/>
      <c r="AS969" s="35"/>
      <c r="AT969" s="35"/>
      <c r="AU969" s="35"/>
      <c r="AV969" s="35"/>
      <c r="AW969" s="35"/>
      <c r="AX969" s="35"/>
      <c r="AY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  <c r="AK970" s="35"/>
      <c r="AL970" s="35"/>
      <c r="AM970" s="35"/>
      <c r="AN970" s="35"/>
      <c r="AO970" s="35"/>
      <c r="AP970" s="35"/>
      <c r="AQ970" s="35"/>
      <c r="AR970" s="35"/>
      <c r="AS970" s="35"/>
      <c r="AT970" s="35"/>
      <c r="AU970" s="35"/>
      <c r="AV970" s="35"/>
      <c r="AW970" s="35"/>
      <c r="AX970" s="35"/>
      <c r="AY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  <c r="AK971" s="35"/>
      <c r="AL971" s="35"/>
      <c r="AM971" s="35"/>
      <c r="AN971" s="35"/>
      <c r="AO971" s="35"/>
      <c r="AP971" s="35"/>
      <c r="AQ971" s="35"/>
      <c r="AR971" s="35"/>
      <c r="AS971" s="35"/>
      <c r="AT971" s="35"/>
      <c r="AU971" s="35"/>
      <c r="AV971" s="35"/>
      <c r="AW971" s="35"/>
      <c r="AX971" s="35"/>
      <c r="AY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  <c r="AK972" s="35"/>
      <c r="AL972" s="35"/>
      <c r="AM972" s="35"/>
      <c r="AN972" s="35"/>
      <c r="AO972" s="35"/>
      <c r="AP972" s="35"/>
      <c r="AQ972" s="35"/>
      <c r="AR972" s="35"/>
      <c r="AS972" s="35"/>
      <c r="AT972" s="35"/>
      <c r="AU972" s="35"/>
      <c r="AV972" s="35"/>
      <c r="AW972" s="35"/>
      <c r="AX972" s="35"/>
      <c r="AY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  <c r="AK973" s="35"/>
      <c r="AL973" s="35"/>
      <c r="AM973" s="35"/>
      <c r="AN973" s="35"/>
      <c r="AO973" s="35"/>
      <c r="AP973" s="35"/>
      <c r="AQ973" s="35"/>
      <c r="AR973" s="35"/>
      <c r="AS973" s="35"/>
      <c r="AT973" s="35"/>
      <c r="AU973" s="35"/>
      <c r="AV973" s="35"/>
      <c r="AW973" s="35"/>
      <c r="AX973" s="35"/>
      <c r="AY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  <c r="AK974" s="35"/>
      <c r="AL974" s="35"/>
      <c r="AM974" s="35"/>
      <c r="AN974" s="35"/>
      <c r="AO974" s="35"/>
      <c r="AP974" s="35"/>
      <c r="AQ974" s="35"/>
      <c r="AR974" s="35"/>
      <c r="AS974" s="35"/>
      <c r="AT974" s="35"/>
      <c r="AU974" s="35"/>
      <c r="AV974" s="35"/>
      <c r="AW974" s="35"/>
      <c r="AX974" s="35"/>
      <c r="AY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  <c r="AK975" s="35"/>
      <c r="AL975" s="35"/>
      <c r="AM975" s="35"/>
      <c r="AN975" s="35"/>
      <c r="AO975" s="35"/>
      <c r="AP975" s="35"/>
      <c r="AQ975" s="35"/>
      <c r="AR975" s="35"/>
      <c r="AS975" s="35"/>
      <c r="AT975" s="35"/>
      <c r="AU975" s="35"/>
      <c r="AV975" s="35"/>
      <c r="AW975" s="35"/>
      <c r="AX975" s="35"/>
      <c r="AY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  <c r="AK976" s="35"/>
      <c r="AL976" s="35"/>
      <c r="AM976" s="35"/>
      <c r="AN976" s="35"/>
      <c r="AO976" s="35"/>
      <c r="AP976" s="35"/>
      <c r="AQ976" s="35"/>
      <c r="AR976" s="35"/>
      <c r="AS976" s="35"/>
      <c r="AT976" s="35"/>
      <c r="AU976" s="35"/>
      <c r="AV976" s="35"/>
      <c r="AW976" s="35"/>
      <c r="AX976" s="35"/>
      <c r="AY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  <c r="AK977" s="35"/>
      <c r="AL977" s="35"/>
      <c r="AM977" s="35"/>
      <c r="AN977" s="35"/>
      <c r="AO977" s="35"/>
      <c r="AP977" s="35"/>
      <c r="AQ977" s="35"/>
      <c r="AR977" s="35"/>
      <c r="AS977" s="35"/>
      <c r="AT977" s="35"/>
      <c r="AU977" s="35"/>
      <c r="AV977" s="35"/>
      <c r="AW977" s="35"/>
      <c r="AX977" s="35"/>
      <c r="AY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  <c r="AK978" s="35"/>
      <c r="AL978" s="35"/>
      <c r="AM978" s="35"/>
      <c r="AN978" s="35"/>
      <c r="AO978" s="35"/>
      <c r="AP978" s="35"/>
      <c r="AQ978" s="35"/>
      <c r="AR978" s="35"/>
      <c r="AS978" s="35"/>
      <c r="AT978" s="35"/>
      <c r="AU978" s="35"/>
      <c r="AV978" s="35"/>
      <c r="AW978" s="35"/>
      <c r="AX978" s="35"/>
      <c r="AY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  <c r="AK979" s="35"/>
      <c r="AL979" s="35"/>
      <c r="AM979" s="35"/>
      <c r="AN979" s="35"/>
      <c r="AO979" s="35"/>
      <c r="AP979" s="35"/>
      <c r="AQ979" s="35"/>
      <c r="AR979" s="35"/>
      <c r="AS979" s="35"/>
      <c r="AT979" s="35"/>
      <c r="AU979" s="35"/>
      <c r="AV979" s="35"/>
      <c r="AW979" s="35"/>
      <c r="AX979" s="35"/>
      <c r="AY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  <c r="AK980" s="35"/>
      <c r="AL980" s="35"/>
      <c r="AM980" s="35"/>
      <c r="AN980" s="35"/>
      <c r="AO980" s="35"/>
      <c r="AP980" s="35"/>
      <c r="AQ980" s="35"/>
      <c r="AR980" s="35"/>
      <c r="AS980" s="35"/>
      <c r="AT980" s="35"/>
      <c r="AU980" s="35"/>
      <c r="AV980" s="35"/>
      <c r="AW980" s="35"/>
      <c r="AX980" s="35"/>
      <c r="AY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  <c r="AK981" s="35"/>
      <c r="AL981" s="35"/>
      <c r="AM981" s="35"/>
      <c r="AN981" s="35"/>
      <c r="AO981" s="35"/>
      <c r="AP981" s="35"/>
      <c r="AQ981" s="35"/>
      <c r="AR981" s="35"/>
      <c r="AS981" s="35"/>
      <c r="AT981" s="35"/>
      <c r="AU981" s="35"/>
      <c r="AV981" s="35"/>
      <c r="AW981" s="35"/>
      <c r="AX981" s="35"/>
      <c r="AY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  <c r="AK982" s="35"/>
      <c r="AL982" s="35"/>
      <c r="AM982" s="35"/>
      <c r="AN982" s="35"/>
      <c r="AO982" s="35"/>
      <c r="AP982" s="35"/>
      <c r="AQ982" s="35"/>
      <c r="AR982" s="35"/>
      <c r="AS982" s="35"/>
      <c r="AT982" s="35"/>
      <c r="AU982" s="35"/>
      <c r="AV982" s="35"/>
      <c r="AW982" s="35"/>
      <c r="AX982" s="35"/>
      <c r="AY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  <c r="AK983" s="35"/>
      <c r="AL983" s="35"/>
      <c r="AM983" s="35"/>
      <c r="AN983" s="35"/>
      <c r="AO983" s="35"/>
      <c r="AP983" s="35"/>
      <c r="AQ983" s="35"/>
      <c r="AR983" s="35"/>
      <c r="AS983" s="35"/>
      <c r="AT983" s="35"/>
      <c r="AU983" s="35"/>
      <c r="AV983" s="35"/>
      <c r="AW983" s="35"/>
      <c r="AX983" s="35"/>
      <c r="AY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  <c r="AK984" s="35"/>
      <c r="AL984" s="35"/>
      <c r="AM984" s="35"/>
      <c r="AN984" s="35"/>
      <c r="AO984" s="35"/>
      <c r="AP984" s="35"/>
      <c r="AQ984" s="35"/>
      <c r="AR984" s="35"/>
      <c r="AS984" s="35"/>
      <c r="AT984" s="35"/>
      <c r="AU984" s="35"/>
      <c r="AV984" s="35"/>
      <c r="AW984" s="35"/>
      <c r="AX984" s="35"/>
      <c r="AY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  <c r="AK985" s="35"/>
      <c r="AL985" s="35"/>
      <c r="AM985" s="35"/>
      <c r="AN985" s="35"/>
      <c r="AO985" s="35"/>
      <c r="AP985" s="35"/>
      <c r="AQ985" s="35"/>
      <c r="AR985" s="35"/>
      <c r="AS985" s="35"/>
      <c r="AT985" s="35"/>
      <c r="AU985" s="35"/>
      <c r="AV985" s="35"/>
      <c r="AW985" s="35"/>
      <c r="AX985" s="35"/>
      <c r="AY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  <c r="AK986" s="35"/>
      <c r="AL986" s="35"/>
      <c r="AM986" s="35"/>
      <c r="AN986" s="35"/>
      <c r="AO986" s="35"/>
      <c r="AP986" s="35"/>
      <c r="AQ986" s="35"/>
      <c r="AR986" s="35"/>
      <c r="AS986" s="35"/>
      <c r="AT986" s="35"/>
      <c r="AU986" s="35"/>
      <c r="AV986" s="35"/>
      <c r="AW986" s="35"/>
      <c r="AX986" s="35"/>
      <c r="AY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  <c r="AK987" s="35"/>
      <c r="AL987" s="35"/>
      <c r="AM987" s="35"/>
      <c r="AN987" s="35"/>
      <c r="AO987" s="35"/>
      <c r="AP987" s="35"/>
      <c r="AQ987" s="35"/>
      <c r="AR987" s="35"/>
      <c r="AS987" s="35"/>
      <c r="AT987" s="35"/>
      <c r="AU987" s="35"/>
      <c r="AV987" s="35"/>
      <c r="AW987" s="35"/>
      <c r="AX987" s="35"/>
      <c r="AY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  <c r="AK988" s="35"/>
      <c r="AL988" s="35"/>
      <c r="AM988" s="35"/>
      <c r="AN988" s="35"/>
      <c r="AO988" s="35"/>
      <c r="AP988" s="35"/>
      <c r="AQ988" s="35"/>
      <c r="AR988" s="35"/>
      <c r="AS988" s="35"/>
      <c r="AT988" s="35"/>
      <c r="AU988" s="35"/>
      <c r="AV988" s="35"/>
      <c r="AW988" s="35"/>
      <c r="AX988" s="35"/>
      <c r="AY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  <c r="AK989" s="35"/>
      <c r="AL989" s="35"/>
      <c r="AM989" s="35"/>
      <c r="AN989" s="35"/>
      <c r="AO989" s="35"/>
      <c r="AP989" s="35"/>
      <c r="AQ989" s="35"/>
      <c r="AR989" s="35"/>
      <c r="AS989" s="35"/>
      <c r="AT989" s="35"/>
      <c r="AU989" s="35"/>
      <c r="AV989" s="35"/>
      <c r="AW989" s="35"/>
      <c r="AX989" s="35"/>
      <c r="AY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  <c r="AK990" s="35"/>
      <c r="AL990" s="35"/>
      <c r="AM990" s="35"/>
      <c r="AN990" s="35"/>
      <c r="AO990" s="35"/>
      <c r="AP990" s="35"/>
      <c r="AQ990" s="35"/>
      <c r="AR990" s="35"/>
      <c r="AS990" s="35"/>
      <c r="AT990" s="35"/>
      <c r="AU990" s="35"/>
      <c r="AV990" s="35"/>
      <c r="AW990" s="35"/>
      <c r="AX990" s="35"/>
      <c r="AY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  <c r="AK991" s="35"/>
      <c r="AL991" s="35"/>
      <c r="AM991" s="35"/>
      <c r="AN991" s="35"/>
      <c r="AO991" s="35"/>
      <c r="AP991" s="35"/>
      <c r="AQ991" s="35"/>
      <c r="AR991" s="35"/>
      <c r="AS991" s="35"/>
      <c r="AT991" s="35"/>
      <c r="AU991" s="35"/>
      <c r="AV991" s="35"/>
      <c r="AW991" s="35"/>
      <c r="AX991" s="35"/>
      <c r="AY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  <c r="AK992" s="35"/>
      <c r="AL992" s="35"/>
      <c r="AM992" s="35"/>
      <c r="AN992" s="35"/>
      <c r="AO992" s="35"/>
      <c r="AP992" s="35"/>
      <c r="AQ992" s="35"/>
      <c r="AR992" s="35"/>
      <c r="AS992" s="35"/>
      <c r="AT992" s="35"/>
      <c r="AU992" s="35"/>
      <c r="AV992" s="35"/>
      <c r="AW992" s="35"/>
      <c r="AX992" s="35"/>
      <c r="AY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  <c r="AK993" s="35"/>
      <c r="AL993" s="35"/>
      <c r="AM993" s="35"/>
      <c r="AN993" s="35"/>
      <c r="AO993" s="35"/>
      <c r="AP993" s="35"/>
      <c r="AQ993" s="35"/>
      <c r="AR993" s="35"/>
      <c r="AS993" s="35"/>
      <c r="AT993" s="35"/>
      <c r="AU993" s="35"/>
      <c r="AV993" s="35"/>
      <c r="AW993" s="35"/>
      <c r="AX993" s="35"/>
      <c r="AY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  <c r="AK994" s="35"/>
      <c r="AL994" s="35"/>
      <c r="AM994" s="35"/>
      <c r="AN994" s="35"/>
      <c r="AO994" s="35"/>
      <c r="AP994" s="35"/>
      <c r="AQ994" s="35"/>
      <c r="AR994" s="35"/>
      <c r="AS994" s="35"/>
      <c r="AT994" s="35"/>
      <c r="AU994" s="35"/>
      <c r="AV994" s="35"/>
      <c r="AW994" s="35"/>
      <c r="AX994" s="35"/>
      <c r="AY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  <c r="AK995" s="35"/>
      <c r="AL995" s="35"/>
      <c r="AM995" s="35"/>
      <c r="AN995" s="35"/>
      <c r="AO995" s="35"/>
      <c r="AP995" s="35"/>
      <c r="AQ995" s="35"/>
      <c r="AR995" s="35"/>
      <c r="AS995" s="35"/>
      <c r="AT995" s="35"/>
      <c r="AU995" s="35"/>
      <c r="AV995" s="35"/>
      <c r="AW995" s="35"/>
      <c r="AX995" s="35"/>
      <c r="AY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  <c r="AK996" s="35"/>
      <c r="AL996" s="35"/>
      <c r="AM996" s="35"/>
      <c r="AN996" s="35"/>
      <c r="AO996" s="35"/>
      <c r="AP996" s="35"/>
      <c r="AQ996" s="35"/>
      <c r="AR996" s="35"/>
      <c r="AS996" s="35"/>
      <c r="AT996" s="35"/>
      <c r="AU996" s="35"/>
      <c r="AV996" s="35"/>
      <c r="AW996" s="35"/>
      <c r="AX996" s="35"/>
      <c r="AY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  <c r="AK997" s="35"/>
      <c r="AL997" s="35"/>
      <c r="AM997" s="35"/>
      <c r="AN997" s="35"/>
      <c r="AO997" s="35"/>
      <c r="AP997" s="35"/>
      <c r="AQ997" s="35"/>
      <c r="AR997" s="35"/>
      <c r="AS997" s="35"/>
      <c r="AT997" s="35"/>
      <c r="AU997" s="35"/>
      <c r="AV997" s="35"/>
      <c r="AW997" s="35"/>
      <c r="AX997" s="35"/>
      <c r="AY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  <c r="AK998" s="35"/>
      <c r="AL998" s="35"/>
      <c r="AM998" s="35"/>
      <c r="AN998" s="35"/>
      <c r="AO998" s="35"/>
      <c r="AP998" s="35"/>
      <c r="AQ998" s="35"/>
      <c r="AR998" s="35"/>
      <c r="AS998" s="35"/>
      <c r="AT998" s="35"/>
      <c r="AU998" s="35"/>
      <c r="AV998" s="35"/>
      <c r="AW998" s="35"/>
      <c r="AX998" s="35"/>
      <c r="AY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  <c r="AK999" s="35"/>
      <c r="AL999" s="35"/>
      <c r="AM999" s="35"/>
      <c r="AN999" s="35"/>
      <c r="AO999" s="35"/>
      <c r="AP999" s="35"/>
      <c r="AQ999" s="35"/>
      <c r="AR999" s="35"/>
      <c r="AS999" s="35"/>
      <c r="AT999" s="35"/>
      <c r="AU999" s="35"/>
      <c r="AV999" s="35"/>
      <c r="AW999" s="35"/>
      <c r="AX999" s="35"/>
      <c r="AY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  <c r="AK1000" s="35"/>
      <c r="AL1000" s="35"/>
      <c r="AM1000" s="35"/>
      <c r="AN1000" s="35"/>
      <c r="AO1000" s="35"/>
      <c r="AP1000" s="35"/>
      <c r="AQ1000" s="35"/>
      <c r="AR1000" s="35"/>
      <c r="AS1000" s="35"/>
      <c r="AT1000" s="35"/>
      <c r="AU1000" s="35"/>
      <c r="AV1000" s="35"/>
      <c r="AW1000" s="35"/>
      <c r="AX1000" s="35"/>
      <c r="AY1000" s="35"/>
    </row>
    <row r="1001">
      <c r="A1001" s="35"/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35"/>
      <c r="P1001" s="35"/>
      <c r="Q1001" s="35"/>
      <c r="R1001" s="35"/>
      <c r="S1001" s="35"/>
      <c r="T1001" s="35"/>
      <c r="U1001" s="35"/>
      <c r="V1001" s="35"/>
      <c r="W1001" s="35"/>
      <c r="X1001" s="35"/>
      <c r="Y1001" s="35"/>
      <c r="Z1001" s="35"/>
      <c r="AA1001" s="35"/>
      <c r="AB1001" s="35"/>
      <c r="AC1001" s="35"/>
      <c r="AD1001" s="35"/>
      <c r="AE1001" s="35"/>
      <c r="AF1001" s="35"/>
      <c r="AG1001" s="35"/>
      <c r="AH1001" s="35"/>
      <c r="AI1001" s="35"/>
      <c r="AJ1001" s="35"/>
      <c r="AK1001" s="35"/>
      <c r="AL1001" s="35"/>
      <c r="AM1001" s="35"/>
      <c r="AN1001" s="35"/>
      <c r="AO1001" s="35"/>
      <c r="AP1001" s="35"/>
      <c r="AQ1001" s="35"/>
      <c r="AR1001" s="35"/>
      <c r="AS1001" s="35"/>
      <c r="AT1001" s="35"/>
      <c r="AU1001" s="35"/>
      <c r="AV1001" s="35"/>
      <c r="AW1001" s="35"/>
      <c r="AX1001" s="35"/>
      <c r="AY1001" s="35"/>
    </row>
    <row r="1002">
      <c r="A1002" s="35"/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35"/>
      <c r="P1002" s="35"/>
      <c r="Q1002" s="35"/>
      <c r="R1002" s="35"/>
      <c r="S1002" s="35"/>
      <c r="T1002" s="35"/>
      <c r="U1002" s="35"/>
      <c r="V1002" s="35"/>
      <c r="W1002" s="35"/>
      <c r="X1002" s="35"/>
      <c r="Y1002" s="35"/>
      <c r="Z1002" s="35"/>
      <c r="AA1002" s="35"/>
      <c r="AB1002" s="35"/>
      <c r="AC1002" s="35"/>
      <c r="AD1002" s="35"/>
      <c r="AE1002" s="35"/>
      <c r="AF1002" s="35"/>
      <c r="AG1002" s="35"/>
      <c r="AH1002" s="35"/>
      <c r="AI1002" s="35"/>
      <c r="AJ1002" s="35"/>
      <c r="AK1002" s="35"/>
      <c r="AL1002" s="35"/>
      <c r="AM1002" s="35"/>
      <c r="AN1002" s="35"/>
      <c r="AO1002" s="35"/>
      <c r="AP1002" s="35"/>
      <c r="AQ1002" s="35"/>
      <c r="AR1002" s="35"/>
      <c r="AS1002" s="35"/>
      <c r="AT1002" s="35"/>
      <c r="AU1002" s="35"/>
      <c r="AV1002" s="35"/>
      <c r="AW1002" s="35"/>
      <c r="AX1002" s="35"/>
      <c r="AY1002" s="35"/>
    </row>
    <row r="1003">
      <c r="A1003" s="35"/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35"/>
      <c r="P1003" s="35"/>
      <c r="Q1003" s="35"/>
      <c r="R1003" s="35"/>
      <c r="S1003" s="35"/>
      <c r="T1003" s="35"/>
      <c r="U1003" s="35"/>
      <c r="V1003" s="35"/>
      <c r="W1003" s="35"/>
      <c r="X1003" s="35"/>
      <c r="Y1003" s="35"/>
      <c r="Z1003" s="35"/>
      <c r="AA1003" s="35"/>
      <c r="AB1003" s="35"/>
      <c r="AC1003" s="35"/>
      <c r="AD1003" s="35"/>
      <c r="AE1003" s="35"/>
      <c r="AF1003" s="35"/>
      <c r="AG1003" s="35"/>
      <c r="AH1003" s="35"/>
      <c r="AI1003" s="35"/>
      <c r="AJ1003" s="35"/>
      <c r="AK1003" s="35"/>
      <c r="AL1003" s="35"/>
      <c r="AM1003" s="35"/>
      <c r="AN1003" s="35"/>
      <c r="AO1003" s="35"/>
      <c r="AP1003" s="35"/>
      <c r="AQ1003" s="35"/>
      <c r="AR1003" s="35"/>
      <c r="AS1003" s="35"/>
      <c r="AT1003" s="35"/>
      <c r="AU1003" s="35"/>
      <c r="AV1003" s="35"/>
      <c r="AW1003" s="35"/>
      <c r="AX1003" s="35"/>
      <c r="AY1003" s="35"/>
    </row>
    <row r="1004">
      <c r="A1004" s="35"/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35"/>
      <c r="P1004" s="35"/>
      <c r="Q1004" s="35"/>
      <c r="R1004" s="35"/>
      <c r="S1004" s="35"/>
      <c r="T1004" s="35"/>
      <c r="U1004" s="35"/>
      <c r="V1004" s="35"/>
      <c r="W1004" s="35"/>
      <c r="X1004" s="35"/>
      <c r="Y1004" s="35"/>
      <c r="Z1004" s="35"/>
      <c r="AA1004" s="35"/>
      <c r="AB1004" s="35"/>
      <c r="AC1004" s="35"/>
      <c r="AD1004" s="35"/>
      <c r="AE1004" s="35"/>
      <c r="AF1004" s="35"/>
      <c r="AG1004" s="35"/>
      <c r="AH1004" s="35"/>
      <c r="AI1004" s="35"/>
      <c r="AJ1004" s="35"/>
      <c r="AK1004" s="35"/>
      <c r="AL1004" s="35"/>
      <c r="AM1004" s="35"/>
      <c r="AN1004" s="35"/>
      <c r="AO1004" s="35"/>
      <c r="AP1004" s="35"/>
      <c r="AQ1004" s="35"/>
      <c r="AR1004" s="35"/>
      <c r="AS1004" s="35"/>
      <c r="AT1004" s="35"/>
      <c r="AU1004" s="35"/>
      <c r="AV1004" s="35"/>
      <c r="AW1004" s="35"/>
      <c r="AX1004" s="35"/>
      <c r="AY1004" s="35"/>
    </row>
    <row r="1005">
      <c r="A1005" s="35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35"/>
      <c r="P1005" s="35"/>
      <c r="Q1005" s="35"/>
      <c r="R1005" s="35"/>
      <c r="S1005" s="35"/>
      <c r="T1005" s="35"/>
      <c r="U1005" s="35"/>
      <c r="V1005" s="35"/>
      <c r="W1005" s="35"/>
      <c r="X1005" s="35"/>
      <c r="Y1005" s="35"/>
      <c r="Z1005" s="35"/>
      <c r="AA1005" s="35"/>
      <c r="AB1005" s="35"/>
      <c r="AC1005" s="35"/>
      <c r="AD1005" s="35"/>
      <c r="AE1005" s="35"/>
      <c r="AF1005" s="35"/>
      <c r="AG1005" s="35"/>
      <c r="AH1005" s="35"/>
      <c r="AI1005" s="35"/>
      <c r="AJ1005" s="35"/>
      <c r="AK1005" s="35"/>
      <c r="AL1005" s="35"/>
      <c r="AM1005" s="35"/>
      <c r="AN1005" s="35"/>
      <c r="AO1005" s="35"/>
      <c r="AP1005" s="35"/>
      <c r="AQ1005" s="35"/>
      <c r="AR1005" s="35"/>
      <c r="AS1005" s="35"/>
      <c r="AT1005" s="35"/>
      <c r="AU1005" s="35"/>
      <c r="AV1005" s="35"/>
      <c r="AW1005" s="35"/>
      <c r="AX1005" s="35"/>
      <c r="AY1005" s="35"/>
    </row>
    <row r="1006">
      <c r="A1006" s="35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W1006" s="35"/>
      <c r="X1006" s="35"/>
      <c r="Y1006" s="35"/>
      <c r="Z1006" s="35"/>
      <c r="AA1006" s="35"/>
      <c r="AB1006" s="35"/>
      <c r="AC1006" s="35"/>
      <c r="AD1006" s="35"/>
      <c r="AE1006" s="35"/>
      <c r="AF1006" s="35"/>
      <c r="AG1006" s="35"/>
      <c r="AH1006" s="35"/>
      <c r="AI1006" s="35"/>
      <c r="AJ1006" s="35"/>
      <c r="AK1006" s="35"/>
      <c r="AL1006" s="35"/>
      <c r="AM1006" s="35"/>
      <c r="AN1006" s="35"/>
      <c r="AO1006" s="35"/>
      <c r="AP1006" s="35"/>
      <c r="AQ1006" s="35"/>
      <c r="AR1006" s="35"/>
      <c r="AS1006" s="35"/>
      <c r="AT1006" s="35"/>
      <c r="AU1006" s="35"/>
      <c r="AV1006" s="35"/>
      <c r="AW1006" s="35"/>
      <c r="AX1006" s="35"/>
      <c r="AY1006" s="35"/>
    </row>
    <row r="1007">
      <c r="A1007" s="35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  <c r="O1007" s="35"/>
      <c r="P1007" s="35"/>
      <c r="Q1007" s="35"/>
      <c r="R1007" s="35"/>
      <c r="S1007" s="35"/>
      <c r="T1007" s="35"/>
      <c r="U1007" s="35"/>
      <c r="V1007" s="35"/>
      <c r="W1007" s="35"/>
      <c r="X1007" s="35"/>
      <c r="Y1007" s="35"/>
      <c r="Z1007" s="35"/>
      <c r="AA1007" s="35"/>
      <c r="AB1007" s="35"/>
      <c r="AC1007" s="35"/>
      <c r="AD1007" s="35"/>
      <c r="AE1007" s="35"/>
      <c r="AF1007" s="35"/>
      <c r="AG1007" s="35"/>
      <c r="AH1007" s="35"/>
      <c r="AI1007" s="35"/>
      <c r="AJ1007" s="35"/>
      <c r="AK1007" s="35"/>
      <c r="AL1007" s="35"/>
      <c r="AM1007" s="35"/>
      <c r="AN1007" s="35"/>
      <c r="AO1007" s="35"/>
      <c r="AP1007" s="35"/>
      <c r="AQ1007" s="35"/>
      <c r="AR1007" s="35"/>
      <c r="AS1007" s="35"/>
      <c r="AT1007" s="35"/>
      <c r="AU1007" s="35"/>
      <c r="AV1007" s="35"/>
      <c r="AW1007" s="35"/>
      <c r="AX1007" s="35"/>
      <c r="AY1007" s="35"/>
    </row>
    <row r="1008">
      <c r="A1008" s="35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  <c r="O1008" s="35"/>
      <c r="P1008" s="35"/>
      <c r="Q1008" s="35"/>
      <c r="R1008" s="35"/>
      <c r="S1008" s="35"/>
      <c r="T1008" s="35"/>
      <c r="U1008" s="35"/>
      <c r="V1008" s="35"/>
      <c r="W1008" s="35"/>
      <c r="X1008" s="35"/>
      <c r="Y1008" s="35"/>
      <c r="Z1008" s="35"/>
      <c r="AA1008" s="35"/>
      <c r="AB1008" s="35"/>
      <c r="AC1008" s="35"/>
      <c r="AD1008" s="35"/>
      <c r="AE1008" s="35"/>
      <c r="AF1008" s="35"/>
      <c r="AG1008" s="35"/>
      <c r="AH1008" s="35"/>
      <c r="AI1008" s="35"/>
      <c r="AJ1008" s="35"/>
      <c r="AK1008" s="35"/>
      <c r="AL1008" s="35"/>
      <c r="AM1008" s="35"/>
      <c r="AN1008" s="35"/>
      <c r="AO1008" s="35"/>
      <c r="AP1008" s="35"/>
      <c r="AQ1008" s="35"/>
      <c r="AR1008" s="35"/>
      <c r="AS1008" s="35"/>
      <c r="AT1008" s="35"/>
      <c r="AU1008" s="35"/>
      <c r="AV1008" s="35"/>
      <c r="AW1008" s="35"/>
      <c r="AX1008" s="35"/>
      <c r="AY1008" s="35"/>
    </row>
    <row r="1009">
      <c r="A1009" s="35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  <c r="O1009" s="35"/>
      <c r="P1009" s="35"/>
      <c r="Q1009" s="35"/>
      <c r="R1009" s="35"/>
      <c r="S1009" s="35"/>
      <c r="T1009" s="35"/>
      <c r="U1009" s="35"/>
      <c r="V1009" s="35"/>
      <c r="W1009" s="35"/>
      <c r="X1009" s="35"/>
      <c r="Y1009" s="35"/>
      <c r="Z1009" s="35"/>
      <c r="AA1009" s="35"/>
      <c r="AB1009" s="35"/>
      <c r="AC1009" s="35"/>
      <c r="AD1009" s="35"/>
      <c r="AE1009" s="35"/>
      <c r="AF1009" s="35"/>
      <c r="AG1009" s="35"/>
      <c r="AH1009" s="35"/>
      <c r="AI1009" s="35"/>
      <c r="AJ1009" s="35"/>
      <c r="AK1009" s="35"/>
      <c r="AL1009" s="35"/>
      <c r="AM1009" s="35"/>
      <c r="AN1009" s="35"/>
      <c r="AO1009" s="35"/>
      <c r="AP1009" s="35"/>
      <c r="AQ1009" s="35"/>
      <c r="AR1009" s="35"/>
      <c r="AS1009" s="35"/>
      <c r="AT1009" s="35"/>
      <c r="AU1009" s="35"/>
      <c r="AV1009" s="35"/>
      <c r="AW1009" s="35"/>
      <c r="AX1009" s="35"/>
      <c r="AY1009" s="35"/>
    </row>
    <row r="1010">
      <c r="A1010" s="35"/>
      <c r="B1010" s="35"/>
      <c r="C1010" s="35"/>
      <c r="D1010" s="35"/>
      <c r="E1010" s="35"/>
      <c r="F1010" s="35"/>
      <c r="G1010" s="35"/>
      <c r="H1010" s="35"/>
      <c r="I1010" s="35"/>
      <c r="J1010" s="35"/>
      <c r="K1010" s="35"/>
      <c r="L1010" s="35"/>
      <c r="M1010" s="35"/>
      <c r="N1010" s="35"/>
      <c r="O1010" s="35"/>
      <c r="P1010" s="35"/>
      <c r="Q1010" s="35"/>
      <c r="R1010" s="35"/>
      <c r="S1010" s="35"/>
      <c r="T1010" s="35"/>
      <c r="U1010" s="35"/>
      <c r="V1010" s="35"/>
      <c r="W1010" s="35"/>
      <c r="X1010" s="35"/>
      <c r="Y1010" s="35"/>
      <c r="Z1010" s="35"/>
      <c r="AA1010" s="35"/>
      <c r="AB1010" s="35"/>
      <c r="AC1010" s="35"/>
      <c r="AD1010" s="35"/>
      <c r="AE1010" s="35"/>
      <c r="AF1010" s="35"/>
      <c r="AG1010" s="35"/>
      <c r="AH1010" s="35"/>
      <c r="AI1010" s="35"/>
      <c r="AJ1010" s="35"/>
      <c r="AK1010" s="35"/>
      <c r="AL1010" s="35"/>
      <c r="AM1010" s="35"/>
      <c r="AN1010" s="35"/>
      <c r="AO1010" s="35"/>
      <c r="AP1010" s="35"/>
      <c r="AQ1010" s="35"/>
      <c r="AR1010" s="35"/>
      <c r="AS1010" s="35"/>
      <c r="AT1010" s="35"/>
      <c r="AU1010" s="35"/>
      <c r="AV1010" s="35"/>
      <c r="AW1010" s="35"/>
      <c r="AX1010" s="35"/>
      <c r="AY1010" s="35"/>
    </row>
    <row r="1011">
      <c r="A1011" s="35"/>
      <c r="B1011" s="35"/>
      <c r="C1011" s="35"/>
      <c r="D1011" s="35"/>
      <c r="E1011" s="35"/>
      <c r="F1011" s="35"/>
      <c r="G1011" s="35"/>
      <c r="H1011" s="35"/>
      <c r="I1011" s="35"/>
      <c r="J1011" s="35"/>
      <c r="K1011" s="35"/>
      <c r="L1011" s="35"/>
      <c r="M1011" s="35"/>
      <c r="N1011" s="35"/>
      <c r="O1011" s="35"/>
      <c r="P1011" s="35"/>
      <c r="Q1011" s="35"/>
      <c r="R1011" s="35"/>
      <c r="S1011" s="35"/>
      <c r="T1011" s="35"/>
      <c r="U1011" s="35"/>
      <c r="V1011" s="35"/>
      <c r="W1011" s="35"/>
      <c r="X1011" s="35"/>
      <c r="Y1011" s="35"/>
      <c r="Z1011" s="35"/>
      <c r="AA1011" s="35"/>
      <c r="AB1011" s="35"/>
      <c r="AC1011" s="35"/>
      <c r="AD1011" s="35"/>
      <c r="AE1011" s="35"/>
      <c r="AF1011" s="35"/>
      <c r="AG1011" s="35"/>
      <c r="AH1011" s="35"/>
      <c r="AI1011" s="35"/>
      <c r="AJ1011" s="35"/>
      <c r="AK1011" s="35"/>
      <c r="AL1011" s="35"/>
      <c r="AM1011" s="35"/>
      <c r="AN1011" s="35"/>
      <c r="AO1011" s="35"/>
      <c r="AP1011" s="35"/>
      <c r="AQ1011" s="35"/>
      <c r="AR1011" s="35"/>
      <c r="AS1011" s="35"/>
      <c r="AT1011" s="35"/>
      <c r="AU1011" s="35"/>
      <c r="AV1011" s="35"/>
      <c r="AW1011" s="35"/>
      <c r="AX1011" s="35"/>
      <c r="AY1011" s="35"/>
    </row>
    <row r="1012">
      <c r="A1012" s="35"/>
      <c r="B1012" s="35"/>
      <c r="C1012" s="35"/>
      <c r="D1012" s="35"/>
      <c r="E1012" s="35"/>
      <c r="F1012" s="35"/>
      <c r="G1012" s="35"/>
      <c r="H1012" s="35"/>
      <c r="I1012" s="35"/>
      <c r="J1012" s="35"/>
      <c r="K1012" s="35"/>
      <c r="L1012" s="35"/>
      <c r="M1012" s="35"/>
      <c r="N1012" s="35"/>
      <c r="O1012" s="35"/>
      <c r="P1012" s="35"/>
      <c r="Q1012" s="35"/>
      <c r="R1012" s="35"/>
      <c r="S1012" s="35"/>
      <c r="T1012" s="35"/>
      <c r="U1012" s="35"/>
      <c r="V1012" s="35"/>
      <c r="W1012" s="35"/>
      <c r="X1012" s="35"/>
      <c r="Y1012" s="35"/>
      <c r="Z1012" s="35"/>
      <c r="AA1012" s="35"/>
      <c r="AB1012" s="35"/>
      <c r="AC1012" s="35"/>
      <c r="AD1012" s="35"/>
      <c r="AE1012" s="35"/>
      <c r="AF1012" s="35"/>
      <c r="AG1012" s="35"/>
      <c r="AH1012" s="35"/>
      <c r="AI1012" s="35"/>
      <c r="AJ1012" s="35"/>
      <c r="AK1012" s="35"/>
      <c r="AL1012" s="35"/>
      <c r="AM1012" s="35"/>
      <c r="AN1012" s="35"/>
      <c r="AO1012" s="35"/>
      <c r="AP1012" s="35"/>
      <c r="AQ1012" s="35"/>
      <c r="AR1012" s="35"/>
      <c r="AS1012" s="35"/>
      <c r="AT1012" s="35"/>
      <c r="AU1012" s="35"/>
      <c r="AV1012" s="35"/>
      <c r="AW1012" s="35"/>
      <c r="AX1012" s="35"/>
      <c r="AY1012" s="35"/>
    </row>
    <row r="1013">
      <c r="A1013" s="35"/>
      <c r="B1013" s="35"/>
      <c r="C1013" s="35"/>
      <c r="D1013" s="35"/>
      <c r="E1013" s="35"/>
      <c r="F1013" s="35"/>
      <c r="G1013" s="35"/>
      <c r="H1013" s="35"/>
      <c r="I1013" s="35"/>
      <c r="J1013" s="35"/>
      <c r="K1013" s="35"/>
      <c r="L1013" s="35"/>
      <c r="M1013" s="35"/>
      <c r="N1013" s="35"/>
      <c r="O1013" s="35"/>
      <c r="P1013" s="35"/>
      <c r="Q1013" s="35"/>
      <c r="R1013" s="35"/>
      <c r="S1013" s="35"/>
      <c r="T1013" s="35"/>
      <c r="U1013" s="35"/>
      <c r="V1013" s="35"/>
      <c r="W1013" s="35"/>
      <c r="X1013" s="35"/>
      <c r="Y1013" s="35"/>
      <c r="Z1013" s="35"/>
      <c r="AA1013" s="35"/>
      <c r="AB1013" s="35"/>
      <c r="AC1013" s="35"/>
      <c r="AD1013" s="35"/>
      <c r="AE1013" s="35"/>
      <c r="AF1013" s="35"/>
      <c r="AG1013" s="35"/>
      <c r="AH1013" s="35"/>
      <c r="AI1013" s="35"/>
      <c r="AJ1013" s="35"/>
      <c r="AK1013" s="35"/>
      <c r="AL1013" s="35"/>
      <c r="AM1013" s="35"/>
      <c r="AN1013" s="35"/>
      <c r="AO1013" s="35"/>
      <c r="AP1013" s="35"/>
      <c r="AQ1013" s="35"/>
      <c r="AR1013" s="35"/>
      <c r="AS1013" s="35"/>
      <c r="AT1013" s="35"/>
      <c r="AU1013" s="35"/>
      <c r="AV1013" s="35"/>
      <c r="AW1013" s="35"/>
      <c r="AX1013" s="35"/>
      <c r="AY1013" s="35"/>
    </row>
    <row r="1014">
      <c r="A1014" s="35"/>
      <c r="B1014" s="35"/>
      <c r="C1014" s="35"/>
      <c r="D1014" s="35"/>
      <c r="E1014" s="35"/>
      <c r="F1014" s="35"/>
      <c r="G1014" s="35"/>
      <c r="H1014" s="35"/>
      <c r="I1014" s="35"/>
      <c r="J1014" s="35"/>
      <c r="K1014" s="35"/>
      <c r="L1014" s="35"/>
      <c r="M1014" s="35"/>
      <c r="N1014" s="35"/>
      <c r="O1014" s="35"/>
      <c r="P1014" s="35"/>
      <c r="Q1014" s="35"/>
      <c r="R1014" s="35"/>
      <c r="S1014" s="35"/>
      <c r="T1014" s="35"/>
      <c r="U1014" s="35"/>
      <c r="V1014" s="35"/>
      <c r="W1014" s="35"/>
      <c r="X1014" s="35"/>
      <c r="Y1014" s="35"/>
      <c r="Z1014" s="35"/>
      <c r="AA1014" s="35"/>
      <c r="AB1014" s="35"/>
      <c r="AC1014" s="35"/>
      <c r="AD1014" s="35"/>
      <c r="AE1014" s="35"/>
      <c r="AF1014" s="35"/>
      <c r="AG1014" s="35"/>
      <c r="AH1014" s="35"/>
      <c r="AI1014" s="35"/>
      <c r="AJ1014" s="35"/>
      <c r="AK1014" s="35"/>
      <c r="AL1014" s="35"/>
      <c r="AM1014" s="35"/>
      <c r="AN1014" s="35"/>
      <c r="AO1014" s="35"/>
      <c r="AP1014" s="35"/>
      <c r="AQ1014" s="35"/>
      <c r="AR1014" s="35"/>
      <c r="AS1014" s="35"/>
      <c r="AT1014" s="35"/>
      <c r="AU1014" s="35"/>
      <c r="AV1014" s="35"/>
      <c r="AW1014" s="35"/>
      <c r="AX1014" s="35"/>
      <c r="AY1014" s="35"/>
    </row>
    <row r="1015">
      <c r="A1015" s="35"/>
      <c r="B1015" s="35"/>
      <c r="C1015" s="35"/>
      <c r="D1015" s="35"/>
      <c r="E1015" s="35"/>
      <c r="F1015" s="35"/>
      <c r="G1015" s="35"/>
      <c r="H1015" s="35"/>
      <c r="I1015" s="35"/>
      <c r="J1015" s="35"/>
      <c r="K1015" s="35"/>
      <c r="L1015" s="35"/>
      <c r="M1015" s="35"/>
      <c r="N1015" s="35"/>
      <c r="O1015" s="35"/>
      <c r="P1015" s="35"/>
      <c r="Q1015" s="35"/>
      <c r="R1015" s="35"/>
      <c r="S1015" s="35"/>
      <c r="T1015" s="35"/>
      <c r="U1015" s="35"/>
      <c r="V1015" s="35"/>
      <c r="W1015" s="35"/>
      <c r="X1015" s="35"/>
      <c r="Y1015" s="35"/>
      <c r="Z1015" s="35"/>
      <c r="AA1015" s="35"/>
      <c r="AB1015" s="35"/>
      <c r="AC1015" s="35"/>
      <c r="AD1015" s="35"/>
      <c r="AE1015" s="35"/>
      <c r="AF1015" s="35"/>
      <c r="AG1015" s="35"/>
      <c r="AH1015" s="35"/>
      <c r="AI1015" s="35"/>
      <c r="AJ1015" s="35"/>
      <c r="AK1015" s="35"/>
      <c r="AL1015" s="35"/>
      <c r="AM1015" s="35"/>
      <c r="AN1015" s="35"/>
      <c r="AO1015" s="35"/>
      <c r="AP1015" s="35"/>
      <c r="AQ1015" s="35"/>
      <c r="AR1015" s="35"/>
      <c r="AS1015" s="35"/>
      <c r="AT1015" s="35"/>
      <c r="AU1015" s="35"/>
      <c r="AV1015" s="35"/>
      <c r="AW1015" s="35"/>
      <c r="AX1015" s="35"/>
      <c r="AY1015" s="35"/>
    </row>
    <row r="1016">
      <c r="A1016" s="35"/>
      <c r="B1016" s="35"/>
      <c r="C1016" s="35"/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35"/>
      <c r="P1016" s="35"/>
      <c r="Q1016" s="35"/>
      <c r="R1016" s="35"/>
      <c r="S1016" s="35"/>
      <c r="T1016" s="35"/>
      <c r="U1016" s="35"/>
      <c r="V1016" s="35"/>
      <c r="W1016" s="35"/>
      <c r="X1016" s="35"/>
      <c r="Y1016" s="35"/>
      <c r="Z1016" s="35"/>
      <c r="AA1016" s="35"/>
      <c r="AB1016" s="35"/>
      <c r="AC1016" s="35"/>
      <c r="AD1016" s="35"/>
      <c r="AE1016" s="35"/>
      <c r="AF1016" s="35"/>
      <c r="AG1016" s="35"/>
      <c r="AH1016" s="35"/>
      <c r="AI1016" s="35"/>
      <c r="AJ1016" s="35"/>
      <c r="AK1016" s="35"/>
      <c r="AL1016" s="35"/>
      <c r="AM1016" s="35"/>
      <c r="AN1016" s="35"/>
      <c r="AO1016" s="35"/>
      <c r="AP1016" s="35"/>
      <c r="AQ1016" s="35"/>
      <c r="AR1016" s="35"/>
      <c r="AS1016" s="35"/>
      <c r="AT1016" s="35"/>
      <c r="AU1016" s="35"/>
      <c r="AV1016" s="35"/>
      <c r="AW1016" s="35"/>
      <c r="AX1016" s="35"/>
      <c r="AY1016" s="35"/>
    </row>
    <row r="1017">
      <c r="A1017" s="35"/>
      <c r="B1017" s="35"/>
      <c r="C1017" s="35"/>
      <c r="D1017" s="35"/>
      <c r="E1017" s="35"/>
      <c r="F1017" s="35"/>
      <c r="G1017" s="35"/>
      <c r="H1017" s="35"/>
      <c r="I1017" s="35"/>
      <c r="J1017" s="35"/>
      <c r="K1017" s="35"/>
      <c r="L1017" s="35"/>
      <c r="M1017" s="35"/>
      <c r="N1017" s="35"/>
      <c r="O1017" s="35"/>
      <c r="P1017" s="35"/>
      <c r="Q1017" s="35"/>
      <c r="R1017" s="35"/>
      <c r="S1017" s="35"/>
      <c r="T1017" s="35"/>
      <c r="U1017" s="35"/>
      <c r="V1017" s="35"/>
      <c r="W1017" s="35"/>
      <c r="X1017" s="35"/>
      <c r="Y1017" s="35"/>
      <c r="Z1017" s="35"/>
      <c r="AA1017" s="35"/>
      <c r="AB1017" s="35"/>
      <c r="AC1017" s="35"/>
      <c r="AD1017" s="35"/>
      <c r="AE1017" s="35"/>
      <c r="AF1017" s="35"/>
      <c r="AG1017" s="35"/>
      <c r="AH1017" s="35"/>
      <c r="AI1017" s="35"/>
      <c r="AJ1017" s="35"/>
      <c r="AK1017" s="35"/>
      <c r="AL1017" s="35"/>
      <c r="AM1017" s="35"/>
      <c r="AN1017" s="35"/>
      <c r="AO1017" s="35"/>
      <c r="AP1017" s="35"/>
      <c r="AQ1017" s="35"/>
      <c r="AR1017" s="35"/>
      <c r="AS1017" s="35"/>
      <c r="AT1017" s="35"/>
      <c r="AU1017" s="35"/>
      <c r="AV1017" s="35"/>
      <c r="AW1017" s="35"/>
      <c r="AX1017" s="35"/>
      <c r="AY1017" s="35"/>
    </row>
  </sheetData>
  <mergeCells count="16">
    <mergeCell ref="A1:W1"/>
    <mergeCell ref="B2:E2"/>
    <mergeCell ref="H2:L2"/>
    <mergeCell ref="N2:R2"/>
    <mergeCell ref="T2:W2"/>
    <mergeCell ref="A25:R25"/>
    <mergeCell ref="B26:E26"/>
    <mergeCell ref="B64:C64"/>
    <mergeCell ref="E64:F64"/>
    <mergeCell ref="H26:L26"/>
    <mergeCell ref="N26:R26"/>
    <mergeCell ref="A41:L41"/>
    <mergeCell ref="B42:C42"/>
    <mergeCell ref="E42:G42"/>
    <mergeCell ref="H42:J42"/>
    <mergeCell ref="A63:F6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6.88"/>
    <col customWidth="1" min="2" max="2" width="9.0"/>
    <col customWidth="1" min="3" max="3" width="8.63"/>
    <col customWidth="1" min="4" max="4" width="7.13"/>
    <col customWidth="1" min="5" max="7" width="8.13"/>
    <col customWidth="1" min="8" max="8" width="8.63"/>
    <col customWidth="1" min="9" max="9" width="7.88"/>
    <col customWidth="1" min="10" max="10" width="11.0"/>
    <col customWidth="1" min="11" max="11" width="8.5"/>
    <col customWidth="1" min="12" max="13" width="9.38"/>
    <col customWidth="1" min="14" max="14" width="8.63"/>
    <col customWidth="1" min="15" max="15" width="7.88"/>
    <col customWidth="1" min="16" max="16" width="9.25"/>
    <col customWidth="1" min="17" max="17" width="9.88"/>
    <col customWidth="1" min="18" max="18" width="9.38"/>
    <col customWidth="1" min="19" max="19" width="7.13"/>
    <col customWidth="1" min="20" max="20" width="10.13"/>
    <col customWidth="1" min="21" max="21" width="9.0"/>
    <col customWidth="1" min="22" max="22" width="11.38"/>
    <col customWidth="1" min="23" max="23" width="5.88"/>
    <col customWidth="1" min="24" max="24" width="7.13"/>
    <col customWidth="1" min="25" max="26" width="9.88"/>
    <col customWidth="1" min="27" max="27" width="7.75"/>
    <col customWidth="1" min="29" max="29" width="7.63"/>
    <col customWidth="1" min="30" max="30" width="4.5"/>
    <col customWidth="1" min="32" max="34" width="8.75"/>
    <col customWidth="1" min="35" max="35" width="10.5"/>
    <col customWidth="1" min="36" max="50" width="8.75"/>
  </cols>
  <sheetData>
    <row r="1">
      <c r="A1" s="2" t="s">
        <v>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1"/>
      <c r="X1" s="24"/>
      <c r="Y1" s="26"/>
      <c r="Z1" s="24"/>
      <c r="AA1" s="29"/>
      <c r="AB1" s="26"/>
      <c r="AC1" s="31" t="s">
        <v>2</v>
      </c>
      <c r="AD1" s="34" t="s">
        <v>3</v>
      </c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</row>
    <row r="2">
      <c r="A2" s="24"/>
      <c r="B2" s="40" t="s">
        <v>20</v>
      </c>
      <c r="C2" s="15"/>
      <c r="D2" s="15"/>
      <c r="E2" s="15"/>
      <c r="F2" s="29"/>
      <c r="G2" s="29"/>
      <c r="H2" s="45" t="s">
        <v>21</v>
      </c>
      <c r="I2" s="15"/>
      <c r="J2" s="15"/>
      <c r="K2" s="15"/>
      <c r="L2" s="15"/>
      <c r="M2" s="29"/>
      <c r="N2" s="45" t="s">
        <v>23</v>
      </c>
      <c r="O2" s="15"/>
      <c r="P2" s="15"/>
      <c r="Q2" s="15"/>
      <c r="R2" s="15"/>
      <c r="S2" s="29"/>
      <c r="T2" s="45" t="s">
        <v>13</v>
      </c>
      <c r="U2" s="15"/>
      <c r="V2" s="15"/>
      <c r="W2" s="15"/>
      <c r="X2" s="29"/>
      <c r="Y2" s="29"/>
      <c r="Z2" s="29"/>
      <c r="AA2" s="29"/>
      <c r="AB2" s="50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</row>
    <row r="3">
      <c r="A3" s="52"/>
      <c r="B3" s="57" t="s">
        <v>24</v>
      </c>
      <c r="C3" s="57" t="s">
        <v>28</v>
      </c>
      <c r="D3" s="57" t="s">
        <v>25</v>
      </c>
      <c r="E3" s="57" t="s">
        <v>26</v>
      </c>
      <c r="F3" s="57" t="s">
        <v>27</v>
      </c>
      <c r="G3" s="60"/>
      <c r="H3" s="57" t="s">
        <v>24</v>
      </c>
      <c r="I3" s="57" t="s">
        <v>28</v>
      </c>
      <c r="J3" s="57" t="s">
        <v>25</v>
      </c>
      <c r="K3" s="57" t="s">
        <v>26</v>
      </c>
      <c r="L3" s="57" t="s">
        <v>27</v>
      </c>
      <c r="M3" s="35"/>
      <c r="N3" s="57" t="s">
        <v>24</v>
      </c>
      <c r="O3" s="57" t="s">
        <v>28</v>
      </c>
      <c r="P3" s="57" t="s">
        <v>25</v>
      </c>
      <c r="Q3" s="57" t="s">
        <v>26</v>
      </c>
      <c r="R3" s="57" t="s">
        <v>27</v>
      </c>
      <c r="S3" s="35"/>
      <c r="T3" s="57" t="s">
        <v>24</v>
      </c>
      <c r="U3" s="57" t="s">
        <v>25</v>
      </c>
      <c r="V3" s="57" t="s">
        <v>26</v>
      </c>
      <c r="W3" s="57" t="s">
        <v>27</v>
      </c>
      <c r="X3" s="57" t="s">
        <v>31</v>
      </c>
      <c r="Y3" s="31" t="s">
        <v>33</v>
      </c>
      <c r="Z3" s="31" t="s">
        <v>34</v>
      </c>
      <c r="AA3" s="31" t="s">
        <v>14</v>
      </c>
      <c r="AB3" s="64" t="s">
        <v>35</v>
      </c>
      <c r="AC3" s="35"/>
      <c r="AD3" s="35"/>
      <c r="AE3" s="65" t="s">
        <v>37</v>
      </c>
      <c r="AF3" s="65" t="s">
        <v>38</v>
      </c>
      <c r="AG3" s="67" t="s">
        <v>39</v>
      </c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</row>
    <row r="4">
      <c r="A4" s="52" t="s">
        <v>36</v>
      </c>
      <c r="B4" s="68">
        <v>39.0</v>
      </c>
      <c r="C4" s="35"/>
      <c r="D4" s="35"/>
      <c r="E4" s="71">
        <f t="shared" ref="E4:E7" si="2">SUM(B4:D4)</f>
        <v>39</v>
      </c>
      <c r="F4" s="73">
        <v>24.0</v>
      </c>
      <c r="G4" s="75">
        <f t="shared" ref="G4:G17" si="3">E4/F4</f>
        <v>1.625</v>
      </c>
      <c r="H4" s="74">
        <v>13.0</v>
      </c>
      <c r="I4" s="35"/>
      <c r="J4" s="35"/>
      <c r="K4" s="71">
        <f t="shared" ref="K4:K7" si="4">SUM(H4:J4)</f>
        <v>13</v>
      </c>
      <c r="L4" s="73">
        <v>12.0</v>
      </c>
      <c r="M4" s="75">
        <f t="shared" ref="M4:M17" si="5">K4/L4</f>
        <v>1.083333333</v>
      </c>
      <c r="N4" s="74">
        <v>66.0</v>
      </c>
      <c r="O4" s="68">
        <v>3.0</v>
      </c>
      <c r="P4" s="82">
        <v>1.0</v>
      </c>
      <c r="Q4" s="71">
        <f t="shared" ref="Q4:Q7" si="6">SUM(N4:P4)</f>
        <v>70</v>
      </c>
      <c r="R4" s="73">
        <v>69.0</v>
      </c>
      <c r="S4" s="75">
        <f t="shared" ref="S4:S17" si="7">Q4/R4</f>
        <v>1.014492754</v>
      </c>
      <c r="T4" s="68">
        <f t="shared" ref="T4:T7" si="8">N4+H4+B4+O4+I4</f>
        <v>121</v>
      </c>
      <c r="U4" s="68">
        <f t="shared" ref="U4:U7" si="9">P4+J4+D4</f>
        <v>1</v>
      </c>
      <c r="V4" s="71">
        <f t="shared" ref="V4:V7" si="10">sum(T4:U4)</f>
        <v>122</v>
      </c>
      <c r="W4" s="73">
        <f t="shared" ref="W4:W7" si="11">F4+L4+R4</f>
        <v>105</v>
      </c>
      <c r="X4" s="85">
        <f t="shared" ref="X4:X7" si="12">W4-V4</f>
        <v>-17</v>
      </c>
      <c r="Y4" s="68" t="str">
        <f t="shared" ref="Y4:Y7" si="13">round(X4/$Y$24*7,0)</f>
        <v>#DIV/0!</v>
      </c>
      <c r="Z4" s="68">
        <f t="shared" ref="Z4:AA4" si="1">V4</f>
        <v>122</v>
      </c>
      <c r="AA4" s="68">
        <f t="shared" si="1"/>
        <v>105</v>
      </c>
      <c r="AB4" s="89">
        <f t="shared" ref="AB4:AB17" si="15">Z4/AA4</f>
        <v>1.161904762</v>
      </c>
      <c r="AC4" s="90">
        <v>46295.0</v>
      </c>
      <c r="AD4" s="92" t="s">
        <v>42</v>
      </c>
      <c r="AE4" s="84">
        <v>25.0</v>
      </c>
      <c r="AF4" s="84">
        <v>27.0</v>
      </c>
      <c r="AG4" s="93">
        <f t="shared" ref="AG4:AG7" si="16">AE4-AF4</f>
        <v>-2</v>
      </c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</row>
    <row r="5">
      <c r="A5" s="52" t="s">
        <v>40</v>
      </c>
      <c r="B5" s="81">
        <v>25.0</v>
      </c>
      <c r="C5" s="35"/>
      <c r="D5" s="35"/>
      <c r="E5" s="71">
        <f t="shared" si="2"/>
        <v>25</v>
      </c>
      <c r="F5" s="73">
        <v>19.0</v>
      </c>
      <c r="G5" s="75">
        <f t="shared" si="3"/>
        <v>1.315789474</v>
      </c>
      <c r="H5" s="81">
        <v>9.0</v>
      </c>
      <c r="I5" s="35"/>
      <c r="J5" s="35"/>
      <c r="K5" s="71">
        <f t="shared" si="4"/>
        <v>9</v>
      </c>
      <c r="L5" s="73">
        <v>11.0</v>
      </c>
      <c r="M5" s="75">
        <f t="shared" si="5"/>
        <v>0.8181818182</v>
      </c>
      <c r="N5" s="74">
        <v>50.0</v>
      </c>
      <c r="O5" s="68">
        <v>2.0</v>
      </c>
      <c r="P5" s="35"/>
      <c r="Q5" s="71">
        <f t="shared" si="6"/>
        <v>52</v>
      </c>
      <c r="R5" s="73">
        <v>47.0</v>
      </c>
      <c r="S5" s="75">
        <f t="shared" si="7"/>
        <v>1.106382979</v>
      </c>
      <c r="T5" s="68">
        <f t="shared" si="8"/>
        <v>86</v>
      </c>
      <c r="U5" s="68">
        <f t="shared" si="9"/>
        <v>0</v>
      </c>
      <c r="V5" s="71">
        <f t="shared" si="10"/>
        <v>86</v>
      </c>
      <c r="W5" s="73">
        <f t="shared" si="11"/>
        <v>77</v>
      </c>
      <c r="X5" s="85">
        <f t="shared" si="12"/>
        <v>-9</v>
      </c>
      <c r="Y5" s="68" t="str">
        <f t="shared" si="13"/>
        <v>#DIV/0!</v>
      </c>
      <c r="Z5" s="68">
        <f t="shared" ref="Z5:AA5" si="14">V5</f>
        <v>86</v>
      </c>
      <c r="AA5" s="68">
        <f t="shared" si="14"/>
        <v>77</v>
      </c>
      <c r="AB5" s="89">
        <f t="shared" si="15"/>
        <v>1.116883117</v>
      </c>
      <c r="AC5" s="90">
        <v>46295.0</v>
      </c>
      <c r="AD5" s="92" t="s">
        <v>46</v>
      </c>
      <c r="AE5" s="84">
        <v>20.0</v>
      </c>
      <c r="AF5" s="84">
        <v>20.0</v>
      </c>
      <c r="AG5" s="93">
        <f t="shared" si="16"/>
        <v>0</v>
      </c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</row>
    <row r="6">
      <c r="A6" s="52" t="s">
        <v>41</v>
      </c>
      <c r="B6" s="81">
        <v>34.0</v>
      </c>
      <c r="C6" s="35"/>
      <c r="D6" s="35"/>
      <c r="E6" s="71">
        <f t="shared" si="2"/>
        <v>34</v>
      </c>
      <c r="F6" s="73">
        <v>19.0</v>
      </c>
      <c r="G6" s="75">
        <f t="shared" si="3"/>
        <v>1.789473684</v>
      </c>
      <c r="H6" s="81">
        <v>13.0</v>
      </c>
      <c r="I6" s="35"/>
      <c r="J6" s="35"/>
      <c r="K6" s="71">
        <f t="shared" si="4"/>
        <v>13</v>
      </c>
      <c r="L6" s="73">
        <v>11.0</v>
      </c>
      <c r="M6" s="75">
        <f t="shared" si="5"/>
        <v>1.181818182</v>
      </c>
      <c r="N6" s="74">
        <v>82.0</v>
      </c>
      <c r="O6" s="68">
        <v>6.0</v>
      </c>
      <c r="P6" s="35"/>
      <c r="Q6" s="71">
        <f t="shared" si="6"/>
        <v>88</v>
      </c>
      <c r="R6" s="73">
        <v>55.0</v>
      </c>
      <c r="S6" s="75">
        <f t="shared" si="7"/>
        <v>1.6</v>
      </c>
      <c r="T6" s="68">
        <f t="shared" si="8"/>
        <v>135</v>
      </c>
      <c r="U6" s="68">
        <f t="shared" si="9"/>
        <v>0</v>
      </c>
      <c r="V6" s="71">
        <f t="shared" si="10"/>
        <v>135</v>
      </c>
      <c r="W6" s="73">
        <f t="shared" si="11"/>
        <v>85</v>
      </c>
      <c r="X6" s="85">
        <f t="shared" si="12"/>
        <v>-50</v>
      </c>
      <c r="Y6" s="68" t="str">
        <f t="shared" si="13"/>
        <v>#DIV/0!</v>
      </c>
      <c r="Z6" s="68">
        <f t="shared" ref="Z6:AA6" si="17">V6</f>
        <v>135</v>
      </c>
      <c r="AA6" s="68">
        <f t="shared" si="17"/>
        <v>85</v>
      </c>
      <c r="AB6" s="89">
        <f t="shared" si="15"/>
        <v>1.588235294</v>
      </c>
      <c r="AC6" s="90">
        <v>46295.0</v>
      </c>
      <c r="AD6" s="92" t="s">
        <v>46</v>
      </c>
      <c r="AE6" s="84">
        <v>20.0</v>
      </c>
      <c r="AF6" s="84">
        <v>20.0</v>
      </c>
      <c r="AG6" s="93">
        <f t="shared" si="16"/>
        <v>0</v>
      </c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</row>
    <row r="7">
      <c r="A7" s="52" t="s">
        <v>49</v>
      </c>
      <c r="B7" s="105">
        <v>36.0</v>
      </c>
      <c r="C7" s="35"/>
      <c r="D7" s="105">
        <v>8.0</v>
      </c>
      <c r="E7" s="71">
        <f t="shared" si="2"/>
        <v>44</v>
      </c>
      <c r="F7" s="73">
        <v>32.0</v>
      </c>
      <c r="G7" s="75">
        <f t="shared" si="3"/>
        <v>1.375</v>
      </c>
      <c r="H7" s="74">
        <v>14.0</v>
      </c>
      <c r="I7" s="35"/>
      <c r="J7" s="74">
        <v>5.0</v>
      </c>
      <c r="K7" s="71">
        <f t="shared" si="4"/>
        <v>19</v>
      </c>
      <c r="L7" s="73">
        <v>18.0</v>
      </c>
      <c r="M7" s="75">
        <f t="shared" si="5"/>
        <v>1.055555556</v>
      </c>
      <c r="N7" s="81">
        <v>71.0</v>
      </c>
      <c r="O7" s="74">
        <v>6.0</v>
      </c>
      <c r="P7" s="74">
        <v>11.0</v>
      </c>
      <c r="Q7" s="71">
        <f t="shared" si="6"/>
        <v>88</v>
      </c>
      <c r="R7" s="73">
        <v>90.0</v>
      </c>
      <c r="S7" s="75">
        <f t="shared" si="7"/>
        <v>0.9777777778</v>
      </c>
      <c r="T7" s="68">
        <f t="shared" si="8"/>
        <v>127</v>
      </c>
      <c r="U7" s="68">
        <f t="shared" si="9"/>
        <v>24</v>
      </c>
      <c r="V7" s="71">
        <f t="shared" si="10"/>
        <v>151</v>
      </c>
      <c r="W7" s="73">
        <f t="shared" si="11"/>
        <v>140</v>
      </c>
      <c r="X7" s="85">
        <f t="shared" si="12"/>
        <v>-11</v>
      </c>
      <c r="Y7" s="68" t="str">
        <f t="shared" si="13"/>
        <v>#DIV/0!</v>
      </c>
      <c r="Z7" s="68">
        <f t="shared" ref="Z7:AA7" si="18">V7</f>
        <v>151</v>
      </c>
      <c r="AA7" s="68">
        <f t="shared" si="18"/>
        <v>140</v>
      </c>
      <c r="AB7" s="89">
        <f t="shared" si="15"/>
        <v>1.078571429</v>
      </c>
      <c r="AC7" s="90">
        <v>46295.0</v>
      </c>
      <c r="AD7" s="92" t="s">
        <v>42</v>
      </c>
      <c r="AE7" s="84">
        <v>35.0</v>
      </c>
      <c r="AF7" s="84">
        <v>25.0</v>
      </c>
      <c r="AG7" s="93">
        <f t="shared" si="16"/>
        <v>10</v>
      </c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</row>
    <row r="8">
      <c r="A8" s="108" t="s">
        <v>44</v>
      </c>
      <c r="B8" s="109">
        <f t="shared" ref="B8:F8" si="19">sum(B4:B7)</f>
        <v>134</v>
      </c>
      <c r="C8" s="109">
        <f t="shared" si="19"/>
        <v>0</v>
      </c>
      <c r="D8" s="109">
        <f t="shared" si="19"/>
        <v>8</v>
      </c>
      <c r="E8" s="109">
        <f t="shared" si="19"/>
        <v>142</v>
      </c>
      <c r="F8" s="109">
        <f t="shared" si="19"/>
        <v>94</v>
      </c>
      <c r="G8" s="110">
        <f t="shared" si="3"/>
        <v>1.510638298</v>
      </c>
      <c r="H8" s="109">
        <f>sum(H3:H7)</f>
        <v>49</v>
      </c>
      <c r="I8" s="109">
        <f t="shared" ref="I8:L8" si="20">sum(I4:I7)</f>
        <v>0</v>
      </c>
      <c r="J8" s="109">
        <f t="shared" si="20"/>
        <v>5</v>
      </c>
      <c r="K8" s="109">
        <f t="shared" si="20"/>
        <v>54</v>
      </c>
      <c r="L8" s="109">
        <f t="shared" si="20"/>
        <v>52</v>
      </c>
      <c r="M8" s="110">
        <f t="shared" si="5"/>
        <v>1.038461538</v>
      </c>
      <c r="N8" s="109">
        <f t="shared" ref="N8:R8" si="21">sum(N4:N7)</f>
        <v>269</v>
      </c>
      <c r="O8" s="109">
        <f t="shared" si="21"/>
        <v>17</v>
      </c>
      <c r="P8" s="109">
        <f t="shared" si="21"/>
        <v>12</v>
      </c>
      <c r="Q8" s="109">
        <f t="shared" si="21"/>
        <v>298</v>
      </c>
      <c r="R8" s="109">
        <f t="shared" si="21"/>
        <v>261</v>
      </c>
      <c r="S8" s="110">
        <f t="shared" si="7"/>
        <v>1.141762452</v>
      </c>
      <c r="T8" s="109">
        <f t="shared" ref="T8:X8" si="22">sum(T4:T7)</f>
        <v>469</v>
      </c>
      <c r="U8" s="109">
        <f t="shared" si="22"/>
        <v>25</v>
      </c>
      <c r="V8" s="109">
        <f t="shared" si="22"/>
        <v>494</v>
      </c>
      <c r="W8" s="109">
        <f t="shared" si="22"/>
        <v>407</v>
      </c>
      <c r="X8" s="109">
        <f t="shared" si="22"/>
        <v>-87</v>
      </c>
      <c r="Y8" s="109" t="str">
        <f>round(X8/Y24*7,0)</f>
        <v>#DIV/0!</v>
      </c>
      <c r="Z8" s="109">
        <f t="shared" ref="Z8:AA8" si="23">sum(Z4:Z7)</f>
        <v>494</v>
      </c>
      <c r="AA8" s="109">
        <f t="shared" si="23"/>
        <v>407</v>
      </c>
      <c r="AB8" s="89">
        <f t="shared" si="15"/>
        <v>1.213759214</v>
      </c>
      <c r="AC8" s="35"/>
      <c r="AD8" s="35"/>
      <c r="AE8" s="95">
        <f t="shared" ref="AE8:AG8" si="24">sum(AE4:AE7)</f>
        <v>100</v>
      </c>
      <c r="AF8" s="95">
        <f t="shared" si="24"/>
        <v>92</v>
      </c>
      <c r="AG8" s="95">
        <f t="shared" si="24"/>
        <v>8</v>
      </c>
      <c r="AH8" s="113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</row>
    <row r="9">
      <c r="A9" s="46" t="s">
        <v>52</v>
      </c>
      <c r="B9" s="74">
        <v>27.0</v>
      </c>
      <c r="C9" s="35"/>
      <c r="D9" s="68"/>
      <c r="E9" s="71">
        <f t="shared" ref="E9:E12" si="26">SUM(B9:D9)</f>
        <v>27</v>
      </c>
      <c r="F9" s="79">
        <v>19.0</v>
      </c>
      <c r="G9" s="75">
        <f t="shared" si="3"/>
        <v>1.421052632</v>
      </c>
      <c r="H9" s="74">
        <v>13.0</v>
      </c>
      <c r="I9" s="35"/>
      <c r="J9" s="68"/>
      <c r="K9" s="71">
        <f t="shared" ref="K9:K12" si="27">SUM(H9:J9)</f>
        <v>13</v>
      </c>
      <c r="L9" s="79">
        <v>11.0</v>
      </c>
      <c r="M9" s="75">
        <f t="shared" si="5"/>
        <v>1.181818182</v>
      </c>
      <c r="N9" s="74">
        <v>36.0</v>
      </c>
      <c r="O9" s="82">
        <v>9.0</v>
      </c>
      <c r="P9" s="68"/>
      <c r="Q9" s="71">
        <f t="shared" ref="Q9:Q12" si="28">SUM(N9:P9)</f>
        <v>45</v>
      </c>
      <c r="R9" s="79">
        <v>57.0</v>
      </c>
      <c r="S9" s="75">
        <f t="shared" si="7"/>
        <v>0.7894736842</v>
      </c>
      <c r="T9" s="68">
        <f t="shared" ref="T9:T12" si="29">N9+H9+B9+O9+I9</f>
        <v>85</v>
      </c>
      <c r="U9" s="68">
        <f t="shared" ref="U9:U12" si="30">P9+J9+D9</f>
        <v>0</v>
      </c>
      <c r="V9" s="71">
        <f t="shared" ref="V9:V12" si="31">sum(T9:U9)</f>
        <v>85</v>
      </c>
      <c r="W9" s="73">
        <f t="shared" ref="W9:W12" si="32">F9+L9+R9</f>
        <v>87</v>
      </c>
      <c r="X9" s="85">
        <f t="shared" ref="X9:X12" si="33">W9-V9</f>
        <v>2</v>
      </c>
      <c r="Y9" s="68" t="str">
        <f t="shared" ref="Y9:Y12" si="34">round(X9/$Y$24*7,0)</f>
        <v>#DIV/0!</v>
      </c>
      <c r="Z9" s="68">
        <f t="shared" ref="Z9:AA9" si="25">V9</f>
        <v>85</v>
      </c>
      <c r="AA9" s="68">
        <f t="shared" si="25"/>
        <v>87</v>
      </c>
      <c r="AB9" s="89">
        <f t="shared" si="15"/>
        <v>0.9770114943</v>
      </c>
      <c r="AC9" s="90">
        <v>46295.0</v>
      </c>
      <c r="AD9" s="92" t="s">
        <v>56</v>
      </c>
      <c r="AE9" s="84">
        <v>20.0</v>
      </c>
      <c r="AF9" s="84">
        <v>11.0</v>
      </c>
      <c r="AG9" s="93">
        <f t="shared" ref="AG9:AG12" si="36">AE9-AF9</f>
        <v>9</v>
      </c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</row>
    <row r="10">
      <c r="A10" s="46" t="s">
        <v>51</v>
      </c>
      <c r="B10" s="74">
        <v>30.0</v>
      </c>
      <c r="C10" s="35"/>
      <c r="D10" s="74">
        <v>4.0</v>
      </c>
      <c r="E10" s="71">
        <f t="shared" si="26"/>
        <v>34</v>
      </c>
      <c r="F10" s="79">
        <v>19.0</v>
      </c>
      <c r="G10" s="75">
        <f t="shared" si="3"/>
        <v>1.789473684</v>
      </c>
      <c r="H10" s="74">
        <v>21.0</v>
      </c>
      <c r="I10" s="35"/>
      <c r="J10" s="74">
        <v>0.0</v>
      </c>
      <c r="K10" s="71">
        <f t="shared" si="27"/>
        <v>21</v>
      </c>
      <c r="L10" s="79">
        <v>11.0</v>
      </c>
      <c r="M10" s="75">
        <f t="shared" si="5"/>
        <v>1.909090909</v>
      </c>
      <c r="N10" s="74">
        <v>50.0</v>
      </c>
      <c r="O10" s="82">
        <v>3.0</v>
      </c>
      <c r="P10" s="74">
        <v>3.0</v>
      </c>
      <c r="Q10" s="71">
        <f t="shared" si="28"/>
        <v>56</v>
      </c>
      <c r="R10" s="79">
        <v>63.0</v>
      </c>
      <c r="S10" s="75">
        <f t="shared" si="7"/>
        <v>0.8888888889</v>
      </c>
      <c r="T10" s="68">
        <f t="shared" si="29"/>
        <v>104</v>
      </c>
      <c r="U10" s="68">
        <f t="shared" si="30"/>
        <v>7</v>
      </c>
      <c r="V10" s="71">
        <f t="shared" si="31"/>
        <v>111</v>
      </c>
      <c r="W10" s="73">
        <f t="shared" si="32"/>
        <v>93</v>
      </c>
      <c r="X10" s="85">
        <f t="shared" si="33"/>
        <v>-18</v>
      </c>
      <c r="Y10" s="68" t="str">
        <f t="shared" si="34"/>
        <v>#DIV/0!</v>
      </c>
      <c r="Z10" s="68">
        <f t="shared" ref="Z10:AA10" si="35">V10</f>
        <v>111</v>
      </c>
      <c r="AA10" s="68">
        <f t="shared" si="35"/>
        <v>93</v>
      </c>
      <c r="AB10" s="89">
        <f t="shared" si="15"/>
        <v>1.193548387</v>
      </c>
      <c r="AC10" s="90">
        <v>46295.0</v>
      </c>
      <c r="AD10" s="92" t="s">
        <v>56</v>
      </c>
      <c r="AE10" s="84">
        <v>20.0</v>
      </c>
      <c r="AF10" s="84">
        <v>22.0</v>
      </c>
      <c r="AG10" s="93">
        <f t="shared" si="36"/>
        <v>-2</v>
      </c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</row>
    <row r="11">
      <c r="A11" s="46" t="s">
        <v>47</v>
      </c>
      <c r="B11" s="74">
        <v>23.0</v>
      </c>
      <c r="C11" s="35"/>
      <c r="D11" s="68"/>
      <c r="E11" s="71">
        <f t="shared" si="26"/>
        <v>23</v>
      </c>
      <c r="F11" s="79">
        <v>21.0</v>
      </c>
      <c r="G11" s="75">
        <f t="shared" si="3"/>
        <v>1.095238095</v>
      </c>
      <c r="H11" s="74">
        <v>19.0</v>
      </c>
      <c r="I11" s="35"/>
      <c r="J11" s="68"/>
      <c r="K11" s="71">
        <f t="shared" si="27"/>
        <v>19</v>
      </c>
      <c r="L11" s="79">
        <v>13.0</v>
      </c>
      <c r="M11" s="75">
        <f t="shared" si="5"/>
        <v>1.461538462</v>
      </c>
      <c r="N11" s="74">
        <v>59.0</v>
      </c>
      <c r="O11" s="82">
        <v>4.0</v>
      </c>
      <c r="P11" s="68"/>
      <c r="Q11" s="71">
        <f t="shared" si="28"/>
        <v>63</v>
      </c>
      <c r="R11" s="79">
        <v>62.0</v>
      </c>
      <c r="S11" s="75">
        <f t="shared" si="7"/>
        <v>1.016129032</v>
      </c>
      <c r="T11" s="68">
        <f t="shared" si="29"/>
        <v>105</v>
      </c>
      <c r="U11" s="68">
        <f t="shared" si="30"/>
        <v>0</v>
      </c>
      <c r="V11" s="71">
        <f t="shared" si="31"/>
        <v>105</v>
      </c>
      <c r="W11" s="73">
        <f t="shared" si="32"/>
        <v>96</v>
      </c>
      <c r="X11" s="85">
        <f t="shared" si="33"/>
        <v>-9</v>
      </c>
      <c r="Y11" s="68" t="str">
        <f t="shared" si="34"/>
        <v>#DIV/0!</v>
      </c>
      <c r="Z11" s="68">
        <f t="shared" ref="Z11:AA11" si="37">V11</f>
        <v>105</v>
      </c>
      <c r="AA11" s="68">
        <f t="shared" si="37"/>
        <v>96</v>
      </c>
      <c r="AB11" s="89">
        <f t="shared" si="15"/>
        <v>1.09375</v>
      </c>
      <c r="AC11" s="90">
        <v>46295.0</v>
      </c>
      <c r="AD11" s="92" t="s">
        <v>56</v>
      </c>
      <c r="AE11" s="84">
        <v>20.0</v>
      </c>
      <c r="AF11" s="84">
        <v>25.0</v>
      </c>
      <c r="AG11" s="93">
        <f t="shared" si="36"/>
        <v>-5</v>
      </c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</row>
    <row r="12">
      <c r="A12" s="46" t="s">
        <v>53</v>
      </c>
      <c r="B12" s="74">
        <v>48.0</v>
      </c>
      <c r="C12" s="35"/>
      <c r="D12" s="68"/>
      <c r="E12" s="71">
        <f t="shared" si="26"/>
        <v>48</v>
      </c>
      <c r="F12" s="79">
        <v>34.0</v>
      </c>
      <c r="G12" s="75">
        <f t="shared" si="3"/>
        <v>1.411764706</v>
      </c>
      <c r="H12" s="74">
        <v>25.0</v>
      </c>
      <c r="I12" s="35"/>
      <c r="J12" s="68"/>
      <c r="K12" s="71">
        <f t="shared" si="27"/>
        <v>25</v>
      </c>
      <c r="L12" s="79">
        <v>20.0</v>
      </c>
      <c r="M12" s="75">
        <f t="shared" si="5"/>
        <v>1.25</v>
      </c>
      <c r="N12" s="74">
        <v>82.0</v>
      </c>
      <c r="O12" s="35"/>
      <c r="P12" s="68"/>
      <c r="Q12" s="71">
        <f t="shared" si="28"/>
        <v>82</v>
      </c>
      <c r="R12" s="79">
        <v>97.0</v>
      </c>
      <c r="S12" s="75">
        <f t="shared" si="7"/>
        <v>0.8453608247</v>
      </c>
      <c r="T12" s="68">
        <f t="shared" si="29"/>
        <v>155</v>
      </c>
      <c r="U12" s="68">
        <f t="shared" si="30"/>
        <v>0</v>
      </c>
      <c r="V12" s="71">
        <f t="shared" si="31"/>
        <v>155</v>
      </c>
      <c r="W12" s="73">
        <f t="shared" si="32"/>
        <v>151</v>
      </c>
      <c r="X12" s="85">
        <f t="shared" si="33"/>
        <v>-4</v>
      </c>
      <c r="Y12" s="68" t="str">
        <f t="shared" si="34"/>
        <v>#DIV/0!</v>
      </c>
      <c r="Z12" s="68">
        <f t="shared" ref="Z12:AA12" si="38">V12</f>
        <v>155</v>
      </c>
      <c r="AA12" s="68">
        <f t="shared" si="38"/>
        <v>151</v>
      </c>
      <c r="AB12" s="89">
        <f t="shared" si="15"/>
        <v>1.026490066</v>
      </c>
      <c r="AC12" s="90">
        <v>46295.0</v>
      </c>
      <c r="AD12" s="92" t="s">
        <v>56</v>
      </c>
      <c r="AE12" s="84">
        <v>35.0</v>
      </c>
      <c r="AF12" s="84">
        <v>23.0</v>
      </c>
      <c r="AG12" s="93">
        <f t="shared" si="36"/>
        <v>12</v>
      </c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</row>
    <row r="13">
      <c r="A13" s="94" t="s">
        <v>54</v>
      </c>
      <c r="B13" s="109">
        <f t="shared" ref="B13:F13" si="39">sum(B9:B12)</f>
        <v>128</v>
      </c>
      <c r="C13" s="109">
        <f t="shared" si="39"/>
        <v>0</v>
      </c>
      <c r="D13" s="109">
        <f t="shared" si="39"/>
        <v>4</v>
      </c>
      <c r="E13" s="109">
        <f t="shared" si="39"/>
        <v>132</v>
      </c>
      <c r="F13" s="109">
        <f t="shared" si="39"/>
        <v>93</v>
      </c>
      <c r="G13" s="110">
        <f t="shared" si="3"/>
        <v>1.419354839</v>
      </c>
      <c r="H13" s="109">
        <f t="shared" ref="H13:L13" si="40">sum(H9:H12)</f>
        <v>78</v>
      </c>
      <c r="I13" s="109">
        <f t="shared" si="40"/>
        <v>0</v>
      </c>
      <c r="J13" s="109">
        <f t="shared" si="40"/>
        <v>0</v>
      </c>
      <c r="K13" s="109">
        <f t="shared" si="40"/>
        <v>78</v>
      </c>
      <c r="L13" s="109">
        <f t="shared" si="40"/>
        <v>55</v>
      </c>
      <c r="M13" s="110">
        <f t="shared" si="5"/>
        <v>1.418181818</v>
      </c>
      <c r="N13" s="109">
        <f t="shared" ref="N13:R13" si="41">sum(N9:N12)</f>
        <v>227</v>
      </c>
      <c r="O13" s="109">
        <f t="shared" si="41"/>
        <v>16</v>
      </c>
      <c r="P13" s="109">
        <f t="shared" si="41"/>
        <v>3</v>
      </c>
      <c r="Q13" s="109">
        <f t="shared" si="41"/>
        <v>246</v>
      </c>
      <c r="R13" s="109">
        <f t="shared" si="41"/>
        <v>279</v>
      </c>
      <c r="S13" s="110">
        <f t="shared" si="7"/>
        <v>0.8817204301</v>
      </c>
      <c r="T13" s="109">
        <f t="shared" ref="T13:X13" si="42">sum(T9:T12)</f>
        <v>449</v>
      </c>
      <c r="U13" s="109">
        <f t="shared" si="42"/>
        <v>7</v>
      </c>
      <c r="V13" s="109">
        <f t="shared" si="42"/>
        <v>456</v>
      </c>
      <c r="W13" s="109">
        <f t="shared" si="42"/>
        <v>427</v>
      </c>
      <c r="X13" s="109">
        <f t="shared" si="42"/>
        <v>-29</v>
      </c>
      <c r="Y13" s="109" t="str">
        <f>round(X13/Y24*7,0)</f>
        <v>#DIV/0!</v>
      </c>
      <c r="Z13" s="109">
        <f t="shared" ref="Z13:AA13" si="43">sum(Z9:Z12)</f>
        <v>456</v>
      </c>
      <c r="AA13" s="109">
        <f t="shared" si="43"/>
        <v>427</v>
      </c>
      <c r="AB13" s="89">
        <f t="shared" si="15"/>
        <v>1.067915691</v>
      </c>
      <c r="AC13" s="101"/>
      <c r="AD13" s="102"/>
      <c r="AE13" s="95">
        <f t="shared" ref="AE13:AG13" si="44">sum(AE9:AE12)</f>
        <v>95</v>
      </c>
      <c r="AF13" s="95">
        <f t="shared" si="44"/>
        <v>81</v>
      </c>
      <c r="AG13" s="95">
        <f t="shared" si="44"/>
        <v>14</v>
      </c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</row>
    <row r="14">
      <c r="A14" s="52" t="s">
        <v>55</v>
      </c>
      <c r="B14" s="81">
        <v>26.0</v>
      </c>
      <c r="C14" s="35"/>
      <c r="D14" s="81">
        <v>13.0</v>
      </c>
      <c r="E14" s="71">
        <f t="shared" ref="E14:E16" si="46">SUM(B14:D14)</f>
        <v>39</v>
      </c>
      <c r="F14" s="73">
        <v>22.0</v>
      </c>
      <c r="G14" s="75">
        <f t="shared" si="3"/>
        <v>1.772727273</v>
      </c>
      <c r="H14" s="81">
        <v>17.0</v>
      </c>
      <c r="I14" s="35"/>
      <c r="J14" s="81">
        <v>8.0</v>
      </c>
      <c r="K14" s="71">
        <f t="shared" ref="K14:K16" si="47">SUM(H14:J14)</f>
        <v>25</v>
      </c>
      <c r="L14" s="73">
        <v>13.0</v>
      </c>
      <c r="M14" s="75">
        <f t="shared" si="5"/>
        <v>1.923076923</v>
      </c>
      <c r="N14" s="74">
        <v>54.0</v>
      </c>
      <c r="O14" s="81">
        <v>7.0</v>
      </c>
      <c r="P14" s="74">
        <v>4.0</v>
      </c>
      <c r="Q14" s="71">
        <f t="shared" ref="Q14:Q16" si="48">SUM(N14:P14)</f>
        <v>65</v>
      </c>
      <c r="R14" s="73">
        <v>70.0</v>
      </c>
      <c r="S14" s="75">
        <f t="shared" si="7"/>
        <v>0.9285714286</v>
      </c>
      <c r="T14" s="68">
        <f t="shared" ref="T14:T16" si="49">N14+H14+B14+O14+I14</f>
        <v>104</v>
      </c>
      <c r="U14" s="68">
        <f t="shared" ref="U14:U16" si="50">P14+J14+D14</f>
        <v>25</v>
      </c>
      <c r="V14" s="71">
        <f t="shared" ref="V14:V16" si="51">sum(T14:U14)</f>
        <v>129</v>
      </c>
      <c r="W14" s="73">
        <f t="shared" ref="W14:W16" si="52">F14+L14+R14</f>
        <v>105</v>
      </c>
      <c r="X14" s="85">
        <f t="shared" ref="X14:X16" si="53">W14-V14</f>
        <v>-24</v>
      </c>
      <c r="Y14" s="68" t="str">
        <f t="shared" ref="Y14:Y16" si="54">round(X14/$Y$24*7,0)</f>
        <v>#DIV/0!</v>
      </c>
      <c r="Z14" s="68">
        <f t="shared" ref="Z14:AA14" si="45">V14</f>
        <v>129</v>
      </c>
      <c r="AA14" s="68">
        <f t="shared" si="45"/>
        <v>105</v>
      </c>
      <c r="AB14" s="89">
        <f t="shared" si="15"/>
        <v>1.228571429</v>
      </c>
      <c r="AC14" s="90">
        <v>46295.0</v>
      </c>
      <c r="AD14" s="92" t="s">
        <v>46</v>
      </c>
      <c r="AE14" s="84">
        <v>25.0</v>
      </c>
      <c r="AF14" s="84">
        <v>17.0</v>
      </c>
      <c r="AG14" s="93">
        <f t="shared" ref="AG14:AG16" si="56">AE14-AF14</f>
        <v>8</v>
      </c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</row>
    <row r="15">
      <c r="A15" s="52" t="s">
        <v>57</v>
      </c>
      <c r="B15" s="68">
        <v>30.0</v>
      </c>
      <c r="C15" s="68">
        <v>0.0</v>
      </c>
      <c r="D15" s="68">
        <v>2.0</v>
      </c>
      <c r="E15" s="71">
        <f t="shared" si="46"/>
        <v>32</v>
      </c>
      <c r="F15" s="73">
        <v>23.0</v>
      </c>
      <c r="G15" s="75">
        <f t="shared" si="3"/>
        <v>1.391304348</v>
      </c>
      <c r="H15" s="81">
        <v>18.0</v>
      </c>
      <c r="I15" s="35"/>
      <c r="J15" s="68">
        <v>1.0</v>
      </c>
      <c r="K15" s="71">
        <f t="shared" si="47"/>
        <v>19</v>
      </c>
      <c r="L15" s="73">
        <v>13.0</v>
      </c>
      <c r="M15" s="75">
        <f t="shared" si="5"/>
        <v>1.461538462</v>
      </c>
      <c r="N15" s="74">
        <v>57.0</v>
      </c>
      <c r="O15" s="74">
        <v>5.0</v>
      </c>
      <c r="P15" s="74">
        <v>3.0</v>
      </c>
      <c r="Q15" s="71">
        <f t="shared" si="48"/>
        <v>65</v>
      </c>
      <c r="R15" s="73">
        <v>72.0</v>
      </c>
      <c r="S15" s="75">
        <f t="shared" si="7"/>
        <v>0.9027777778</v>
      </c>
      <c r="T15" s="68">
        <f t="shared" si="49"/>
        <v>110</v>
      </c>
      <c r="U15" s="68">
        <f t="shared" si="50"/>
        <v>6</v>
      </c>
      <c r="V15" s="71">
        <f t="shared" si="51"/>
        <v>116</v>
      </c>
      <c r="W15" s="73">
        <f t="shared" si="52"/>
        <v>108</v>
      </c>
      <c r="X15" s="85">
        <f t="shared" si="53"/>
        <v>-8</v>
      </c>
      <c r="Y15" s="68" t="str">
        <f t="shared" si="54"/>
        <v>#DIV/0!</v>
      </c>
      <c r="Z15" s="68">
        <f t="shared" ref="Z15:AA15" si="55">V15</f>
        <v>116</v>
      </c>
      <c r="AA15" s="68">
        <f t="shared" si="55"/>
        <v>108</v>
      </c>
      <c r="AB15" s="89">
        <f t="shared" si="15"/>
        <v>1.074074074</v>
      </c>
      <c r="AC15" s="90">
        <v>46295.0</v>
      </c>
      <c r="AD15" s="92" t="s">
        <v>46</v>
      </c>
      <c r="AE15" s="84">
        <v>25.0</v>
      </c>
      <c r="AF15" s="84">
        <v>23.0</v>
      </c>
      <c r="AG15" s="93">
        <f t="shared" si="56"/>
        <v>2</v>
      </c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</row>
    <row r="16">
      <c r="A16" s="52" t="s">
        <v>58</v>
      </c>
      <c r="B16" s="68">
        <v>8.0</v>
      </c>
      <c r="C16" s="35"/>
      <c r="D16" s="35"/>
      <c r="E16" s="71">
        <f t="shared" si="46"/>
        <v>8</v>
      </c>
      <c r="F16" s="73">
        <v>8.0</v>
      </c>
      <c r="G16" s="75">
        <f t="shared" si="3"/>
        <v>1</v>
      </c>
      <c r="H16" s="74">
        <v>9.0</v>
      </c>
      <c r="I16" s="35"/>
      <c r="J16" s="35"/>
      <c r="K16" s="71">
        <f t="shared" si="47"/>
        <v>9</v>
      </c>
      <c r="L16" s="73">
        <v>3.0</v>
      </c>
      <c r="M16" s="75">
        <f t="shared" si="5"/>
        <v>3</v>
      </c>
      <c r="N16" s="81">
        <v>21.0</v>
      </c>
      <c r="O16" s="68">
        <v>1.0</v>
      </c>
      <c r="P16" s="35"/>
      <c r="Q16" s="71">
        <f t="shared" si="48"/>
        <v>22</v>
      </c>
      <c r="R16" s="73">
        <v>23.0</v>
      </c>
      <c r="S16" s="75">
        <f t="shared" si="7"/>
        <v>0.9565217391</v>
      </c>
      <c r="T16" s="68">
        <f t="shared" si="49"/>
        <v>39</v>
      </c>
      <c r="U16" s="68">
        <f t="shared" si="50"/>
        <v>0</v>
      </c>
      <c r="V16" s="71">
        <f t="shared" si="51"/>
        <v>39</v>
      </c>
      <c r="W16" s="73">
        <f t="shared" si="52"/>
        <v>34</v>
      </c>
      <c r="X16" s="85">
        <f t="shared" si="53"/>
        <v>-5</v>
      </c>
      <c r="Y16" s="68" t="str">
        <f t="shared" si="54"/>
        <v>#DIV/0!</v>
      </c>
      <c r="Z16" s="68">
        <f t="shared" ref="Z16:AA16" si="57">V16</f>
        <v>39</v>
      </c>
      <c r="AA16" s="68">
        <f t="shared" si="57"/>
        <v>34</v>
      </c>
      <c r="AB16" s="89">
        <f t="shared" si="15"/>
        <v>1.147058824</v>
      </c>
      <c r="AC16" s="90">
        <v>46295.0</v>
      </c>
      <c r="AD16" s="92" t="s">
        <v>46</v>
      </c>
      <c r="AE16" s="84">
        <v>10.0</v>
      </c>
      <c r="AF16" s="84">
        <v>13.0</v>
      </c>
      <c r="AG16" s="93">
        <f t="shared" si="56"/>
        <v>-3</v>
      </c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</row>
    <row r="17">
      <c r="A17" s="108" t="s">
        <v>59</v>
      </c>
      <c r="B17" s="109">
        <f t="shared" ref="B17:F17" si="58">sum(B14:B16)</f>
        <v>64</v>
      </c>
      <c r="C17" s="109">
        <f t="shared" si="58"/>
        <v>0</v>
      </c>
      <c r="D17" s="109">
        <f t="shared" si="58"/>
        <v>15</v>
      </c>
      <c r="E17" s="109">
        <f t="shared" si="58"/>
        <v>79</v>
      </c>
      <c r="F17" s="109">
        <f t="shared" si="58"/>
        <v>53</v>
      </c>
      <c r="G17" s="110">
        <f t="shared" si="3"/>
        <v>1.490566038</v>
      </c>
      <c r="H17" s="109">
        <f t="shared" ref="H17:L17" si="59">sum(H14:H16)</f>
        <v>44</v>
      </c>
      <c r="I17" s="109">
        <f t="shared" si="59"/>
        <v>0</v>
      </c>
      <c r="J17" s="109">
        <f t="shared" si="59"/>
        <v>9</v>
      </c>
      <c r="K17" s="109">
        <f t="shared" si="59"/>
        <v>53</v>
      </c>
      <c r="L17" s="109">
        <f t="shared" si="59"/>
        <v>29</v>
      </c>
      <c r="M17" s="110">
        <f t="shared" si="5"/>
        <v>1.827586207</v>
      </c>
      <c r="N17" s="109">
        <f t="shared" ref="N17:R17" si="60">sum(N14:N16)</f>
        <v>132</v>
      </c>
      <c r="O17" s="109">
        <f t="shared" si="60"/>
        <v>13</v>
      </c>
      <c r="P17" s="109">
        <f t="shared" si="60"/>
        <v>7</v>
      </c>
      <c r="Q17" s="109">
        <f t="shared" si="60"/>
        <v>152</v>
      </c>
      <c r="R17" s="109">
        <f t="shared" si="60"/>
        <v>165</v>
      </c>
      <c r="S17" s="110">
        <f t="shared" si="7"/>
        <v>0.9212121212</v>
      </c>
      <c r="T17" s="109">
        <f t="shared" ref="T17:X17" si="61">sum(T14:T16)</f>
        <v>253</v>
      </c>
      <c r="U17" s="109">
        <f t="shared" si="61"/>
        <v>31</v>
      </c>
      <c r="V17" s="109">
        <f t="shared" si="61"/>
        <v>284</v>
      </c>
      <c r="W17" s="109">
        <f t="shared" si="61"/>
        <v>247</v>
      </c>
      <c r="X17" s="109">
        <f t="shared" si="61"/>
        <v>-37</v>
      </c>
      <c r="Y17" s="109" t="str">
        <f>round(X17/Y24*7,0)</f>
        <v>#DIV/0!</v>
      </c>
      <c r="Z17" s="109">
        <f t="shared" ref="Z17:AA17" si="62">sum(Z14:Z16)</f>
        <v>284</v>
      </c>
      <c r="AA17" s="109">
        <f t="shared" si="62"/>
        <v>247</v>
      </c>
      <c r="AB17" s="89">
        <f t="shared" si="15"/>
        <v>1.149797571</v>
      </c>
      <c r="AC17" s="132"/>
      <c r="AD17" s="35"/>
      <c r="AE17" s="95">
        <f t="shared" ref="AE17:AG17" si="63">sum(AE14:AE16)</f>
        <v>60</v>
      </c>
      <c r="AF17" s="95">
        <f t="shared" si="63"/>
        <v>53</v>
      </c>
      <c r="AG17" s="95">
        <f t="shared" si="63"/>
        <v>7</v>
      </c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</row>
    <row r="18">
      <c r="A18" s="52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133"/>
      <c r="AC18" s="35"/>
      <c r="AD18" s="35"/>
      <c r="AE18" s="120"/>
      <c r="AF18" s="120"/>
      <c r="AG18" s="93">
        <f t="shared" ref="AG18:AG19" si="64">AE18-AF18</f>
        <v>0</v>
      </c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</row>
    <row r="19">
      <c r="A19" s="52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133"/>
      <c r="AC19" s="35"/>
      <c r="AD19" s="35"/>
      <c r="AE19" s="120"/>
      <c r="AF19" s="120"/>
      <c r="AG19" s="93">
        <f t="shared" si="64"/>
        <v>0</v>
      </c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</row>
    <row r="20">
      <c r="A20" s="134" t="s">
        <v>13</v>
      </c>
      <c r="B20" s="135">
        <f t="shared" ref="B20:F20" si="65">SUM(B8+B13+B17)</f>
        <v>326</v>
      </c>
      <c r="C20" s="135">
        <f t="shared" si="65"/>
        <v>0</v>
      </c>
      <c r="D20" s="135">
        <f t="shared" si="65"/>
        <v>27</v>
      </c>
      <c r="E20" s="135">
        <f t="shared" si="65"/>
        <v>353</v>
      </c>
      <c r="F20" s="135">
        <f t="shared" si="65"/>
        <v>240</v>
      </c>
      <c r="G20" s="136">
        <f>E20/F20</f>
        <v>1.470833333</v>
      </c>
      <c r="H20" s="135">
        <f t="shared" ref="H20:L20" si="66">SUM(H8+H13+H17)</f>
        <v>171</v>
      </c>
      <c r="I20" s="135">
        <f t="shared" si="66"/>
        <v>0</v>
      </c>
      <c r="J20" s="135">
        <f t="shared" si="66"/>
        <v>14</v>
      </c>
      <c r="K20" s="135">
        <f t="shared" si="66"/>
        <v>185</v>
      </c>
      <c r="L20" s="135">
        <f t="shared" si="66"/>
        <v>136</v>
      </c>
      <c r="M20" s="136">
        <f>K20/L20</f>
        <v>1.360294118</v>
      </c>
      <c r="N20" s="135">
        <f t="shared" ref="N20:R20" si="67">SUM(N8+N13+N17)</f>
        <v>628</v>
      </c>
      <c r="O20" s="135">
        <f t="shared" si="67"/>
        <v>46</v>
      </c>
      <c r="P20" s="135">
        <f t="shared" si="67"/>
        <v>22</v>
      </c>
      <c r="Q20" s="135">
        <f t="shared" si="67"/>
        <v>696</v>
      </c>
      <c r="R20" s="135">
        <f t="shared" si="67"/>
        <v>705</v>
      </c>
      <c r="S20" s="136">
        <f>Q20/R20</f>
        <v>0.9872340426</v>
      </c>
      <c r="T20" s="135">
        <f t="shared" ref="T20:X20" si="68">SUM(T8+T13+T17)</f>
        <v>1171</v>
      </c>
      <c r="U20" s="135">
        <f t="shared" si="68"/>
        <v>63</v>
      </c>
      <c r="V20" s="135">
        <f t="shared" si="68"/>
        <v>1234</v>
      </c>
      <c r="W20" s="135">
        <f t="shared" si="68"/>
        <v>1081</v>
      </c>
      <c r="X20" s="135">
        <f t="shared" si="68"/>
        <v>-153</v>
      </c>
      <c r="Y20" s="135" t="str">
        <f>round(X20/Y24*7,0)</f>
        <v>#DIV/0!</v>
      </c>
      <c r="Z20" s="135">
        <f t="shared" ref="Z20:AA20" si="69">Z8+Z13+Z17</f>
        <v>1234</v>
      </c>
      <c r="AA20" s="135">
        <f t="shared" si="69"/>
        <v>1081</v>
      </c>
      <c r="AB20" s="142">
        <f>Z20/AA20</f>
        <v>1.141535615</v>
      </c>
      <c r="AC20" s="132"/>
      <c r="AD20" s="35"/>
      <c r="AE20" s="144">
        <f t="shared" ref="AE20:AG20" si="70">AE17+AE13+AE8</f>
        <v>255</v>
      </c>
      <c r="AF20" s="144">
        <f t="shared" si="70"/>
        <v>226</v>
      </c>
      <c r="AG20" s="144">
        <f t="shared" si="70"/>
        <v>29</v>
      </c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</row>
    <row r="2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66">
        <f t="shared" ref="AE21:AG21" si="71">AE20*750</f>
        <v>191250</v>
      </c>
      <c r="AF21" s="66">
        <f t="shared" si="71"/>
        <v>169500</v>
      </c>
      <c r="AG21" s="66">
        <f t="shared" si="71"/>
        <v>21750</v>
      </c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</row>
    <row r="22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154">
        <v>46295.0</v>
      </c>
      <c r="Z22" s="35"/>
      <c r="AA22" s="68">
        <f>Z17-AA17</f>
        <v>37</v>
      </c>
      <c r="AB22" s="35"/>
      <c r="AC22" s="147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</row>
    <row r="23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82"/>
      <c r="W23" s="35"/>
      <c r="X23" s="35"/>
      <c r="Y23" s="148">
        <f>today()</f>
        <v>46295</v>
      </c>
      <c r="Z23" s="35"/>
      <c r="AA23" s="35"/>
      <c r="AB23" s="35"/>
      <c r="AC23" s="147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</row>
    <row r="24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68">
        <f>Y22-Y23</f>
        <v>0</v>
      </c>
      <c r="Z24" s="35"/>
      <c r="AA24" s="35"/>
      <c r="AB24" s="35"/>
      <c r="AC24" s="147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</row>
    <row r="25">
      <c r="A25" s="149" t="s">
        <v>63</v>
      </c>
      <c r="B25" s="151"/>
      <c r="C25" s="151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2"/>
      <c r="S25" s="31" t="s">
        <v>2</v>
      </c>
      <c r="T25" s="34" t="s">
        <v>3</v>
      </c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>
      <c r="A26" s="39"/>
      <c r="B26" s="163" t="s">
        <v>20</v>
      </c>
      <c r="C26" s="30"/>
      <c r="D26" s="30"/>
      <c r="E26" s="30"/>
      <c r="F26" s="163" t="s">
        <v>68</v>
      </c>
      <c r="G26" s="30"/>
      <c r="H26" s="30"/>
      <c r="I26" s="30"/>
      <c r="J26" s="163" t="s">
        <v>23</v>
      </c>
      <c r="K26" s="30"/>
      <c r="L26" s="30"/>
      <c r="M26" s="30"/>
      <c r="N26" s="163"/>
      <c r="O26" s="164" t="s">
        <v>13</v>
      </c>
      <c r="P26" s="30"/>
      <c r="Q26" s="30"/>
      <c r="R26" s="42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>
      <c r="A27" s="39"/>
      <c r="B27" s="49" t="s">
        <v>64</v>
      </c>
      <c r="C27" s="49" t="s">
        <v>65</v>
      </c>
      <c r="D27" s="49" t="s">
        <v>26</v>
      </c>
      <c r="E27" s="49" t="s">
        <v>66</v>
      </c>
      <c r="F27" s="49" t="s">
        <v>64</v>
      </c>
      <c r="G27" s="49" t="s">
        <v>65</v>
      </c>
      <c r="H27" s="49" t="s">
        <v>26</v>
      </c>
      <c r="I27" s="49" t="s">
        <v>66</v>
      </c>
      <c r="J27" s="49" t="s">
        <v>64</v>
      </c>
      <c r="K27" s="49" t="s">
        <v>65</v>
      </c>
      <c r="L27" s="49" t="s">
        <v>26</v>
      </c>
      <c r="M27" s="49" t="s">
        <v>66</v>
      </c>
      <c r="N27" s="49"/>
      <c r="O27" s="49" t="s">
        <v>64</v>
      </c>
      <c r="P27" s="49" t="s">
        <v>65</v>
      </c>
      <c r="Q27" s="49" t="s">
        <v>26</v>
      </c>
      <c r="R27" s="56" t="s">
        <v>66</v>
      </c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</row>
    <row r="28">
      <c r="A28" s="156" t="s">
        <v>22</v>
      </c>
      <c r="B28" s="48">
        <v>114.0</v>
      </c>
      <c r="C28" s="48">
        <v>0.0</v>
      </c>
      <c r="D28" s="70">
        <f>SUM(B28:C28)</f>
        <v>114</v>
      </c>
      <c r="E28" s="72">
        <v>126.0</v>
      </c>
      <c r="F28" s="158">
        <v>55.0</v>
      </c>
      <c r="G28" s="48">
        <v>0.0</v>
      </c>
      <c r="H28" s="70">
        <f>SUM(F28:G28)</f>
        <v>55</v>
      </c>
      <c r="I28" s="72">
        <v>55.0</v>
      </c>
      <c r="J28" s="158">
        <v>232.0</v>
      </c>
      <c r="K28" s="158">
        <v>0.0</v>
      </c>
      <c r="L28" s="70">
        <f>J28+K28</f>
        <v>232</v>
      </c>
      <c r="M28" s="72">
        <v>240.0</v>
      </c>
      <c r="N28" s="83"/>
      <c r="O28" s="84">
        <f t="shared" ref="O28:P28" si="72">J28+F28+B28</f>
        <v>401</v>
      </c>
      <c r="P28" s="84">
        <f t="shared" si="72"/>
        <v>0</v>
      </c>
      <c r="Q28" s="70">
        <f>P28+O28</f>
        <v>401</v>
      </c>
      <c r="R28" s="86">
        <f>M28+I28+E28</f>
        <v>421</v>
      </c>
      <c r="S28" s="159">
        <v>46295.0</v>
      </c>
      <c r="T28" s="82" t="s">
        <v>42</v>
      </c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>
      <c r="A29" s="161" t="s">
        <v>44</v>
      </c>
      <c r="B29" s="95">
        <f t="shared" ref="B29:M29" si="73">sum(B28)</f>
        <v>114</v>
      </c>
      <c r="C29" s="95">
        <f t="shared" si="73"/>
        <v>0</v>
      </c>
      <c r="D29" s="95">
        <f t="shared" si="73"/>
        <v>114</v>
      </c>
      <c r="E29" s="95">
        <f t="shared" si="73"/>
        <v>126</v>
      </c>
      <c r="F29" s="95">
        <f t="shared" si="73"/>
        <v>55</v>
      </c>
      <c r="G29" s="95">
        <f t="shared" si="73"/>
        <v>0</v>
      </c>
      <c r="H29" s="95">
        <f t="shared" si="73"/>
        <v>55</v>
      </c>
      <c r="I29" s="95">
        <f t="shared" si="73"/>
        <v>55</v>
      </c>
      <c r="J29" s="95">
        <f t="shared" si="73"/>
        <v>232</v>
      </c>
      <c r="K29" s="95">
        <f t="shared" si="73"/>
        <v>0</v>
      </c>
      <c r="L29" s="95">
        <f t="shared" si="73"/>
        <v>232</v>
      </c>
      <c r="M29" s="95">
        <f t="shared" si="73"/>
        <v>240</v>
      </c>
      <c r="N29" s="83"/>
      <c r="O29" s="95">
        <f t="shared" ref="O29:R29" si="74">sum(O28)</f>
        <v>401</v>
      </c>
      <c r="P29" s="95">
        <f t="shared" si="74"/>
        <v>0</v>
      </c>
      <c r="Q29" s="95">
        <f t="shared" si="74"/>
        <v>401</v>
      </c>
      <c r="R29" s="115">
        <f t="shared" si="74"/>
        <v>421</v>
      </c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</row>
    <row r="30">
      <c r="A30" s="156" t="s">
        <v>51</v>
      </c>
      <c r="B30" s="48">
        <v>9.0</v>
      </c>
      <c r="C30" s="84">
        <v>0.0</v>
      </c>
      <c r="D30" s="70">
        <f>SUM(B30:C30)</f>
        <v>9</v>
      </c>
      <c r="E30" s="72">
        <v>35.0</v>
      </c>
      <c r="F30" s="158">
        <v>31.0</v>
      </c>
      <c r="G30" s="84">
        <v>0.0</v>
      </c>
      <c r="H30" s="70">
        <f>SUM(F30:G30)</f>
        <v>31</v>
      </c>
      <c r="I30" s="72">
        <v>10.0</v>
      </c>
      <c r="J30" s="158">
        <v>47.0</v>
      </c>
      <c r="K30" s="158">
        <v>30.0</v>
      </c>
      <c r="L30" s="70">
        <f>K30+J30</f>
        <v>77</v>
      </c>
      <c r="M30" s="72">
        <v>85.0</v>
      </c>
      <c r="N30" s="83"/>
      <c r="O30" s="84">
        <v>82.0</v>
      </c>
      <c r="P30" s="84">
        <v>0.0</v>
      </c>
      <c r="Q30" s="70">
        <f>P30+O30</f>
        <v>82</v>
      </c>
      <c r="R30" s="86">
        <f>M30+I30+E30</f>
        <v>130</v>
      </c>
      <c r="S30" s="91">
        <v>46295.0</v>
      </c>
      <c r="T30" s="74" t="s">
        <v>56</v>
      </c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</row>
    <row r="31">
      <c r="A31" s="161" t="s">
        <v>54</v>
      </c>
      <c r="B31" s="95">
        <f t="shared" ref="B31:M31" si="75">sum(B30)</f>
        <v>9</v>
      </c>
      <c r="C31" s="95">
        <f t="shared" si="75"/>
        <v>0</v>
      </c>
      <c r="D31" s="95">
        <f t="shared" si="75"/>
        <v>9</v>
      </c>
      <c r="E31" s="95">
        <f t="shared" si="75"/>
        <v>35</v>
      </c>
      <c r="F31" s="95">
        <f t="shared" si="75"/>
        <v>31</v>
      </c>
      <c r="G31" s="95">
        <f t="shared" si="75"/>
        <v>0</v>
      </c>
      <c r="H31" s="95">
        <f t="shared" si="75"/>
        <v>31</v>
      </c>
      <c r="I31" s="95">
        <f t="shared" si="75"/>
        <v>10</v>
      </c>
      <c r="J31" s="95">
        <f t="shared" si="75"/>
        <v>47</v>
      </c>
      <c r="K31" s="95">
        <f t="shared" si="75"/>
        <v>30</v>
      </c>
      <c r="L31" s="95">
        <f t="shared" si="75"/>
        <v>77</v>
      </c>
      <c r="M31" s="95">
        <f t="shared" si="75"/>
        <v>85</v>
      </c>
      <c r="N31" s="83"/>
      <c r="O31" s="95">
        <f t="shared" ref="O31:R31" si="76">sum(O30)</f>
        <v>82</v>
      </c>
      <c r="P31" s="95">
        <f t="shared" si="76"/>
        <v>0</v>
      </c>
      <c r="Q31" s="95">
        <f t="shared" si="76"/>
        <v>82</v>
      </c>
      <c r="R31" s="115">
        <f t="shared" si="76"/>
        <v>130</v>
      </c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</row>
    <row r="32">
      <c r="A32" s="156" t="s">
        <v>55</v>
      </c>
      <c r="B32" s="48">
        <v>41.0</v>
      </c>
      <c r="C32" s="84">
        <v>0.0</v>
      </c>
      <c r="D32" s="70">
        <f t="shared" ref="D32:D33" si="78">SUM(B32:C32)</f>
        <v>41</v>
      </c>
      <c r="E32" s="72">
        <v>58.0</v>
      </c>
      <c r="F32" s="158">
        <v>62.0</v>
      </c>
      <c r="G32" s="84">
        <v>0.0</v>
      </c>
      <c r="H32" s="70">
        <f t="shared" ref="H32:H33" si="79">SUM(F32:G32)</f>
        <v>62</v>
      </c>
      <c r="I32" s="72">
        <v>32.0</v>
      </c>
      <c r="J32" s="158">
        <v>91.0</v>
      </c>
      <c r="K32" s="158">
        <v>0.0</v>
      </c>
      <c r="L32" s="70">
        <f t="shared" ref="L32:L33" si="80">K32+J32</f>
        <v>91</v>
      </c>
      <c r="M32" s="72">
        <v>91.0</v>
      </c>
      <c r="N32" s="83"/>
      <c r="O32" s="84">
        <f t="shared" ref="O32:P32" si="77">J32+F32+B32</f>
        <v>194</v>
      </c>
      <c r="P32" s="84">
        <f t="shared" si="77"/>
        <v>0</v>
      </c>
      <c r="Q32" s="70">
        <f t="shared" ref="Q32:Q33" si="82">P32+O32</f>
        <v>194</v>
      </c>
      <c r="R32" s="86">
        <f t="shared" ref="R32:R33" si="83">M32+I32+E32</f>
        <v>181</v>
      </c>
      <c r="S32" s="91">
        <v>46295.0</v>
      </c>
      <c r="T32" s="82" t="s">
        <v>70</v>
      </c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>
      <c r="A33" s="156" t="s">
        <v>57</v>
      </c>
      <c r="B33" s="48">
        <v>4.0</v>
      </c>
      <c r="C33" s="84">
        <v>0.0</v>
      </c>
      <c r="D33" s="70">
        <f t="shared" si="78"/>
        <v>4</v>
      </c>
      <c r="E33" s="72"/>
      <c r="F33" s="158">
        <v>2.0</v>
      </c>
      <c r="G33" s="84">
        <v>0.0</v>
      </c>
      <c r="H33" s="70">
        <f t="shared" si="79"/>
        <v>2</v>
      </c>
      <c r="I33" s="72"/>
      <c r="J33" s="158"/>
      <c r="K33" s="158"/>
      <c r="L33" s="70">
        <f t="shared" si="80"/>
        <v>0</v>
      </c>
      <c r="M33" s="72"/>
      <c r="N33" s="83"/>
      <c r="O33" s="84">
        <f t="shared" ref="O33:P33" si="81">J33+F33+B33</f>
        <v>6</v>
      </c>
      <c r="P33" s="84">
        <f t="shared" si="81"/>
        <v>0</v>
      </c>
      <c r="Q33" s="70">
        <f t="shared" si="82"/>
        <v>6</v>
      </c>
      <c r="R33" s="86">
        <f t="shared" si="83"/>
        <v>0</v>
      </c>
      <c r="S33" s="91">
        <v>46293.0</v>
      </c>
      <c r="T33" s="82" t="s">
        <v>61</v>
      </c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>
      <c r="A34" s="161" t="s">
        <v>59</v>
      </c>
      <c r="B34" s="95">
        <f t="shared" ref="B34:M34" si="84">sum(B32+B33)</f>
        <v>45</v>
      </c>
      <c r="C34" s="95">
        <f t="shared" si="84"/>
        <v>0</v>
      </c>
      <c r="D34" s="95">
        <f t="shared" si="84"/>
        <v>45</v>
      </c>
      <c r="E34" s="95">
        <f t="shared" si="84"/>
        <v>58</v>
      </c>
      <c r="F34" s="95">
        <f t="shared" si="84"/>
        <v>64</v>
      </c>
      <c r="G34" s="95">
        <f t="shared" si="84"/>
        <v>0</v>
      </c>
      <c r="H34" s="95">
        <f t="shared" si="84"/>
        <v>64</v>
      </c>
      <c r="I34" s="95">
        <f t="shared" si="84"/>
        <v>32</v>
      </c>
      <c r="J34" s="95">
        <f t="shared" si="84"/>
        <v>91</v>
      </c>
      <c r="K34" s="95">
        <f t="shared" si="84"/>
        <v>0</v>
      </c>
      <c r="L34" s="95">
        <f t="shared" si="84"/>
        <v>91</v>
      </c>
      <c r="M34" s="95">
        <f t="shared" si="84"/>
        <v>91</v>
      </c>
      <c r="N34" s="83"/>
      <c r="O34" s="95">
        <f t="shared" ref="O34:R34" si="85">sum(O32+O33)</f>
        <v>200</v>
      </c>
      <c r="P34" s="95">
        <f t="shared" si="85"/>
        <v>0</v>
      </c>
      <c r="Q34" s="95">
        <f t="shared" si="85"/>
        <v>200</v>
      </c>
      <c r="R34" s="95">
        <f t="shared" si="85"/>
        <v>181</v>
      </c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>
      <c r="A35" s="161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83"/>
      <c r="O35" s="120"/>
      <c r="P35" s="120"/>
      <c r="Q35" s="120"/>
      <c r="R35" s="137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</row>
    <row r="36">
      <c r="A36" s="39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37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>
      <c r="A37" s="165" t="s">
        <v>13</v>
      </c>
      <c r="B37" s="123">
        <f t="shared" ref="B37:M37" si="86">B34+B31+B29</f>
        <v>168</v>
      </c>
      <c r="C37" s="123">
        <f t="shared" si="86"/>
        <v>0</v>
      </c>
      <c r="D37" s="123">
        <f t="shared" si="86"/>
        <v>168</v>
      </c>
      <c r="E37" s="123">
        <f t="shared" si="86"/>
        <v>219</v>
      </c>
      <c r="F37" s="123">
        <f t="shared" si="86"/>
        <v>150</v>
      </c>
      <c r="G37" s="123">
        <f t="shared" si="86"/>
        <v>0</v>
      </c>
      <c r="H37" s="123">
        <f t="shared" si="86"/>
        <v>150</v>
      </c>
      <c r="I37" s="123">
        <f t="shared" si="86"/>
        <v>97</v>
      </c>
      <c r="J37" s="123">
        <f t="shared" si="86"/>
        <v>370</v>
      </c>
      <c r="K37" s="123">
        <f t="shared" si="86"/>
        <v>30</v>
      </c>
      <c r="L37" s="123">
        <f t="shared" si="86"/>
        <v>400</v>
      </c>
      <c r="M37" s="123">
        <f t="shared" si="86"/>
        <v>416</v>
      </c>
      <c r="N37" s="166"/>
      <c r="O37" s="123">
        <f t="shared" ref="O37:R37" si="87">O34+O31+O29</f>
        <v>683</v>
      </c>
      <c r="P37" s="123">
        <f t="shared" si="87"/>
        <v>0</v>
      </c>
      <c r="Q37" s="123">
        <f t="shared" si="87"/>
        <v>683</v>
      </c>
      <c r="R37" s="125">
        <f t="shared" si="87"/>
        <v>732</v>
      </c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>
      <c r="O39" s="18"/>
      <c r="P39" s="160"/>
      <c r="R39" s="167">
        <f>Q37/R37</f>
        <v>0.9330601093</v>
      </c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>
      <c r="A41" s="2" t="s">
        <v>71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21"/>
      <c r="M41" s="31" t="s">
        <v>2</v>
      </c>
      <c r="N41" s="34" t="s">
        <v>3</v>
      </c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</row>
    <row r="42">
      <c r="A42" s="24"/>
      <c r="B42" s="40" t="s">
        <v>20</v>
      </c>
      <c r="C42" s="15"/>
      <c r="D42" s="29"/>
      <c r="E42" s="45" t="s">
        <v>21</v>
      </c>
      <c r="F42" s="15"/>
      <c r="G42" s="15"/>
      <c r="H42" s="45" t="s">
        <v>23</v>
      </c>
      <c r="I42" s="15"/>
      <c r="J42" s="15"/>
      <c r="K42" s="45" t="s">
        <v>13</v>
      </c>
      <c r="L42" s="50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</row>
    <row r="43">
      <c r="A43" s="52"/>
      <c r="B43" s="57" t="s">
        <v>24</v>
      </c>
      <c r="C43" s="57" t="s">
        <v>27</v>
      </c>
      <c r="D43" s="35"/>
      <c r="E43" s="57" t="s">
        <v>24</v>
      </c>
      <c r="F43" s="57" t="s">
        <v>27</v>
      </c>
      <c r="G43" s="35"/>
      <c r="H43" s="57" t="s">
        <v>24</v>
      </c>
      <c r="I43" s="57" t="s">
        <v>27</v>
      </c>
      <c r="J43" s="35"/>
      <c r="K43" s="57" t="s">
        <v>24</v>
      </c>
      <c r="L43" s="173" t="s">
        <v>27</v>
      </c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</row>
    <row r="44">
      <c r="A44" s="52" t="s">
        <v>36</v>
      </c>
      <c r="B44" s="74">
        <v>56.0</v>
      </c>
      <c r="C44" s="73">
        <v>63.0</v>
      </c>
      <c r="D44" s="75">
        <f t="shared" ref="D44:D57" si="89">B44/C44</f>
        <v>0.8888888889</v>
      </c>
      <c r="E44" s="74">
        <v>59.0</v>
      </c>
      <c r="F44" s="73">
        <v>62.0</v>
      </c>
      <c r="G44" s="75">
        <f t="shared" ref="G44:G57" si="90">E44/F44</f>
        <v>0.9516129032</v>
      </c>
      <c r="H44" s="82">
        <v>59.0</v>
      </c>
      <c r="I44" s="73">
        <v>62.0</v>
      </c>
      <c r="J44" s="75">
        <f t="shared" ref="J44:J57" si="91">H44/I44</f>
        <v>0.9516129032</v>
      </c>
      <c r="K44" s="68">
        <f t="shared" ref="K44:L44" si="88">H44+E44+B44</f>
        <v>174</v>
      </c>
      <c r="L44" s="174">
        <f t="shared" si="88"/>
        <v>187</v>
      </c>
      <c r="M44" s="90">
        <v>46295.0</v>
      </c>
      <c r="N44" s="82" t="s">
        <v>42</v>
      </c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</row>
    <row r="45">
      <c r="A45" s="52" t="s">
        <v>40</v>
      </c>
      <c r="B45" s="74">
        <v>51.0</v>
      </c>
      <c r="C45" s="73">
        <v>55.0</v>
      </c>
      <c r="D45" s="75">
        <f t="shared" si="89"/>
        <v>0.9272727273</v>
      </c>
      <c r="E45" s="74">
        <v>41.0</v>
      </c>
      <c r="F45" s="73">
        <v>54.0</v>
      </c>
      <c r="G45" s="75">
        <f t="shared" si="90"/>
        <v>0.7592592593</v>
      </c>
      <c r="H45" s="82">
        <v>43.0</v>
      </c>
      <c r="I45" s="73">
        <v>54.0</v>
      </c>
      <c r="J45" s="75">
        <f t="shared" si="91"/>
        <v>0.7962962963</v>
      </c>
      <c r="K45" s="68">
        <f t="shared" ref="K45:L45" si="92">H45+E45+B45</f>
        <v>135</v>
      </c>
      <c r="L45" s="174">
        <f t="shared" si="92"/>
        <v>163</v>
      </c>
      <c r="M45" s="90">
        <v>46295.0</v>
      </c>
      <c r="N45" s="82" t="s">
        <v>42</v>
      </c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</row>
    <row r="46">
      <c r="A46" s="52" t="s">
        <v>41</v>
      </c>
      <c r="B46" s="74">
        <v>44.0</v>
      </c>
      <c r="C46" s="73">
        <v>51.0</v>
      </c>
      <c r="D46" s="75">
        <f t="shared" si="89"/>
        <v>0.862745098</v>
      </c>
      <c r="E46" s="74">
        <v>36.0</v>
      </c>
      <c r="F46" s="73">
        <v>50.0</v>
      </c>
      <c r="G46" s="75">
        <f t="shared" si="90"/>
        <v>0.72</v>
      </c>
      <c r="H46" s="82">
        <v>52.0</v>
      </c>
      <c r="I46" s="73">
        <v>50.0</v>
      </c>
      <c r="J46" s="75">
        <f t="shared" si="91"/>
        <v>1.04</v>
      </c>
      <c r="K46" s="68">
        <f t="shared" ref="K46:L46" si="93">H46+E46+B46</f>
        <v>132</v>
      </c>
      <c r="L46" s="174">
        <f t="shared" si="93"/>
        <v>151</v>
      </c>
      <c r="M46" s="90">
        <v>46295.0</v>
      </c>
      <c r="N46" s="82" t="s">
        <v>42</v>
      </c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</row>
    <row r="47">
      <c r="A47" s="52" t="s">
        <v>49</v>
      </c>
      <c r="B47" s="176">
        <v>61.0</v>
      </c>
      <c r="C47" s="73">
        <v>60.0</v>
      </c>
      <c r="D47" s="75">
        <f t="shared" si="89"/>
        <v>1.016666667</v>
      </c>
      <c r="E47" s="74">
        <v>60.0</v>
      </c>
      <c r="F47" s="73">
        <v>59.0</v>
      </c>
      <c r="G47" s="75">
        <f t="shared" si="90"/>
        <v>1.016949153</v>
      </c>
      <c r="H47" s="82">
        <v>56.0</v>
      </c>
      <c r="I47" s="73">
        <v>59.0</v>
      </c>
      <c r="J47" s="75">
        <f t="shared" si="91"/>
        <v>0.9491525424</v>
      </c>
      <c r="K47" s="68">
        <f t="shared" ref="K47:L47" si="94">H47+E47+B47</f>
        <v>177</v>
      </c>
      <c r="L47" s="174">
        <f t="shared" si="94"/>
        <v>178</v>
      </c>
      <c r="M47" s="90">
        <v>46295.0</v>
      </c>
      <c r="N47" s="82" t="s">
        <v>42</v>
      </c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</row>
    <row r="48">
      <c r="A48" s="108" t="s">
        <v>44</v>
      </c>
      <c r="B48" s="109">
        <f t="shared" ref="B48:C48" si="95">sum(B44:B47)</f>
        <v>212</v>
      </c>
      <c r="C48" s="109">
        <f t="shared" si="95"/>
        <v>229</v>
      </c>
      <c r="D48" s="75">
        <f t="shared" si="89"/>
        <v>0.9257641921</v>
      </c>
      <c r="E48" s="109">
        <f t="shared" ref="E48:F48" si="96">sum(E44:E47)</f>
        <v>196</v>
      </c>
      <c r="F48" s="109">
        <f t="shared" si="96"/>
        <v>225</v>
      </c>
      <c r="G48" s="75">
        <f t="shared" si="90"/>
        <v>0.8711111111</v>
      </c>
      <c r="H48" s="109">
        <f t="shared" ref="H48:I48" si="97">sum(H44:H47)</f>
        <v>210</v>
      </c>
      <c r="I48" s="109">
        <f t="shared" si="97"/>
        <v>225</v>
      </c>
      <c r="J48" s="75">
        <f t="shared" si="91"/>
        <v>0.9333333333</v>
      </c>
      <c r="K48" s="109">
        <f t="shared" ref="K48:L48" si="98">sum(K44:K47)</f>
        <v>618</v>
      </c>
      <c r="L48" s="182">
        <f t="shared" si="98"/>
        <v>679</v>
      </c>
      <c r="M48" s="147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</row>
    <row r="49">
      <c r="A49" s="46" t="s">
        <v>52</v>
      </c>
      <c r="B49" s="84">
        <v>62.0</v>
      </c>
      <c r="C49" s="72">
        <v>51.0</v>
      </c>
      <c r="D49" s="76">
        <f t="shared" si="89"/>
        <v>1.215686275</v>
      </c>
      <c r="E49" s="48">
        <v>43.0</v>
      </c>
      <c r="F49" s="72">
        <v>50.0</v>
      </c>
      <c r="G49" s="76">
        <f t="shared" si="90"/>
        <v>0.86</v>
      </c>
      <c r="H49" s="48">
        <v>50.0</v>
      </c>
      <c r="I49" s="72">
        <v>50.0</v>
      </c>
      <c r="J49" s="76">
        <f t="shared" si="91"/>
        <v>1</v>
      </c>
      <c r="K49" s="84">
        <f t="shared" ref="K49:L49" si="99">H49+E49+B49</f>
        <v>155</v>
      </c>
      <c r="L49" s="86">
        <f t="shared" si="99"/>
        <v>151</v>
      </c>
      <c r="M49" s="91">
        <v>46295.0</v>
      </c>
      <c r="N49" s="82" t="s">
        <v>56</v>
      </c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</row>
    <row r="50">
      <c r="A50" s="46" t="s">
        <v>51</v>
      </c>
      <c r="B50" s="84">
        <v>70.0</v>
      </c>
      <c r="C50" s="72">
        <v>45.0</v>
      </c>
      <c r="D50" s="76">
        <f t="shared" si="89"/>
        <v>1.555555556</v>
      </c>
      <c r="E50" s="48">
        <v>53.0</v>
      </c>
      <c r="F50" s="72">
        <v>44.0</v>
      </c>
      <c r="G50" s="76">
        <f t="shared" si="90"/>
        <v>1.204545455</v>
      </c>
      <c r="H50" s="48">
        <v>50.0</v>
      </c>
      <c r="I50" s="72">
        <v>44.0</v>
      </c>
      <c r="J50" s="76">
        <f t="shared" si="91"/>
        <v>1.136363636</v>
      </c>
      <c r="K50" s="84">
        <f t="shared" ref="K50:L50" si="100">H50+E50+B50</f>
        <v>173</v>
      </c>
      <c r="L50" s="86">
        <f t="shared" si="100"/>
        <v>133</v>
      </c>
      <c r="M50" s="91">
        <v>46295.0</v>
      </c>
      <c r="N50" s="82" t="s">
        <v>56</v>
      </c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  <c r="AY50" s="35"/>
    </row>
    <row r="51">
      <c r="A51" s="46" t="s">
        <v>47</v>
      </c>
      <c r="B51" s="84">
        <v>36.0</v>
      </c>
      <c r="C51" s="72">
        <v>47.0</v>
      </c>
      <c r="D51" s="76">
        <f t="shared" si="89"/>
        <v>0.7659574468</v>
      </c>
      <c r="E51" s="48">
        <v>33.0</v>
      </c>
      <c r="F51" s="72">
        <v>46.0</v>
      </c>
      <c r="G51" s="76">
        <f t="shared" si="90"/>
        <v>0.7173913043</v>
      </c>
      <c r="H51" s="48">
        <v>53.0</v>
      </c>
      <c r="I51" s="72">
        <v>46.0</v>
      </c>
      <c r="J51" s="76">
        <f t="shared" si="91"/>
        <v>1.152173913</v>
      </c>
      <c r="K51" s="84">
        <f t="shared" ref="K51:L51" si="101">H51+E51+B51</f>
        <v>122</v>
      </c>
      <c r="L51" s="86">
        <f t="shared" si="101"/>
        <v>139</v>
      </c>
      <c r="M51" s="91">
        <v>46295.0</v>
      </c>
      <c r="N51" s="82" t="s">
        <v>56</v>
      </c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  <c r="AY51" s="35"/>
    </row>
    <row r="52">
      <c r="A52" s="46" t="s">
        <v>53</v>
      </c>
      <c r="B52" s="84">
        <v>90.0</v>
      </c>
      <c r="C52" s="72">
        <v>91.0</v>
      </c>
      <c r="D52" s="76">
        <f t="shared" si="89"/>
        <v>0.989010989</v>
      </c>
      <c r="E52" s="48">
        <v>92.0</v>
      </c>
      <c r="F52" s="72">
        <v>89.0</v>
      </c>
      <c r="G52" s="76">
        <f t="shared" si="90"/>
        <v>1.033707865</v>
      </c>
      <c r="H52" s="48">
        <v>98.0</v>
      </c>
      <c r="I52" s="72">
        <v>89.0</v>
      </c>
      <c r="J52" s="76">
        <f t="shared" si="91"/>
        <v>1.101123596</v>
      </c>
      <c r="K52" s="84">
        <f t="shared" ref="K52:L52" si="102">H52+E52+B52</f>
        <v>280</v>
      </c>
      <c r="L52" s="86">
        <f t="shared" si="102"/>
        <v>269</v>
      </c>
      <c r="M52" s="91">
        <v>46295.0</v>
      </c>
      <c r="N52" s="82" t="s">
        <v>56</v>
      </c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</row>
    <row r="53">
      <c r="A53" s="94" t="s">
        <v>54</v>
      </c>
      <c r="B53" s="184">
        <f t="shared" ref="B53:C53" si="103">sum(B49:B52)</f>
        <v>258</v>
      </c>
      <c r="C53" s="184">
        <f t="shared" si="103"/>
        <v>234</v>
      </c>
      <c r="D53" s="76">
        <f t="shared" si="89"/>
        <v>1.102564103</v>
      </c>
      <c r="E53" s="184">
        <f t="shared" ref="E53:F53" si="104">sum(E49:E52)</f>
        <v>221</v>
      </c>
      <c r="F53" s="184">
        <f t="shared" si="104"/>
        <v>229</v>
      </c>
      <c r="G53" s="76">
        <f t="shared" si="90"/>
        <v>0.9650655022</v>
      </c>
      <c r="H53" s="184">
        <f t="shared" ref="H53:I53" si="105">sum(H49:H52)</f>
        <v>251</v>
      </c>
      <c r="I53" s="184">
        <f t="shared" si="105"/>
        <v>229</v>
      </c>
      <c r="J53" s="76">
        <f t="shared" si="91"/>
        <v>1.096069869</v>
      </c>
      <c r="K53" s="184">
        <f t="shared" ref="K53:L53" si="106">sum(K49:K52)</f>
        <v>730</v>
      </c>
      <c r="L53" s="185">
        <f t="shared" si="106"/>
        <v>692</v>
      </c>
      <c r="M53" s="147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</row>
    <row r="54">
      <c r="A54" s="52" t="s">
        <v>55</v>
      </c>
      <c r="B54" s="74">
        <v>45.0</v>
      </c>
      <c r="C54" s="73">
        <v>36.0</v>
      </c>
      <c r="D54" s="75">
        <f t="shared" si="89"/>
        <v>1.25</v>
      </c>
      <c r="E54" s="74">
        <v>58.0</v>
      </c>
      <c r="F54" s="73">
        <v>36.0</v>
      </c>
      <c r="G54" s="75">
        <f t="shared" si="90"/>
        <v>1.611111111</v>
      </c>
      <c r="H54" s="82">
        <v>40.0</v>
      </c>
      <c r="I54" s="73">
        <v>36.0</v>
      </c>
      <c r="J54" s="75">
        <f t="shared" si="91"/>
        <v>1.111111111</v>
      </c>
      <c r="K54" s="68">
        <f t="shared" ref="K54:L54" si="107">H54+E54+B54</f>
        <v>143</v>
      </c>
      <c r="L54" s="174">
        <f t="shared" si="107"/>
        <v>108</v>
      </c>
      <c r="M54" s="90">
        <v>46295.0</v>
      </c>
      <c r="N54" s="82" t="s">
        <v>42</v>
      </c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</row>
    <row r="55">
      <c r="A55" s="52" t="s">
        <v>57</v>
      </c>
      <c r="B55" s="74">
        <v>54.0</v>
      </c>
      <c r="C55" s="73">
        <v>47.0</v>
      </c>
      <c r="D55" s="75">
        <f t="shared" si="89"/>
        <v>1.14893617</v>
      </c>
      <c r="E55" s="74">
        <v>37.0</v>
      </c>
      <c r="F55" s="73">
        <v>46.0</v>
      </c>
      <c r="G55" s="75">
        <f t="shared" si="90"/>
        <v>0.8043478261</v>
      </c>
      <c r="H55" s="82">
        <v>46.0</v>
      </c>
      <c r="I55" s="73">
        <v>46.0</v>
      </c>
      <c r="J55" s="75">
        <f t="shared" si="91"/>
        <v>1</v>
      </c>
      <c r="K55" s="68">
        <f t="shared" ref="K55:L55" si="108">H55+E55+B55</f>
        <v>137</v>
      </c>
      <c r="L55" s="174">
        <f t="shared" si="108"/>
        <v>139</v>
      </c>
      <c r="M55" s="90">
        <v>46295.0</v>
      </c>
      <c r="N55" s="82" t="s">
        <v>42</v>
      </c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</row>
    <row r="56">
      <c r="A56" s="52" t="s">
        <v>58</v>
      </c>
      <c r="B56" s="74">
        <v>23.0</v>
      </c>
      <c r="C56" s="73">
        <v>22.0</v>
      </c>
      <c r="D56" s="75">
        <f t="shared" si="89"/>
        <v>1.045454545</v>
      </c>
      <c r="E56" s="74">
        <v>27.0</v>
      </c>
      <c r="F56" s="73">
        <v>21.0</v>
      </c>
      <c r="G56" s="75">
        <f t="shared" si="90"/>
        <v>1.285714286</v>
      </c>
      <c r="H56" s="82">
        <v>24.0</v>
      </c>
      <c r="I56" s="73">
        <v>21.0</v>
      </c>
      <c r="J56" s="75">
        <f t="shared" si="91"/>
        <v>1.142857143</v>
      </c>
      <c r="K56" s="68">
        <f t="shared" ref="K56:L56" si="109">H56+E56+B56</f>
        <v>74</v>
      </c>
      <c r="L56" s="174">
        <f t="shared" si="109"/>
        <v>64</v>
      </c>
      <c r="M56" s="90">
        <v>46295.0</v>
      </c>
      <c r="N56" s="82" t="s">
        <v>42</v>
      </c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  <c r="AV56" s="35"/>
      <c r="AW56" s="35"/>
      <c r="AX56" s="35"/>
      <c r="AY56" s="35"/>
    </row>
    <row r="57">
      <c r="A57" s="108" t="s">
        <v>59</v>
      </c>
      <c r="B57" s="109">
        <f t="shared" ref="B57:C57" si="110">sum(B54:B56)</f>
        <v>122</v>
      </c>
      <c r="C57" s="109">
        <f t="shared" si="110"/>
        <v>105</v>
      </c>
      <c r="D57" s="75">
        <f t="shared" si="89"/>
        <v>1.161904762</v>
      </c>
      <c r="E57" s="109">
        <f t="shared" ref="E57:F57" si="111">sum(E54:E56)</f>
        <v>122</v>
      </c>
      <c r="F57" s="109">
        <f t="shared" si="111"/>
        <v>103</v>
      </c>
      <c r="G57" s="75">
        <f t="shared" si="90"/>
        <v>1.184466019</v>
      </c>
      <c r="H57" s="109">
        <f t="shared" ref="H57:I57" si="112">sum(H54:H56)</f>
        <v>110</v>
      </c>
      <c r="I57" s="109">
        <f t="shared" si="112"/>
        <v>103</v>
      </c>
      <c r="J57" s="75">
        <f t="shared" si="91"/>
        <v>1.067961165</v>
      </c>
      <c r="K57" s="109">
        <f t="shared" ref="K57:L57" si="113">sum(K54:K56)</f>
        <v>354</v>
      </c>
      <c r="L57" s="182">
        <f t="shared" si="113"/>
        <v>311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</row>
    <row r="58">
      <c r="A58" s="94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37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</row>
    <row r="59">
      <c r="A59" s="121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37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  <c r="AU59" s="35"/>
      <c r="AV59" s="35"/>
      <c r="AW59" s="35"/>
      <c r="AX59" s="35"/>
      <c r="AY59" s="35"/>
    </row>
    <row r="60">
      <c r="A60" s="122" t="s">
        <v>13</v>
      </c>
      <c r="B60" s="123">
        <f t="shared" ref="B60:C60" si="114">B57+B53+B48</f>
        <v>592</v>
      </c>
      <c r="C60" s="123">
        <f t="shared" si="114"/>
        <v>568</v>
      </c>
      <c r="D60" s="186">
        <f>B60/C60</f>
        <v>1.042253521</v>
      </c>
      <c r="E60" s="123">
        <f t="shared" ref="E60:F60" si="115">E57+E53+E48</f>
        <v>539</v>
      </c>
      <c r="F60" s="123">
        <f t="shared" si="115"/>
        <v>557</v>
      </c>
      <c r="G60" s="186">
        <f>E60/F60</f>
        <v>0.9676840215</v>
      </c>
      <c r="H60" s="123">
        <f t="shared" ref="H60:I60" si="116">H57+H53+H48</f>
        <v>571</v>
      </c>
      <c r="I60" s="123">
        <f t="shared" si="116"/>
        <v>557</v>
      </c>
      <c r="J60" s="186">
        <f>H60/I60</f>
        <v>1.02513465</v>
      </c>
      <c r="K60" s="123">
        <f t="shared" ref="K60:L60" si="117">K57+K53+K48</f>
        <v>1702</v>
      </c>
      <c r="L60" s="125">
        <f t="shared" si="117"/>
        <v>1682</v>
      </c>
      <c r="M60" s="35">
        <f>K60/L60</f>
        <v>1.011890606</v>
      </c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  <c r="AU60" s="35"/>
      <c r="AV60" s="35"/>
      <c r="AW60" s="35"/>
      <c r="AX60" s="35"/>
      <c r="AY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</row>
    <row r="62">
      <c r="A62" s="35"/>
      <c r="B62" s="35"/>
      <c r="C62" s="35"/>
      <c r="D62" s="35"/>
      <c r="E62" s="35"/>
      <c r="F62" s="35"/>
      <c r="G62" s="35"/>
      <c r="H62" s="35"/>
      <c r="I62" s="82"/>
      <c r="J62" s="82"/>
      <c r="K62" s="35"/>
      <c r="L62" s="35"/>
      <c r="M62" s="35"/>
      <c r="N62" s="187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</row>
    <row r="63">
      <c r="A63" s="2" t="s">
        <v>76</v>
      </c>
      <c r="B63" s="15"/>
      <c r="C63" s="15"/>
      <c r="D63" s="15"/>
      <c r="E63" s="15"/>
      <c r="F63" s="21"/>
      <c r="G63" s="31" t="s">
        <v>2</v>
      </c>
      <c r="H63" s="34" t="s">
        <v>3</v>
      </c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</row>
    <row r="64">
      <c r="A64" s="24"/>
      <c r="B64" s="40" t="s">
        <v>80</v>
      </c>
      <c r="C64" s="15"/>
      <c r="D64" s="29"/>
      <c r="E64" s="45" t="s">
        <v>78</v>
      </c>
      <c r="F64" s="21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</row>
    <row r="65">
      <c r="A65" s="52"/>
      <c r="B65" s="57" t="s">
        <v>79</v>
      </c>
      <c r="C65" s="57" t="s">
        <v>27</v>
      </c>
      <c r="D65" s="35"/>
      <c r="E65" s="35"/>
      <c r="F65" s="133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</row>
    <row r="66">
      <c r="A66" s="52" t="s">
        <v>36</v>
      </c>
      <c r="B66" s="74">
        <v>2.0</v>
      </c>
      <c r="C66" s="73">
        <v>7.0</v>
      </c>
      <c r="D66" s="75">
        <f t="shared" ref="D66:D79" si="118">B66/C66</f>
        <v>0.2857142857</v>
      </c>
      <c r="E66" s="35"/>
      <c r="F66" s="188"/>
      <c r="G66" s="91">
        <v>46293.0</v>
      </c>
      <c r="H66" s="35" t="s">
        <v>42</v>
      </c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5"/>
      <c r="AV66" s="35"/>
      <c r="AW66" s="35"/>
      <c r="AX66" s="35"/>
      <c r="AY66" s="35"/>
    </row>
    <row r="67">
      <c r="A67" s="52" t="s">
        <v>40</v>
      </c>
      <c r="B67" s="68">
        <v>0.0</v>
      </c>
      <c r="C67" s="73">
        <v>5.0</v>
      </c>
      <c r="D67" s="75">
        <f t="shared" si="118"/>
        <v>0</v>
      </c>
      <c r="E67" s="35"/>
      <c r="F67" s="189"/>
      <c r="G67" s="91">
        <v>46293.0</v>
      </c>
      <c r="H67" s="35" t="s">
        <v>42</v>
      </c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  <c r="AU67" s="35"/>
      <c r="AV67" s="35"/>
      <c r="AW67" s="35"/>
      <c r="AX67" s="35"/>
      <c r="AY67" s="35"/>
    </row>
    <row r="68">
      <c r="A68" s="52" t="s">
        <v>41</v>
      </c>
      <c r="B68" s="74">
        <v>1.0</v>
      </c>
      <c r="C68" s="73">
        <v>6.0</v>
      </c>
      <c r="D68" s="75">
        <f t="shared" si="118"/>
        <v>0.1666666667</v>
      </c>
      <c r="E68" s="35"/>
      <c r="F68" s="190"/>
      <c r="G68" s="91">
        <v>46293.0</v>
      </c>
      <c r="H68" s="35" t="s">
        <v>42</v>
      </c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  <c r="AU68" s="35"/>
      <c r="AV68" s="35"/>
      <c r="AW68" s="35"/>
      <c r="AX68" s="35"/>
      <c r="AY68" s="35"/>
    </row>
    <row r="69">
      <c r="A69" s="52" t="s">
        <v>49</v>
      </c>
      <c r="B69" s="74">
        <v>3.0</v>
      </c>
      <c r="C69" s="73">
        <v>8.0</v>
      </c>
      <c r="D69" s="75">
        <f t="shared" si="118"/>
        <v>0.375</v>
      </c>
      <c r="E69" s="35"/>
      <c r="F69" s="188">
        <v>5.0</v>
      </c>
      <c r="G69" s="91">
        <v>46293.0</v>
      </c>
      <c r="H69" s="35" t="s">
        <v>42</v>
      </c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</row>
    <row r="70">
      <c r="A70" s="108" t="s">
        <v>44</v>
      </c>
      <c r="B70" s="109">
        <f t="shared" ref="B70:C70" si="119">sum(B66:B69)</f>
        <v>6</v>
      </c>
      <c r="C70" s="109">
        <f t="shared" si="119"/>
        <v>26</v>
      </c>
      <c r="D70" s="75">
        <f t="shared" si="118"/>
        <v>0.2307692308</v>
      </c>
      <c r="E70" s="35"/>
      <c r="F70" s="182">
        <f>SUM(F66:F69)</f>
        <v>5</v>
      </c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</row>
    <row r="71">
      <c r="A71" s="46" t="s">
        <v>52</v>
      </c>
      <c r="B71" s="84">
        <v>0.0</v>
      </c>
      <c r="C71" s="72">
        <v>6.0</v>
      </c>
      <c r="D71" s="76">
        <f t="shared" si="118"/>
        <v>0</v>
      </c>
      <c r="E71" s="35"/>
      <c r="F71" s="174"/>
      <c r="G71" s="91">
        <v>46295.0</v>
      </c>
      <c r="H71" s="82" t="s">
        <v>56</v>
      </c>
      <c r="I71" s="82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</row>
    <row r="72">
      <c r="A72" s="46" t="s">
        <v>51</v>
      </c>
      <c r="B72" s="84">
        <v>5.0</v>
      </c>
      <c r="C72" s="72">
        <v>5.0</v>
      </c>
      <c r="D72" s="76">
        <f t="shared" si="118"/>
        <v>1</v>
      </c>
      <c r="E72" s="35"/>
      <c r="F72" s="189"/>
      <c r="G72" s="91">
        <v>46295.0</v>
      </c>
      <c r="H72" s="82" t="s">
        <v>56</v>
      </c>
      <c r="I72" s="35"/>
      <c r="J72" s="82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</row>
    <row r="73">
      <c r="A73" s="46" t="s">
        <v>47</v>
      </c>
      <c r="B73" s="84">
        <v>2.0</v>
      </c>
      <c r="C73" s="72">
        <v>5.0</v>
      </c>
      <c r="D73" s="76">
        <f t="shared" si="118"/>
        <v>0.4</v>
      </c>
      <c r="E73" s="35"/>
      <c r="F73" s="189">
        <v>1.0</v>
      </c>
      <c r="G73" s="91">
        <v>46295.0</v>
      </c>
      <c r="H73" s="82" t="s">
        <v>56</v>
      </c>
      <c r="I73" s="82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35"/>
      <c r="AW73" s="35"/>
      <c r="AX73" s="35"/>
      <c r="AY73" s="35"/>
    </row>
    <row r="74">
      <c r="A74" s="46" t="s">
        <v>53</v>
      </c>
      <c r="B74" s="84">
        <v>0.0</v>
      </c>
      <c r="C74" s="72">
        <v>9.0</v>
      </c>
      <c r="D74" s="76">
        <f t="shared" si="118"/>
        <v>0</v>
      </c>
      <c r="E74" s="35"/>
      <c r="F74" s="188">
        <v>1.0</v>
      </c>
      <c r="G74" s="91">
        <v>46295.0</v>
      </c>
      <c r="H74" s="82" t="s">
        <v>56</v>
      </c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  <c r="AU74" s="35"/>
      <c r="AV74" s="35"/>
      <c r="AW74" s="35"/>
      <c r="AX74" s="35"/>
      <c r="AY74" s="35"/>
    </row>
    <row r="75">
      <c r="A75" s="94" t="s">
        <v>54</v>
      </c>
      <c r="B75" s="184">
        <f t="shared" ref="B75:C75" si="120">sum(B71:B74)</f>
        <v>7</v>
      </c>
      <c r="C75" s="184">
        <f t="shared" si="120"/>
        <v>25</v>
      </c>
      <c r="D75" s="76">
        <f t="shared" si="118"/>
        <v>0.28</v>
      </c>
      <c r="E75" s="35"/>
      <c r="F75" s="182">
        <f>SUM(F71:F74)</f>
        <v>2</v>
      </c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35"/>
      <c r="AS75" s="35"/>
      <c r="AT75" s="35"/>
      <c r="AU75" s="35"/>
      <c r="AV75" s="35"/>
      <c r="AW75" s="35"/>
      <c r="AX75" s="35"/>
      <c r="AY75" s="35"/>
    </row>
    <row r="76">
      <c r="A76" s="52" t="s">
        <v>55</v>
      </c>
      <c r="B76" s="74">
        <v>11.0</v>
      </c>
      <c r="C76" s="73">
        <v>6.0</v>
      </c>
      <c r="D76" s="75">
        <f t="shared" si="118"/>
        <v>1.833333333</v>
      </c>
      <c r="E76" s="35"/>
      <c r="F76" s="188">
        <v>6.0</v>
      </c>
      <c r="G76" s="91">
        <v>46293.0</v>
      </c>
      <c r="H76" s="35" t="s">
        <v>42</v>
      </c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  <c r="AR76" s="35"/>
      <c r="AS76" s="35"/>
      <c r="AT76" s="35"/>
      <c r="AU76" s="35"/>
      <c r="AV76" s="35"/>
      <c r="AW76" s="35"/>
      <c r="AX76" s="35"/>
      <c r="AY76" s="35"/>
    </row>
    <row r="77">
      <c r="A77" s="52" t="s">
        <v>57</v>
      </c>
      <c r="B77" s="74">
        <v>4.0</v>
      </c>
      <c r="C77" s="73">
        <v>7.0</v>
      </c>
      <c r="D77" s="75">
        <f t="shared" si="118"/>
        <v>0.5714285714</v>
      </c>
      <c r="E77" s="35"/>
      <c r="F77" s="188"/>
      <c r="G77" s="91">
        <v>46293.0</v>
      </c>
      <c r="H77" s="35" t="s">
        <v>42</v>
      </c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  <c r="AX77" s="35"/>
      <c r="AY77" s="35"/>
    </row>
    <row r="78">
      <c r="A78" s="52" t="s">
        <v>58</v>
      </c>
      <c r="B78" s="68">
        <v>0.0</v>
      </c>
      <c r="C78" s="73">
        <v>2.0</v>
      </c>
      <c r="D78" s="75">
        <f t="shared" si="118"/>
        <v>0</v>
      </c>
      <c r="E78" s="35"/>
      <c r="F78" s="190"/>
      <c r="G78" s="91">
        <v>46293.0</v>
      </c>
      <c r="H78" s="35" t="s">
        <v>42</v>
      </c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5"/>
      <c r="AV78" s="35"/>
      <c r="AW78" s="35"/>
      <c r="AX78" s="35"/>
      <c r="AY78" s="35"/>
    </row>
    <row r="79">
      <c r="A79" s="108" t="s">
        <v>59</v>
      </c>
      <c r="B79" s="109">
        <f t="shared" ref="B79:C79" si="121">sum(B76:B78)</f>
        <v>15</v>
      </c>
      <c r="C79" s="109">
        <f t="shared" si="121"/>
        <v>15</v>
      </c>
      <c r="D79" s="75">
        <f t="shared" si="118"/>
        <v>1</v>
      </c>
      <c r="E79" s="35"/>
      <c r="F79" s="182">
        <f>SUM(F76:F78)</f>
        <v>6</v>
      </c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5"/>
      <c r="AV79" s="35"/>
      <c r="AW79" s="35"/>
      <c r="AX79" s="35"/>
      <c r="AY79" s="35"/>
    </row>
    <row r="80">
      <c r="A80" s="94"/>
      <c r="B80" s="120"/>
      <c r="C80" s="120"/>
      <c r="D80" s="120"/>
      <c r="E80" s="35"/>
      <c r="F80" s="133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5"/>
      <c r="AV80" s="35"/>
      <c r="AW80" s="35"/>
      <c r="AX80" s="35"/>
      <c r="AY80" s="35"/>
    </row>
    <row r="81">
      <c r="A81" s="121"/>
      <c r="B81" s="120"/>
      <c r="C81" s="120"/>
      <c r="D81" s="120"/>
      <c r="E81" s="35"/>
      <c r="F81" s="133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35"/>
      <c r="AW81" s="35"/>
      <c r="AX81" s="35"/>
      <c r="AY81" s="35"/>
    </row>
    <row r="82">
      <c r="A82" s="122" t="s">
        <v>13</v>
      </c>
      <c r="B82" s="123">
        <f>B70+B75+B79</f>
        <v>28</v>
      </c>
      <c r="C82" s="123">
        <f>C79+C75+C70</f>
        <v>66</v>
      </c>
      <c r="D82" s="186">
        <f>B82/C82</f>
        <v>0.4242424242</v>
      </c>
      <c r="E82" s="192"/>
      <c r="F82" s="193">
        <f>F70+F75+F79</f>
        <v>13</v>
      </c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5"/>
      <c r="AV82" s="35"/>
      <c r="AW82" s="35"/>
      <c r="AX82" s="35"/>
      <c r="AY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5"/>
      <c r="AV85" s="35"/>
      <c r="AW85" s="35"/>
      <c r="AX85" s="35"/>
      <c r="AY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5"/>
      <c r="AV90" s="35"/>
      <c r="AW90" s="35"/>
      <c r="AX90" s="35"/>
      <c r="AY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  <c r="AU92" s="35"/>
      <c r="AV92" s="35"/>
      <c r="AW92" s="35"/>
      <c r="AX92" s="35"/>
      <c r="AY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  <c r="AT93" s="35"/>
      <c r="AU93" s="35"/>
      <c r="AV93" s="35"/>
      <c r="AW93" s="35"/>
      <c r="AX93" s="35"/>
      <c r="AY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  <c r="AT94" s="35"/>
      <c r="AU94" s="35"/>
      <c r="AV94" s="35"/>
      <c r="AW94" s="35"/>
      <c r="AX94" s="35"/>
      <c r="AY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  <c r="AV95" s="35"/>
      <c r="AW95" s="35"/>
      <c r="AX95" s="35"/>
      <c r="AY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  <c r="AV96" s="35"/>
      <c r="AW96" s="35"/>
      <c r="AX96" s="35"/>
      <c r="AY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  <c r="AU97" s="35"/>
      <c r="AV97" s="35"/>
      <c r="AW97" s="35"/>
      <c r="AX97" s="35"/>
      <c r="AY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  <c r="AU98" s="35"/>
      <c r="AV98" s="35"/>
      <c r="AW98" s="35"/>
      <c r="AX98" s="35"/>
      <c r="AY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  <c r="AT99" s="35"/>
      <c r="AU99" s="35"/>
      <c r="AV99" s="35"/>
      <c r="AW99" s="35"/>
      <c r="AX99" s="35"/>
      <c r="AY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35"/>
      <c r="AR100" s="35"/>
      <c r="AS100" s="35"/>
      <c r="AT100" s="35"/>
      <c r="AU100" s="35"/>
      <c r="AV100" s="35"/>
      <c r="AW100" s="35"/>
      <c r="AX100" s="35"/>
      <c r="AY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  <c r="AT101" s="35"/>
      <c r="AU101" s="35"/>
      <c r="AV101" s="35"/>
      <c r="AW101" s="35"/>
      <c r="AX101" s="35"/>
      <c r="AY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  <c r="AT102" s="35"/>
      <c r="AU102" s="35"/>
      <c r="AV102" s="35"/>
      <c r="AW102" s="35"/>
      <c r="AX102" s="35"/>
      <c r="AY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  <c r="AT103" s="35"/>
      <c r="AU103" s="35"/>
      <c r="AV103" s="35"/>
      <c r="AW103" s="35"/>
      <c r="AX103" s="35"/>
      <c r="AY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  <c r="AT104" s="35"/>
      <c r="AU104" s="35"/>
      <c r="AV104" s="35"/>
      <c r="AW104" s="35"/>
      <c r="AX104" s="35"/>
      <c r="AY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  <c r="AT105" s="35"/>
      <c r="AU105" s="35"/>
      <c r="AV105" s="35"/>
      <c r="AW105" s="35"/>
      <c r="AX105" s="35"/>
      <c r="AY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  <c r="AU106" s="35"/>
      <c r="AV106" s="35"/>
      <c r="AW106" s="35"/>
      <c r="AX106" s="35"/>
      <c r="AY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  <c r="AU107" s="35"/>
      <c r="AV107" s="35"/>
      <c r="AW107" s="35"/>
      <c r="AX107" s="35"/>
      <c r="AY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  <c r="AR108" s="35"/>
      <c r="AS108" s="35"/>
      <c r="AT108" s="35"/>
      <c r="AU108" s="35"/>
      <c r="AV108" s="35"/>
      <c r="AW108" s="35"/>
      <c r="AX108" s="35"/>
      <c r="AY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35"/>
      <c r="AW109" s="35"/>
      <c r="AX109" s="35"/>
      <c r="AY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  <c r="AV110" s="35"/>
      <c r="AW110" s="35"/>
      <c r="AX110" s="35"/>
      <c r="AY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  <c r="AU111" s="35"/>
      <c r="AV111" s="35"/>
      <c r="AW111" s="35"/>
      <c r="AX111" s="35"/>
      <c r="AY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  <c r="AU112" s="35"/>
      <c r="AV112" s="35"/>
      <c r="AW112" s="35"/>
      <c r="AX112" s="35"/>
      <c r="AY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  <c r="AV113" s="35"/>
      <c r="AW113" s="35"/>
      <c r="AX113" s="35"/>
      <c r="AY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  <c r="AV114" s="35"/>
      <c r="AW114" s="35"/>
      <c r="AX114" s="35"/>
      <c r="AY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  <c r="AV115" s="35"/>
      <c r="AW115" s="35"/>
      <c r="AX115" s="35"/>
      <c r="AY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  <c r="AU116" s="35"/>
      <c r="AV116" s="35"/>
      <c r="AW116" s="35"/>
      <c r="AX116" s="35"/>
      <c r="AY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  <c r="AT117" s="35"/>
      <c r="AU117" s="35"/>
      <c r="AV117" s="35"/>
      <c r="AW117" s="35"/>
      <c r="AX117" s="35"/>
      <c r="AY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  <c r="AT118" s="35"/>
      <c r="AU118" s="35"/>
      <c r="AV118" s="35"/>
      <c r="AW118" s="35"/>
      <c r="AX118" s="35"/>
      <c r="AY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35"/>
      <c r="AR119" s="35"/>
      <c r="AS119" s="35"/>
      <c r="AT119" s="35"/>
      <c r="AU119" s="35"/>
      <c r="AV119" s="35"/>
      <c r="AW119" s="35"/>
      <c r="AX119" s="35"/>
      <c r="AY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35"/>
      <c r="AR120" s="35"/>
      <c r="AS120" s="35"/>
      <c r="AT120" s="35"/>
      <c r="AU120" s="35"/>
      <c r="AV120" s="35"/>
      <c r="AW120" s="35"/>
      <c r="AX120" s="35"/>
      <c r="AY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  <c r="AT122" s="35"/>
      <c r="AU122" s="35"/>
      <c r="AV122" s="35"/>
      <c r="AW122" s="35"/>
      <c r="AX122" s="35"/>
      <c r="AY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  <c r="AT123" s="35"/>
      <c r="AU123" s="35"/>
      <c r="AV123" s="35"/>
      <c r="AW123" s="35"/>
      <c r="AX123" s="35"/>
      <c r="AY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35"/>
      <c r="AR124" s="35"/>
      <c r="AS124" s="35"/>
      <c r="AT124" s="35"/>
      <c r="AU124" s="35"/>
      <c r="AV124" s="35"/>
      <c r="AW124" s="35"/>
      <c r="AX124" s="35"/>
      <c r="AY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35"/>
      <c r="AR125" s="35"/>
      <c r="AS125" s="35"/>
      <c r="AT125" s="35"/>
      <c r="AU125" s="35"/>
      <c r="AV125" s="35"/>
      <c r="AW125" s="35"/>
      <c r="AX125" s="35"/>
      <c r="AY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  <c r="AT127" s="35"/>
      <c r="AU127" s="35"/>
      <c r="AV127" s="35"/>
      <c r="AW127" s="35"/>
      <c r="AX127" s="35"/>
      <c r="AY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  <c r="AT128" s="35"/>
      <c r="AU128" s="35"/>
      <c r="AV128" s="35"/>
      <c r="AW128" s="35"/>
      <c r="AX128" s="35"/>
      <c r="AY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  <c r="AT129" s="35"/>
      <c r="AU129" s="35"/>
      <c r="AV129" s="35"/>
      <c r="AW129" s="35"/>
      <c r="AX129" s="35"/>
      <c r="AY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  <c r="AU130" s="35"/>
      <c r="AV130" s="35"/>
      <c r="AW130" s="35"/>
      <c r="AX130" s="35"/>
      <c r="AY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  <c r="AT131" s="35"/>
      <c r="AU131" s="35"/>
      <c r="AV131" s="35"/>
      <c r="AW131" s="35"/>
      <c r="AX131" s="35"/>
      <c r="AY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  <c r="AV132" s="35"/>
      <c r="AW132" s="35"/>
      <c r="AX132" s="35"/>
      <c r="AY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  <c r="AV133" s="35"/>
      <c r="AW133" s="35"/>
      <c r="AX133" s="35"/>
      <c r="AY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  <c r="AV134" s="35"/>
      <c r="AW134" s="35"/>
      <c r="AX134" s="35"/>
      <c r="AY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  <c r="AU135" s="35"/>
      <c r="AV135" s="35"/>
      <c r="AW135" s="35"/>
      <c r="AX135" s="35"/>
      <c r="AY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  <c r="AR136" s="35"/>
      <c r="AS136" s="35"/>
      <c r="AT136" s="35"/>
      <c r="AU136" s="35"/>
      <c r="AV136" s="35"/>
      <c r="AW136" s="35"/>
      <c r="AX136" s="35"/>
      <c r="AY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  <c r="AU137" s="35"/>
      <c r="AV137" s="35"/>
      <c r="AW137" s="35"/>
      <c r="AX137" s="35"/>
      <c r="AY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  <c r="AU138" s="35"/>
      <c r="AV138" s="35"/>
      <c r="AW138" s="35"/>
      <c r="AX138" s="35"/>
      <c r="AY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35"/>
      <c r="AV139" s="35"/>
      <c r="AW139" s="35"/>
      <c r="AX139" s="35"/>
      <c r="AY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  <c r="AU140" s="35"/>
      <c r="AV140" s="35"/>
      <c r="AW140" s="35"/>
      <c r="AX140" s="35"/>
      <c r="AY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  <c r="AR141" s="35"/>
      <c r="AS141" s="35"/>
      <c r="AT141" s="35"/>
      <c r="AU141" s="35"/>
      <c r="AV141" s="35"/>
      <c r="AW141" s="35"/>
      <c r="AX141" s="35"/>
      <c r="AY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  <c r="AU143" s="35"/>
      <c r="AV143" s="35"/>
      <c r="AW143" s="35"/>
      <c r="AX143" s="35"/>
      <c r="AY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  <c r="AR144" s="35"/>
      <c r="AS144" s="35"/>
      <c r="AT144" s="35"/>
      <c r="AU144" s="35"/>
      <c r="AV144" s="35"/>
      <c r="AW144" s="35"/>
      <c r="AX144" s="35"/>
      <c r="AY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  <c r="AT145" s="35"/>
      <c r="AU145" s="35"/>
      <c r="AV145" s="35"/>
      <c r="AW145" s="35"/>
      <c r="AX145" s="35"/>
      <c r="AY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/>
      <c r="AU146" s="35"/>
      <c r="AV146" s="35"/>
      <c r="AW146" s="35"/>
      <c r="AX146" s="35"/>
      <c r="AY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  <c r="AT148" s="35"/>
      <c r="AU148" s="35"/>
      <c r="AV148" s="35"/>
      <c r="AW148" s="35"/>
      <c r="AX148" s="35"/>
      <c r="AY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  <c r="AT149" s="35"/>
      <c r="AU149" s="35"/>
      <c r="AV149" s="35"/>
      <c r="AW149" s="35"/>
      <c r="AX149" s="35"/>
      <c r="AY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35"/>
      <c r="AR150" s="35"/>
      <c r="AS150" s="35"/>
      <c r="AT150" s="35"/>
      <c r="AU150" s="35"/>
      <c r="AV150" s="35"/>
      <c r="AW150" s="35"/>
      <c r="AX150" s="35"/>
      <c r="AY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  <c r="AV152" s="35"/>
      <c r="AW152" s="35"/>
      <c r="AX152" s="35"/>
      <c r="AY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  <c r="AV155" s="35"/>
      <c r="AW155" s="35"/>
      <c r="AX155" s="35"/>
      <c r="AY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  <c r="AU157" s="35"/>
      <c r="AV157" s="35"/>
      <c r="AW157" s="35"/>
      <c r="AX157" s="35"/>
      <c r="AY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  <c r="AU158" s="35"/>
      <c r="AV158" s="35"/>
      <c r="AW158" s="35"/>
      <c r="AX158" s="35"/>
      <c r="AY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  <c r="AU159" s="35"/>
      <c r="AV159" s="35"/>
      <c r="AW159" s="35"/>
      <c r="AX159" s="35"/>
      <c r="AY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  <c r="AU161" s="35"/>
      <c r="AV161" s="35"/>
      <c r="AW161" s="35"/>
      <c r="AX161" s="35"/>
      <c r="AY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35"/>
      <c r="AW162" s="35"/>
      <c r="AX162" s="35"/>
      <c r="AY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  <c r="AU163" s="35"/>
      <c r="AV163" s="35"/>
      <c r="AW163" s="35"/>
      <c r="AX163" s="35"/>
      <c r="AY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  <c r="AV166" s="35"/>
      <c r="AW166" s="35"/>
      <c r="AX166" s="35"/>
      <c r="AY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  <c r="AT167" s="35"/>
      <c r="AU167" s="35"/>
      <c r="AV167" s="35"/>
      <c r="AW167" s="35"/>
      <c r="AX167" s="35"/>
      <c r="AY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35"/>
      <c r="AR169" s="35"/>
      <c r="AS169" s="35"/>
      <c r="AT169" s="35"/>
      <c r="AU169" s="35"/>
      <c r="AV169" s="35"/>
      <c r="AW169" s="35"/>
      <c r="AX169" s="35"/>
      <c r="AY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  <c r="AV170" s="35"/>
      <c r="AW170" s="35"/>
      <c r="AX170" s="35"/>
      <c r="AY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35"/>
      <c r="AW174" s="35"/>
      <c r="AX174" s="35"/>
      <c r="AY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  <c r="AU176" s="35"/>
      <c r="AV176" s="35"/>
      <c r="AW176" s="35"/>
      <c r="AX176" s="35"/>
      <c r="AY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35"/>
      <c r="AR177" s="35"/>
      <c r="AS177" s="35"/>
      <c r="AT177" s="35"/>
      <c r="AU177" s="35"/>
      <c r="AV177" s="35"/>
      <c r="AW177" s="35"/>
      <c r="AX177" s="35"/>
      <c r="AY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  <c r="AV179" s="35"/>
      <c r="AW179" s="35"/>
      <c r="AX179" s="35"/>
      <c r="AY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  <c r="AU182" s="35"/>
      <c r="AV182" s="35"/>
      <c r="AW182" s="35"/>
      <c r="AX182" s="35"/>
      <c r="AY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  <c r="AT183" s="35"/>
      <c r="AU183" s="35"/>
      <c r="AV183" s="35"/>
      <c r="AW183" s="35"/>
      <c r="AX183" s="35"/>
      <c r="AY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  <c r="AT185" s="35"/>
      <c r="AU185" s="35"/>
      <c r="AV185" s="35"/>
      <c r="AW185" s="35"/>
      <c r="AX185" s="35"/>
      <c r="AY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  <c r="AT186" s="35"/>
      <c r="AU186" s="35"/>
      <c r="AV186" s="35"/>
      <c r="AW186" s="35"/>
      <c r="AX186" s="35"/>
      <c r="AY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  <c r="AU187" s="35"/>
      <c r="AV187" s="35"/>
      <c r="AW187" s="35"/>
      <c r="AX187" s="35"/>
      <c r="AY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  <c r="AV188" s="35"/>
      <c r="AW188" s="35"/>
      <c r="AX188" s="35"/>
      <c r="AY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  <c r="AV189" s="35"/>
      <c r="AW189" s="35"/>
      <c r="AX189" s="35"/>
      <c r="AY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  <c r="AV190" s="35"/>
      <c r="AW190" s="35"/>
      <c r="AX190" s="35"/>
      <c r="AY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  <c r="AT192" s="35"/>
      <c r="AU192" s="35"/>
      <c r="AV192" s="35"/>
      <c r="AW192" s="35"/>
      <c r="AX192" s="35"/>
      <c r="AY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  <c r="AT193" s="35"/>
      <c r="AU193" s="35"/>
      <c r="AV193" s="35"/>
      <c r="AW193" s="35"/>
      <c r="AX193" s="35"/>
      <c r="AY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  <c r="AT194" s="35"/>
      <c r="AU194" s="35"/>
      <c r="AV194" s="35"/>
      <c r="AW194" s="35"/>
      <c r="AX194" s="35"/>
      <c r="AY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  <c r="AT195" s="35"/>
      <c r="AU195" s="35"/>
      <c r="AV195" s="35"/>
      <c r="AW195" s="35"/>
      <c r="AX195" s="35"/>
      <c r="AY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  <c r="AT196" s="35"/>
      <c r="AU196" s="35"/>
      <c r="AV196" s="35"/>
      <c r="AW196" s="35"/>
      <c r="AX196" s="35"/>
      <c r="AY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  <c r="AU197" s="35"/>
      <c r="AV197" s="35"/>
      <c r="AW197" s="35"/>
      <c r="AX197" s="35"/>
      <c r="AY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  <c r="AU199" s="35"/>
      <c r="AV199" s="35"/>
      <c r="AW199" s="35"/>
      <c r="AX199" s="35"/>
      <c r="AY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  <c r="AT201" s="35"/>
      <c r="AU201" s="35"/>
      <c r="AV201" s="35"/>
      <c r="AW201" s="35"/>
      <c r="AX201" s="35"/>
      <c r="AY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  <c r="AT202" s="35"/>
      <c r="AU202" s="35"/>
      <c r="AV202" s="35"/>
      <c r="AW202" s="35"/>
      <c r="AX202" s="35"/>
      <c r="AY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  <c r="AU205" s="35"/>
      <c r="AV205" s="35"/>
      <c r="AW205" s="35"/>
      <c r="AX205" s="35"/>
      <c r="AY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  <c r="AT206" s="35"/>
      <c r="AU206" s="35"/>
      <c r="AV206" s="35"/>
      <c r="AW206" s="35"/>
      <c r="AX206" s="35"/>
      <c r="AY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  <c r="AT207" s="35"/>
      <c r="AU207" s="35"/>
      <c r="AV207" s="35"/>
      <c r="AW207" s="35"/>
      <c r="AX207" s="35"/>
      <c r="AY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  <c r="AV209" s="35"/>
      <c r="AW209" s="35"/>
      <c r="AX209" s="35"/>
      <c r="AY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  <c r="AV210" s="35"/>
      <c r="AW210" s="35"/>
      <c r="AX210" s="35"/>
      <c r="AY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  <c r="AT213" s="35"/>
      <c r="AU213" s="35"/>
      <c r="AV213" s="35"/>
      <c r="AW213" s="35"/>
      <c r="AX213" s="35"/>
      <c r="AY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  <c r="AT214" s="35"/>
      <c r="AU214" s="35"/>
      <c r="AV214" s="35"/>
      <c r="AW214" s="35"/>
      <c r="AX214" s="35"/>
      <c r="AY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  <c r="AT215" s="35"/>
      <c r="AU215" s="35"/>
      <c r="AV215" s="35"/>
      <c r="AW215" s="35"/>
      <c r="AX215" s="35"/>
      <c r="AY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35"/>
      <c r="AR218" s="35"/>
      <c r="AS218" s="35"/>
      <c r="AT218" s="35"/>
      <c r="AU218" s="35"/>
      <c r="AV218" s="35"/>
      <c r="AW218" s="35"/>
      <c r="AX218" s="35"/>
      <c r="AY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  <c r="AU219" s="35"/>
      <c r="AV219" s="35"/>
      <c r="AW219" s="35"/>
      <c r="AX219" s="35"/>
      <c r="AY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35"/>
      <c r="AR220" s="35"/>
      <c r="AS220" s="35"/>
      <c r="AT220" s="35"/>
      <c r="AU220" s="35"/>
      <c r="AV220" s="35"/>
      <c r="AW220" s="35"/>
      <c r="AX220" s="35"/>
      <c r="AY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  <c r="AV221" s="35"/>
      <c r="AW221" s="35"/>
      <c r="AX221" s="35"/>
      <c r="AY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  <c r="AT222" s="35"/>
      <c r="AU222" s="35"/>
      <c r="AV222" s="35"/>
      <c r="AW222" s="35"/>
      <c r="AX222" s="35"/>
      <c r="AY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  <c r="AT223" s="35"/>
      <c r="AU223" s="35"/>
      <c r="AV223" s="35"/>
      <c r="AW223" s="35"/>
      <c r="AX223" s="35"/>
      <c r="AY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  <c r="AT224" s="35"/>
      <c r="AU224" s="35"/>
      <c r="AV224" s="35"/>
      <c r="AW224" s="35"/>
      <c r="AX224" s="35"/>
      <c r="AY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  <c r="AU225" s="35"/>
      <c r="AV225" s="35"/>
      <c r="AW225" s="35"/>
      <c r="AX225" s="35"/>
      <c r="AY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  <c r="AV227" s="35"/>
      <c r="AW227" s="35"/>
      <c r="AX227" s="35"/>
      <c r="AY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  <c r="AV228" s="35"/>
      <c r="AW228" s="35"/>
      <c r="AX228" s="35"/>
      <c r="AY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  <c r="AV229" s="35"/>
      <c r="AW229" s="35"/>
      <c r="AX229" s="35"/>
      <c r="AY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35"/>
      <c r="AW230" s="35"/>
      <c r="AX230" s="35"/>
      <c r="AY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  <c r="AT231" s="35"/>
      <c r="AU231" s="35"/>
      <c r="AV231" s="35"/>
      <c r="AW231" s="35"/>
      <c r="AX231" s="35"/>
      <c r="AY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  <c r="AT233" s="35"/>
      <c r="AU233" s="35"/>
      <c r="AV233" s="35"/>
      <c r="AW233" s="35"/>
      <c r="AX233" s="35"/>
      <c r="AY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  <c r="AU234" s="35"/>
      <c r="AV234" s="35"/>
      <c r="AW234" s="35"/>
      <c r="AX234" s="35"/>
      <c r="AY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  <c r="AU235" s="35"/>
      <c r="AV235" s="35"/>
      <c r="AW235" s="35"/>
      <c r="AX235" s="35"/>
      <c r="AY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  <c r="AV236" s="35"/>
      <c r="AW236" s="35"/>
      <c r="AX236" s="35"/>
      <c r="AY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  <c r="AU237" s="35"/>
      <c r="AV237" s="35"/>
      <c r="AW237" s="35"/>
      <c r="AX237" s="35"/>
      <c r="AY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  <c r="AV238" s="35"/>
      <c r="AW238" s="35"/>
      <c r="AX238" s="35"/>
      <c r="AY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  <c r="AT240" s="35"/>
      <c r="AU240" s="35"/>
      <c r="AV240" s="35"/>
      <c r="AW240" s="35"/>
      <c r="AX240" s="35"/>
      <c r="AY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  <c r="AT241" s="35"/>
      <c r="AU241" s="35"/>
      <c r="AV241" s="35"/>
      <c r="AW241" s="35"/>
      <c r="AX241" s="35"/>
      <c r="AY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  <c r="AU243" s="35"/>
      <c r="AV243" s="35"/>
      <c r="AW243" s="35"/>
      <c r="AX243" s="35"/>
      <c r="AY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  <c r="AT244" s="35"/>
      <c r="AU244" s="35"/>
      <c r="AV244" s="35"/>
      <c r="AW244" s="35"/>
      <c r="AX244" s="35"/>
      <c r="AY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  <c r="AU245" s="35"/>
      <c r="AV245" s="35"/>
      <c r="AW245" s="35"/>
      <c r="AX245" s="35"/>
      <c r="AY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  <c r="AV246" s="35"/>
      <c r="AW246" s="35"/>
      <c r="AX246" s="35"/>
      <c r="AY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  <c r="AV247" s="35"/>
      <c r="AW247" s="35"/>
      <c r="AX247" s="35"/>
      <c r="AY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  <c r="AV248" s="35"/>
      <c r="AW248" s="35"/>
      <c r="AX248" s="35"/>
      <c r="AY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  <c r="AU249" s="35"/>
      <c r="AV249" s="35"/>
      <c r="AW249" s="35"/>
      <c r="AX249" s="35"/>
      <c r="AY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  <c r="AT250" s="35"/>
      <c r="AU250" s="35"/>
      <c r="AV250" s="35"/>
      <c r="AW250" s="35"/>
      <c r="AX250" s="35"/>
      <c r="AY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  <c r="AT253" s="35"/>
      <c r="AU253" s="35"/>
      <c r="AV253" s="35"/>
      <c r="AW253" s="35"/>
      <c r="AX253" s="35"/>
      <c r="AY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  <c r="AT254" s="35"/>
      <c r="AU254" s="35"/>
      <c r="AV254" s="35"/>
      <c r="AW254" s="35"/>
      <c r="AX254" s="35"/>
      <c r="AY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  <c r="AT255" s="35"/>
      <c r="AU255" s="35"/>
      <c r="AV255" s="35"/>
      <c r="AW255" s="35"/>
      <c r="AX255" s="35"/>
      <c r="AY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  <c r="AT256" s="35"/>
      <c r="AU256" s="35"/>
      <c r="AV256" s="35"/>
      <c r="AW256" s="35"/>
      <c r="AX256" s="35"/>
      <c r="AY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  <c r="AT257" s="35"/>
      <c r="AU257" s="35"/>
      <c r="AV257" s="35"/>
      <c r="AW257" s="35"/>
      <c r="AX257" s="35"/>
      <c r="AY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  <c r="AT258" s="35"/>
      <c r="AU258" s="35"/>
      <c r="AV258" s="35"/>
      <c r="AW258" s="35"/>
      <c r="AX258" s="35"/>
      <c r="AY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  <c r="AT259" s="35"/>
      <c r="AU259" s="35"/>
      <c r="AV259" s="35"/>
      <c r="AW259" s="35"/>
      <c r="AX259" s="35"/>
      <c r="AY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  <c r="AT260" s="35"/>
      <c r="AU260" s="35"/>
      <c r="AV260" s="35"/>
      <c r="AW260" s="35"/>
      <c r="AX260" s="35"/>
      <c r="AY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  <c r="AU261" s="35"/>
      <c r="AV261" s="35"/>
      <c r="AW261" s="35"/>
      <c r="AX261" s="35"/>
      <c r="AY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  <c r="AT262" s="35"/>
      <c r="AU262" s="35"/>
      <c r="AV262" s="35"/>
      <c r="AW262" s="35"/>
      <c r="AX262" s="35"/>
      <c r="AY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  <c r="AT263" s="35"/>
      <c r="AU263" s="35"/>
      <c r="AV263" s="35"/>
      <c r="AW263" s="35"/>
      <c r="AX263" s="35"/>
      <c r="AY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  <c r="AV264" s="35"/>
      <c r="AW264" s="35"/>
      <c r="AX264" s="35"/>
      <c r="AY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  <c r="AV265" s="35"/>
      <c r="AW265" s="35"/>
      <c r="AX265" s="35"/>
      <c r="AY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  <c r="AV266" s="35"/>
      <c r="AW266" s="35"/>
      <c r="AX266" s="35"/>
      <c r="AY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  <c r="AV267" s="35"/>
      <c r="AW267" s="35"/>
      <c r="AX267" s="35"/>
      <c r="AY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  <c r="AT269" s="35"/>
      <c r="AU269" s="35"/>
      <c r="AV269" s="35"/>
      <c r="AW269" s="35"/>
      <c r="AX269" s="35"/>
      <c r="AY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  <c r="AT270" s="35"/>
      <c r="AU270" s="35"/>
      <c r="AV270" s="35"/>
      <c r="AW270" s="35"/>
      <c r="AX270" s="35"/>
      <c r="AY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  <c r="AT273" s="35"/>
      <c r="AU273" s="35"/>
      <c r="AV273" s="35"/>
      <c r="AW273" s="35"/>
      <c r="AX273" s="35"/>
      <c r="AY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/>
      <c r="AS276" s="35"/>
      <c r="AT276" s="35"/>
      <c r="AU276" s="35"/>
      <c r="AV276" s="35"/>
      <c r="AW276" s="35"/>
      <c r="AX276" s="35"/>
      <c r="AY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/>
      <c r="AS277" s="35"/>
      <c r="AT277" s="35"/>
      <c r="AU277" s="35"/>
      <c r="AV277" s="35"/>
      <c r="AW277" s="35"/>
      <c r="AX277" s="35"/>
      <c r="AY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  <c r="AT279" s="35"/>
      <c r="AU279" s="35"/>
      <c r="AV279" s="35"/>
      <c r="AW279" s="35"/>
      <c r="AX279" s="35"/>
      <c r="AY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  <c r="AT280" s="35"/>
      <c r="AU280" s="35"/>
      <c r="AV280" s="35"/>
      <c r="AW280" s="35"/>
      <c r="AX280" s="35"/>
      <c r="AY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  <c r="AU281" s="35"/>
      <c r="AV281" s="35"/>
      <c r="AW281" s="35"/>
      <c r="AX281" s="35"/>
      <c r="AY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  <c r="AT282" s="35"/>
      <c r="AU282" s="35"/>
      <c r="AV282" s="35"/>
      <c r="AW282" s="35"/>
      <c r="AX282" s="35"/>
      <c r="AY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35"/>
      <c r="AR283" s="35"/>
      <c r="AS283" s="35"/>
      <c r="AT283" s="35"/>
      <c r="AU283" s="35"/>
      <c r="AV283" s="35"/>
      <c r="AW283" s="35"/>
      <c r="AX283" s="35"/>
      <c r="AY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  <c r="AV284" s="35"/>
      <c r="AW284" s="35"/>
      <c r="AX284" s="35"/>
      <c r="AY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  <c r="AV285" s="35"/>
      <c r="AW285" s="35"/>
      <c r="AX285" s="35"/>
      <c r="AY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  <c r="AV286" s="35"/>
      <c r="AW286" s="35"/>
      <c r="AX286" s="35"/>
      <c r="AY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  <c r="AU287" s="35"/>
      <c r="AV287" s="35"/>
      <c r="AW287" s="35"/>
      <c r="AX287" s="35"/>
      <c r="AY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  <c r="AU288" s="35"/>
      <c r="AV288" s="35"/>
      <c r="AW288" s="35"/>
      <c r="AX288" s="35"/>
      <c r="AY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  <c r="AT289" s="35"/>
      <c r="AU289" s="35"/>
      <c r="AV289" s="35"/>
      <c r="AW289" s="35"/>
      <c r="AX289" s="35"/>
      <c r="AY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  <c r="AT290" s="35"/>
      <c r="AU290" s="35"/>
      <c r="AV290" s="35"/>
      <c r="AW290" s="35"/>
      <c r="AX290" s="35"/>
      <c r="AY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  <c r="AT291" s="35"/>
      <c r="AU291" s="35"/>
      <c r="AV291" s="35"/>
      <c r="AW291" s="35"/>
      <c r="AX291" s="35"/>
      <c r="AY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  <c r="AU292" s="35"/>
      <c r="AV292" s="35"/>
      <c r="AW292" s="35"/>
      <c r="AX292" s="35"/>
      <c r="AY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  <c r="AU293" s="35"/>
      <c r="AV293" s="35"/>
      <c r="AW293" s="35"/>
      <c r="AX293" s="35"/>
      <c r="AY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  <c r="AU294" s="35"/>
      <c r="AV294" s="35"/>
      <c r="AW294" s="35"/>
      <c r="AX294" s="35"/>
      <c r="AY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35"/>
      <c r="AR295" s="35"/>
      <c r="AS295" s="35"/>
      <c r="AT295" s="35"/>
      <c r="AU295" s="35"/>
      <c r="AV295" s="35"/>
      <c r="AW295" s="35"/>
      <c r="AX295" s="35"/>
      <c r="AY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35"/>
      <c r="AR296" s="35"/>
      <c r="AS296" s="35"/>
      <c r="AT296" s="35"/>
      <c r="AU296" s="35"/>
      <c r="AV296" s="35"/>
      <c r="AW296" s="35"/>
      <c r="AX296" s="35"/>
      <c r="AY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35"/>
      <c r="AR297" s="35"/>
      <c r="AS297" s="35"/>
      <c r="AT297" s="35"/>
      <c r="AU297" s="35"/>
      <c r="AV297" s="35"/>
      <c r="AW297" s="35"/>
      <c r="AX297" s="35"/>
      <c r="AY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  <c r="AU299" s="35"/>
      <c r="AV299" s="35"/>
      <c r="AW299" s="35"/>
      <c r="AX299" s="35"/>
      <c r="AY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  <c r="AT300" s="35"/>
      <c r="AU300" s="35"/>
      <c r="AV300" s="35"/>
      <c r="AW300" s="35"/>
      <c r="AX300" s="35"/>
      <c r="AY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  <c r="AT301" s="35"/>
      <c r="AU301" s="35"/>
      <c r="AV301" s="35"/>
      <c r="AW301" s="35"/>
      <c r="AX301" s="35"/>
      <c r="AY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  <c r="AT302" s="35"/>
      <c r="AU302" s="35"/>
      <c r="AV302" s="35"/>
      <c r="AW302" s="35"/>
      <c r="AX302" s="35"/>
      <c r="AY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  <c r="AV303" s="35"/>
      <c r="AW303" s="35"/>
      <c r="AX303" s="35"/>
      <c r="AY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  <c r="AV304" s="35"/>
      <c r="AW304" s="35"/>
      <c r="AX304" s="35"/>
      <c r="AY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  <c r="AV305" s="35"/>
      <c r="AW305" s="35"/>
      <c r="AX305" s="35"/>
      <c r="AY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  <c r="AT306" s="35"/>
      <c r="AU306" s="35"/>
      <c r="AV306" s="35"/>
      <c r="AW306" s="35"/>
      <c r="AX306" s="35"/>
      <c r="AY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  <c r="AU307" s="35"/>
      <c r="AV307" s="35"/>
      <c r="AW307" s="35"/>
      <c r="AX307" s="35"/>
      <c r="AY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  <c r="AT309" s="35"/>
      <c r="AU309" s="35"/>
      <c r="AV309" s="35"/>
      <c r="AW309" s="35"/>
      <c r="AX309" s="35"/>
      <c r="AY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35"/>
      <c r="AR311" s="35"/>
      <c r="AS311" s="35"/>
      <c r="AT311" s="35"/>
      <c r="AU311" s="35"/>
      <c r="AV311" s="35"/>
      <c r="AW311" s="35"/>
      <c r="AX311" s="35"/>
      <c r="AY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35"/>
      <c r="AR312" s="35"/>
      <c r="AS312" s="35"/>
      <c r="AT312" s="35"/>
      <c r="AU312" s="35"/>
      <c r="AV312" s="35"/>
      <c r="AW312" s="35"/>
      <c r="AX312" s="35"/>
      <c r="AY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  <c r="AT313" s="35"/>
      <c r="AU313" s="35"/>
      <c r="AV313" s="35"/>
      <c r="AW313" s="35"/>
      <c r="AX313" s="35"/>
      <c r="AY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  <c r="AT314" s="35"/>
      <c r="AU314" s="35"/>
      <c r="AV314" s="35"/>
      <c r="AW314" s="35"/>
      <c r="AX314" s="35"/>
      <c r="AY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35"/>
      <c r="AR315" s="35"/>
      <c r="AS315" s="35"/>
      <c r="AT315" s="35"/>
      <c r="AU315" s="35"/>
      <c r="AV315" s="35"/>
      <c r="AW315" s="35"/>
      <c r="AX315" s="35"/>
      <c r="AY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  <c r="AT316" s="35"/>
      <c r="AU316" s="35"/>
      <c r="AV316" s="35"/>
      <c r="AW316" s="35"/>
      <c r="AX316" s="35"/>
      <c r="AY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35"/>
      <c r="AR317" s="35"/>
      <c r="AS317" s="35"/>
      <c r="AT317" s="35"/>
      <c r="AU317" s="35"/>
      <c r="AV317" s="35"/>
      <c r="AW317" s="35"/>
      <c r="AX317" s="35"/>
      <c r="AY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  <c r="AT318" s="35"/>
      <c r="AU318" s="35"/>
      <c r="AV318" s="35"/>
      <c r="AW318" s="35"/>
      <c r="AX318" s="35"/>
      <c r="AY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35"/>
      <c r="AR319" s="35"/>
      <c r="AS319" s="35"/>
      <c r="AT319" s="35"/>
      <c r="AU319" s="35"/>
      <c r="AV319" s="35"/>
      <c r="AW319" s="35"/>
      <c r="AX319" s="35"/>
      <c r="AY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35"/>
      <c r="AR320" s="35"/>
      <c r="AS320" s="35"/>
      <c r="AT320" s="35"/>
      <c r="AU320" s="35"/>
      <c r="AV320" s="35"/>
      <c r="AW320" s="35"/>
      <c r="AX320" s="35"/>
      <c r="AY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35"/>
      <c r="AR322" s="35"/>
      <c r="AS322" s="35"/>
      <c r="AT322" s="35"/>
      <c r="AU322" s="35"/>
      <c r="AV322" s="35"/>
      <c r="AW322" s="35"/>
      <c r="AX322" s="35"/>
      <c r="AY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35"/>
      <c r="AR323" s="35"/>
      <c r="AS323" s="35"/>
      <c r="AT323" s="35"/>
      <c r="AU323" s="35"/>
      <c r="AV323" s="35"/>
      <c r="AW323" s="35"/>
      <c r="AX323" s="35"/>
      <c r="AY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35"/>
      <c r="AR324" s="35"/>
      <c r="AS324" s="35"/>
      <c r="AT324" s="35"/>
      <c r="AU324" s="35"/>
      <c r="AV324" s="35"/>
      <c r="AW324" s="35"/>
      <c r="AX324" s="35"/>
      <c r="AY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35"/>
      <c r="AR325" s="35"/>
      <c r="AS325" s="35"/>
      <c r="AT325" s="35"/>
      <c r="AU325" s="35"/>
      <c r="AV325" s="35"/>
      <c r="AW325" s="35"/>
      <c r="AX325" s="35"/>
      <c r="AY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  <c r="AV326" s="35"/>
      <c r="AW326" s="35"/>
      <c r="AX326" s="35"/>
      <c r="AY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35"/>
      <c r="AR327" s="35"/>
      <c r="AS327" s="35"/>
      <c r="AT327" s="35"/>
      <c r="AU327" s="35"/>
      <c r="AV327" s="35"/>
      <c r="AW327" s="35"/>
      <c r="AX327" s="35"/>
      <c r="AY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35"/>
      <c r="AR328" s="35"/>
      <c r="AS328" s="35"/>
      <c r="AT328" s="35"/>
      <c r="AU328" s="35"/>
      <c r="AV328" s="35"/>
      <c r="AW328" s="35"/>
      <c r="AX328" s="35"/>
      <c r="AY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35"/>
      <c r="AR329" s="35"/>
      <c r="AS329" s="35"/>
      <c r="AT329" s="35"/>
      <c r="AU329" s="35"/>
      <c r="AV329" s="35"/>
      <c r="AW329" s="35"/>
      <c r="AX329" s="35"/>
      <c r="AY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35"/>
      <c r="AR330" s="35"/>
      <c r="AS330" s="35"/>
      <c r="AT330" s="35"/>
      <c r="AU330" s="35"/>
      <c r="AV330" s="35"/>
      <c r="AW330" s="35"/>
      <c r="AX330" s="35"/>
      <c r="AY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35"/>
      <c r="AR331" s="35"/>
      <c r="AS331" s="35"/>
      <c r="AT331" s="35"/>
      <c r="AU331" s="35"/>
      <c r="AV331" s="35"/>
      <c r="AW331" s="35"/>
      <c r="AX331" s="35"/>
      <c r="AY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35"/>
      <c r="AR332" s="35"/>
      <c r="AS332" s="35"/>
      <c r="AT332" s="35"/>
      <c r="AU332" s="35"/>
      <c r="AV332" s="35"/>
      <c r="AW332" s="35"/>
      <c r="AX332" s="35"/>
      <c r="AY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35"/>
      <c r="AR333" s="35"/>
      <c r="AS333" s="35"/>
      <c r="AT333" s="35"/>
      <c r="AU333" s="35"/>
      <c r="AV333" s="35"/>
      <c r="AW333" s="35"/>
      <c r="AX333" s="35"/>
      <c r="AY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  <c r="AT334" s="35"/>
      <c r="AU334" s="35"/>
      <c r="AV334" s="35"/>
      <c r="AW334" s="35"/>
      <c r="AX334" s="35"/>
      <c r="AY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  <c r="AT335" s="35"/>
      <c r="AU335" s="35"/>
      <c r="AV335" s="35"/>
      <c r="AW335" s="35"/>
      <c r="AX335" s="35"/>
      <c r="AY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35"/>
      <c r="AR337" s="35"/>
      <c r="AS337" s="35"/>
      <c r="AT337" s="35"/>
      <c r="AU337" s="35"/>
      <c r="AV337" s="35"/>
      <c r="AW337" s="35"/>
      <c r="AX337" s="35"/>
      <c r="AY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35"/>
      <c r="AR338" s="35"/>
      <c r="AS338" s="35"/>
      <c r="AT338" s="35"/>
      <c r="AU338" s="35"/>
      <c r="AV338" s="35"/>
      <c r="AW338" s="35"/>
      <c r="AX338" s="35"/>
      <c r="AY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35"/>
      <c r="AR339" s="35"/>
      <c r="AS339" s="35"/>
      <c r="AT339" s="35"/>
      <c r="AU339" s="35"/>
      <c r="AV339" s="35"/>
      <c r="AW339" s="35"/>
      <c r="AX339" s="35"/>
      <c r="AY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35"/>
      <c r="AR340" s="35"/>
      <c r="AS340" s="35"/>
      <c r="AT340" s="35"/>
      <c r="AU340" s="35"/>
      <c r="AV340" s="35"/>
      <c r="AW340" s="35"/>
      <c r="AX340" s="35"/>
      <c r="AY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35"/>
      <c r="AR341" s="35"/>
      <c r="AS341" s="35"/>
      <c r="AT341" s="35"/>
      <c r="AU341" s="35"/>
      <c r="AV341" s="35"/>
      <c r="AW341" s="35"/>
      <c r="AX341" s="35"/>
      <c r="AY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35"/>
      <c r="AR342" s="35"/>
      <c r="AS342" s="35"/>
      <c r="AT342" s="35"/>
      <c r="AU342" s="35"/>
      <c r="AV342" s="35"/>
      <c r="AW342" s="35"/>
      <c r="AX342" s="35"/>
      <c r="AY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35"/>
      <c r="AR343" s="35"/>
      <c r="AS343" s="35"/>
      <c r="AT343" s="35"/>
      <c r="AU343" s="35"/>
      <c r="AV343" s="35"/>
      <c r="AW343" s="35"/>
      <c r="AX343" s="35"/>
      <c r="AY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35"/>
      <c r="AR344" s="35"/>
      <c r="AS344" s="35"/>
      <c r="AT344" s="35"/>
      <c r="AU344" s="35"/>
      <c r="AV344" s="35"/>
      <c r="AW344" s="35"/>
      <c r="AX344" s="35"/>
      <c r="AY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35"/>
      <c r="AR345" s="35"/>
      <c r="AS345" s="35"/>
      <c r="AT345" s="35"/>
      <c r="AU345" s="35"/>
      <c r="AV345" s="35"/>
      <c r="AW345" s="35"/>
      <c r="AX345" s="35"/>
      <c r="AY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35"/>
      <c r="AR346" s="35"/>
      <c r="AS346" s="35"/>
      <c r="AT346" s="35"/>
      <c r="AU346" s="35"/>
      <c r="AV346" s="35"/>
      <c r="AW346" s="35"/>
      <c r="AX346" s="35"/>
      <c r="AY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35"/>
      <c r="AR348" s="35"/>
      <c r="AS348" s="35"/>
      <c r="AT348" s="35"/>
      <c r="AU348" s="35"/>
      <c r="AV348" s="35"/>
      <c r="AW348" s="35"/>
      <c r="AX348" s="35"/>
      <c r="AY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35"/>
      <c r="AR349" s="35"/>
      <c r="AS349" s="35"/>
      <c r="AT349" s="35"/>
      <c r="AU349" s="35"/>
      <c r="AV349" s="35"/>
      <c r="AW349" s="35"/>
      <c r="AX349" s="35"/>
      <c r="AY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35"/>
      <c r="AR352" s="35"/>
      <c r="AS352" s="35"/>
      <c r="AT352" s="35"/>
      <c r="AU352" s="35"/>
      <c r="AV352" s="35"/>
      <c r="AW352" s="35"/>
      <c r="AX352" s="35"/>
      <c r="AY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35"/>
      <c r="AR353" s="35"/>
      <c r="AS353" s="35"/>
      <c r="AT353" s="35"/>
      <c r="AU353" s="35"/>
      <c r="AV353" s="35"/>
      <c r="AW353" s="35"/>
      <c r="AX353" s="35"/>
      <c r="AY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35"/>
      <c r="AR354" s="35"/>
      <c r="AS354" s="35"/>
      <c r="AT354" s="35"/>
      <c r="AU354" s="35"/>
      <c r="AV354" s="35"/>
      <c r="AW354" s="35"/>
      <c r="AX354" s="35"/>
      <c r="AY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35"/>
      <c r="AR356" s="35"/>
      <c r="AS356" s="35"/>
      <c r="AT356" s="35"/>
      <c r="AU356" s="35"/>
      <c r="AV356" s="35"/>
      <c r="AW356" s="35"/>
      <c r="AX356" s="35"/>
      <c r="AY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35"/>
      <c r="AR359" s="35"/>
      <c r="AS359" s="35"/>
      <c r="AT359" s="35"/>
      <c r="AU359" s="35"/>
      <c r="AV359" s="35"/>
      <c r="AW359" s="35"/>
      <c r="AX359" s="35"/>
      <c r="AY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35"/>
      <c r="AR361" s="35"/>
      <c r="AS361" s="35"/>
      <c r="AT361" s="35"/>
      <c r="AU361" s="35"/>
      <c r="AV361" s="35"/>
      <c r="AW361" s="35"/>
      <c r="AX361" s="35"/>
      <c r="AY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35"/>
      <c r="AR362" s="35"/>
      <c r="AS362" s="35"/>
      <c r="AT362" s="35"/>
      <c r="AU362" s="35"/>
      <c r="AV362" s="35"/>
      <c r="AW362" s="35"/>
      <c r="AX362" s="35"/>
      <c r="AY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35"/>
      <c r="AR363" s="35"/>
      <c r="AS363" s="35"/>
      <c r="AT363" s="35"/>
      <c r="AU363" s="35"/>
      <c r="AV363" s="35"/>
      <c r="AW363" s="35"/>
      <c r="AX363" s="35"/>
      <c r="AY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35"/>
      <c r="AR364" s="35"/>
      <c r="AS364" s="35"/>
      <c r="AT364" s="35"/>
      <c r="AU364" s="35"/>
      <c r="AV364" s="35"/>
      <c r="AW364" s="35"/>
      <c r="AX364" s="35"/>
      <c r="AY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35"/>
      <c r="AR366" s="35"/>
      <c r="AS366" s="35"/>
      <c r="AT366" s="35"/>
      <c r="AU366" s="35"/>
      <c r="AV366" s="35"/>
      <c r="AW366" s="35"/>
      <c r="AX366" s="35"/>
      <c r="AY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35"/>
      <c r="AR367" s="35"/>
      <c r="AS367" s="35"/>
      <c r="AT367" s="35"/>
      <c r="AU367" s="35"/>
      <c r="AV367" s="35"/>
      <c r="AW367" s="35"/>
      <c r="AX367" s="35"/>
      <c r="AY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35"/>
      <c r="AR368" s="35"/>
      <c r="AS368" s="35"/>
      <c r="AT368" s="35"/>
      <c r="AU368" s="35"/>
      <c r="AV368" s="35"/>
      <c r="AW368" s="35"/>
      <c r="AX368" s="35"/>
      <c r="AY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35"/>
      <c r="AR369" s="35"/>
      <c r="AS369" s="35"/>
      <c r="AT369" s="35"/>
      <c r="AU369" s="35"/>
      <c r="AV369" s="35"/>
      <c r="AW369" s="35"/>
      <c r="AX369" s="35"/>
      <c r="AY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  <c r="AQ370" s="35"/>
      <c r="AR370" s="35"/>
      <c r="AS370" s="35"/>
      <c r="AT370" s="35"/>
      <c r="AU370" s="35"/>
      <c r="AV370" s="35"/>
      <c r="AW370" s="35"/>
      <c r="AX370" s="35"/>
      <c r="AY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35"/>
      <c r="AR371" s="35"/>
      <c r="AS371" s="35"/>
      <c r="AT371" s="35"/>
      <c r="AU371" s="35"/>
      <c r="AV371" s="35"/>
      <c r="AW371" s="35"/>
      <c r="AX371" s="35"/>
      <c r="AY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35"/>
      <c r="AR372" s="35"/>
      <c r="AS372" s="35"/>
      <c r="AT372" s="35"/>
      <c r="AU372" s="35"/>
      <c r="AV372" s="35"/>
      <c r="AW372" s="35"/>
      <c r="AX372" s="35"/>
      <c r="AY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35"/>
      <c r="AR373" s="35"/>
      <c r="AS373" s="35"/>
      <c r="AT373" s="35"/>
      <c r="AU373" s="35"/>
      <c r="AV373" s="35"/>
      <c r="AW373" s="35"/>
      <c r="AX373" s="35"/>
      <c r="AY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35"/>
      <c r="AR374" s="35"/>
      <c r="AS374" s="35"/>
      <c r="AT374" s="35"/>
      <c r="AU374" s="35"/>
      <c r="AV374" s="35"/>
      <c r="AW374" s="35"/>
      <c r="AX374" s="35"/>
      <c r="AY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35"/>
      <c r="AR376" s="35"/>
      <c r="AS376" s="35"/>
      <c r="AT376" s="35"/>
      <c r="AU376" s="35"/>
      <c r="AV376" s="35"/>
      <c r="AW376" s="35"/>
      <c r="AX376" s="35"/>
      <c r="AY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35"/>
      <c r="AR377" s="35"/>
      <c r="AS377" s="35"/>
      <c r="AT377" s="35"/>
      <c r="AU377" s="35"/>
      <c r="AV377" s="35"/>
      <c r="AW377" s="35"/>
      <c r="AX377" s="35"/>
      <c r="AY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35"/>
      <c r="AR378" s="35"/>
      <c r="AS378" s="35"/>
      <c r="AT378" s="35"/>
      <c r="AU378" s="35"/>
      <c r="AV378" s="35"/>
      <c r="AW378" s="35"/>
      <c r="AX378" s="35"/>
      <c r="AY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35"/>
      <c r="AR380" s="35"/>
      <c r="AS380" s="35"/>
      <c r="AT380" s="35"/>
      <c r="AU380" s="35"/>
      <c r="AV380" s="35"/>
      <c r="AW380" s="35"/>
      <c r="AX380" s="35"/>
      <c r="AY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35"/>
      <c r="AR382" s="35"/>
      <c r="AS382" s="35"/>
      <c r="AT382" s="35"/>
      <c r="AU382" s="35"/>
      <c r="AV382" s="35"/>
      <c r="AW382" s="35"/>
      <c r="AX382" s="35"/>
      <c r="AY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35"/>
      <c r="AR384" s="35"/>
      <c r="AS384" s="35"/>
      <c r="AT384" s="35"/>
      <c r="AU384" s="35"/>
      <c r="AV384" s="35"/>
      <c r="AW384" s="35"/>
      <c r="AX384" s="35"/>
      <c r="AY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35"/>
      <c r="AR385" s="35"/>
      <c r="AS385" s="35"/>
      <c r="AT385" s="35"/>
      <c r="AU385" s="35"/>
      <c r="AV385" s="35"/>
      <c r="AW385" s="35"/>
      <c r="AX385" s="35"/>
      <c r="AY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35"/>
      <c r="AR386" s="35"/>
      <c r="AS386" s="35"/>
      <c r="AT386" s="35"/>
      <c r="AU386" s="35"/>
      <c r="AV386" s="35"/>
      <c r="AW386" s="35"/>
      <c r="AX386" s="35"/>
      <c r="AY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35"/>
      <c r="AR387" s="35"/>
      <c r="AS387" s="35"/>
      <c r="AT387" s="35"/>
      <c r="AU387" s="35"/>
      <c r="AV387" s="35"/>
      <c r="AW387" s="35"/>
      <c r="AX387" s="35"/>
      <c r="AY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35"/>
      <c r="AR388" s="35"/>
      <c r="AS388" s="35"/>
      <c r="AT388" s="35"/>
      <c r="AU388" s="35"/>
      <c r="AV388" s="35"/>
      <c r="AW388" s="35"/>
      <c r="AX388" s="35"/>
      <c r="AY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35"/>
      <c r="AR389" s="35"/>
      <c r="AS389" s="35"/>
      <c r="AT389" s="35"/>
      <c r="AU389" s="35"/>
      <c r="AV389" s="35"/>
      <c r="AW389" s="35"/>
      <c r="AX389" s="35"/>
      <c r="AY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35"/>
      <c r="AR390" s="35"/>
      <c r="AS390" s="35"/>
      <c r="AT390" s="35"/>
      <c r="AU390" s="35"/>
      <c r="AV390" s="35"/>
      <c r="AW390" s="35"/>
      <c r="AX390" s="35"/>
      <c r="AY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35"/>
      <c r="AR392" s="35"/>
      <c r="AS392" s="35"/>
      <c r="AT392" s="35"/>
      <c r="AU392" s="35"/>
      <c r="AV392" s="35"/>
      <c r="AW392" s="35"/>
      <c r="AX392" s="35"/>
      <c r="AY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35"/>
      <c r="AR393" s="35"/>
      <c r="AS393" s="35"/>
      <c r="AT393" s="35"/>
      <c r="AU393" s="35"/>
      <c r="AV393" s="35"/>
      <c r="AW393" s="35"/>
      <c r="AX393" s="35"/>
      <c r="AY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35"/>
      <c r="AR394" s="35"/>
      <c r="AS394" s="35"/>
      <c r="AT394" s="35"/>
      <c r="AU394" s="35"/>
      <c r="AV394" s="35"/>
      <c r="AW394" s="35"/>
      <c r="AX394" s="35"/>
      <c r="AY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  <c r="AQ395" s="35"/>
      <c r="AR395" s="35"/>
      <c r="AS395" s="35"/>
      <c r="AT395" s="35"/>
      <c r="AU395" s="35"/>
      <c r="AV395" s="35"/>
      <c r="AW395" s="35"/>
      <c r="AX395" s="35"/>
      <c r="AY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  <c r="AQ397" s="35"/>
      <c r="AR397" s="35"/>
      <c r="AS397" s="35"/>
      <c r="AT397" s="35"/>
      <c r="AU397" s="35"/>
      <c r="AV397" s="35"/>
      <c r="AW397" s="35"/>
      <c r="AX397" s="35"/>
      <c r="AY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  <c r="AQ398" s="35"/>
      <c r="AR398" s="35"/>
      <c r="AS398" s="35"/>
      <c r="AT398" s="35"/>
      <c r="AU398" s="35"/>
      <c r="AV398" s="35"/>
      <c r="AW398" s="35"/>
      <c r="AX398" s="35"/>
      <c r="AY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  <c r="AQ399" s="35"/>
      <c r="AR399" s="35"/>
      <c r="AS399" s="35"/>
      <c r="AT399" s="35"/>
      <c r="AU399" s="35"/>
      <c r="AV399" s="35"/>
      <c r="AW399" s="35"/>
      <c r="AX399" s="35"/>
      <c r="AY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  <c r="AQ400" s="35"/>
      <c r="AR400" s="35"/>
      <c r="AS400" s="35"/>
      <c r="AT400" s="35"/>
      <c r="AU400" s="35"/>
      <c r="AV400" s="35"/>
      <c r="AW400" s="35"/>
      <c r="AX400" s="35"/>
      <c r="AY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  <c r="AQ401" s="35"/>
      <c r="AR401" s="35"/>
      <c r="AS401" s="35"/>
      <c r="AT401" s="35"/>
      <c r="AU401" s="35"/>
      <c r="AV401" s="35"/>
      <c r="AW401" s="35"/>
      <c r="AX401" s="35"/>
      <c r="AY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  <c r="AQ403" s="35"/>
      <c r="AR403" s="35"/>
      <c r="AS403" s="35"/>
      <c r="AT403" s="35"/>
      <c r="AU403" s="35"/>
      <c r="AV403" s="35"/>
      <c r="AW403" s="35"/>
      <c r="AX403" s="35"/>
      <c r="AY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  <c r="AQ404" s="35"/>
      <c r="AR404" s="35"/>
      <c r="AS404" s="35"/>
      <c r="AT404" s="35"/>
      <c r="AU404" s="35"/>
      <c r="AV404" s="35"/>
      <c r="AW404" s="35"/>
      <c r="AX404" s="35"/>
      <c r="AY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  <c r="AQ405" s="35"/>
      <c r="AR405" s="35"/>
      <c r="AS405" s="35"/>
      <c r="AT405" s="35"/>
      <c r="AU405" s="35"/>
      <c r="AV405" s="35"/>
      <c r="AW405" s="35"/>
      <c r="AX405" s="35"/>
      <c r="AY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  <c r="AQ406" s="35"/>
      <c r="AR406" s="35"/>
      <c r="AS406" s="35"/>
      <c r="AT406" s="35"/>
      <c r="AU406" s="35"/>
      <c r="AV406" s="35"/>
      <c r="AW406" s="35"/>
      <c r="AX406" s="35"/>
      <c r="AY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  <c r="AQ407" s="35"/>
      <c r="AR407" s="35"/>
      <c r="AS407" s="35"/>
      <c r="AT407" s="35"/>
      <c r="AU407" s="35"/>
      <c r="AV407" s="35"/>
      <c r="AW407" s="35"/>
      <c r="AX407" s="35"/>
      <c r="AY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  <c r="AQ408" s="35"/>
      <c r="AR408" s="35"/>
      <c r="AS408" s="35"/>
      <c r="AT408" s="35"/>
      <c r="AU408" s="35"/>
      <c r="AV408" s="35"/>
      <c r="AW408" s="35"/>
      <c r="AX408" s="35"/>
      <c r="AY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  <c r="AQ409" s="35"/>
      <c r="AR409" s="35"/>
      <c r="AS409" s="35"/>
      <c r="AT409" s="35"/>
      <c r="AU409" s="35"/>
      <c r="AV409" s="35"/>
      <c r="AW409" s="35"/>
      <c r="AX409" s="35"/>
      <c r="AY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  <c r="AQ410" s="35"/>
      <c r="AR410" s="35"/>
      <c r="AS410" s="35"/>
      <c r="AT410" s="35"/>
      <c r="AU410" s="35"/>
      <c r="AV410" s="35"/>
      <c r="AW410" s="35"/>
      <c r="AX410" s="35"/>
      <c r="AY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  <c r="AQ411" s="35"/>
      <c r="AR411" s="35"/>
      <c r="AS411" s="35"/>
      <c r="AT411" s="35"/>
      <c r="AU411" s="35"/>
      <c r="AV411" s="35"/>
      <c r="AW411" s="35"/>
      <c r="AX411" s="35"/>
      <c r="AY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  <c r="AQ412" s="35"/>
      <c r="AR412" s="35"/>
      <c r="AS412" s="35"/>
      <c r="AT412" s="35"/>
      <c r="AU412" s="35"/>
      <c r="AV412" s="35"/>
      <c r="AW412" s="35"/>
      <c r="AX412" s="35"/>
      <c r="AY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  <c r="AQ413" s="35"/>
      <c r="AR413" s="35"/>
      <c r="AS413" s="35"/>
      <c r="AT413" s="35"/>
      <c r="AU413" s="35"/>
      <c r="AV413" s="35"/>
      <c r="AW413" s="35"/>
      <c r="AX413" s="35"/>
      <c r="AY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  <c r="AQ414" s="35"/>
      <c r="AR414" s="35"/>
      <c r="AS414" s="35"/>
      <c r="AT414" s="35"/>
      <c r="AU414" s="35"/>
      <c r="AV414" s="35"/>
      <c r="AW414" s="35"/>
      <c r="AX414" s="35"/>
      <c r="AY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  <c r="AQ415" s="35"/>
      <c r="AR415" s="35"/>
      <c r="AS415" s="35"/>
      <c r="AT415" s="35"/>
      <c r="AU415" s="35"/>
      <c r="AV415" s="35"/>
      <c r="AW415" s="35"/>
      <c r="AX415" s="35"/>
      <c r="AY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  <c r="AQ416" s="35"/>
      <c r="AR416" s="35"/>
      <c r="AS416" s="35"/>
      <c r="AT416" s="35"/>
      <c r="AU416" s="35"/>
      <c r="AV416" s="35"/>
      <c r="AW416" s="35"/>
      <c r="AX416" s="35"/>
      <c r="AY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  <c r="AQ417" s="35"/>
      <c r="AR417" s="35"/>
      <c r="AS417" s="35"/>
      <c r="AT417" s="35"/>
      <c r="AU417" s="35"/>
      <c r="AV417" s="35"/>
      <c r="AW417" s="35"/>
      <c r="AX417" s="35"/>
      <c r="AY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  <c r="AQ418" s="35"/>
      <c r="AR418" s="35"/>
      <c r="AS418" s="35"/>
      <c r="AT418" s="35"/>
      <c r="AU418" s="35"/>
      <c r="AV418" s="35"/>
      <c r="AW418" s="35"/>
      <c r="AX418" s="35"/>
      <c r="AY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  <c r="AQ419" s="35"/>
      <c r="AR419" s="35"/>
      <c r="AS419" s="35"/>
      <c r="AT419" s="35"/>
      <c r="AU419" s="35"/>
      <c r="AV419" s="35"/>
      <c r="AW419" s="35"/>
      <c r="AX419" s="35"/>
      <c r="AY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  <c r="AQ420" s="35"/>
      <c r="AR420" s="35"/>
      <c r="AS420" s="35"/>
      <c r="AT420" s="35"/>
      <c r="AU420" s="35"/>
      <c r="AV420" s="35"/>
      <c r="AW420" s="35"/>
      <c r="AX420" s="35"/>
      <c r="AY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  <c r="AQ421" s="35"/>
      <c r="AR421" s="35"/>
      <c r="AS421" s="35"/>
      <c r="AT421" s="35"/>
      <c r="AU421" s="35"/>
      <c r="AV421" s="35"/>
      <c r="AW421" s="35"/>
      <c r="AX421" s="35"/>
      <c r="AY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  <c r="AQ422" s="35"/>
      <c r="AR422" s="35"/>
      <c r="AS422" s="35"/>
      <c r="AT422" s="35"/>
      <c r="AU422" s="35"/>
      <c r="AV422" s="35"/>
      <c r="AW422" s="35"/>
      <c r="AX422" s="35"/>
      <c r="AY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  <c r="AQ423" s="35"/>
      <c r="AR423" s="35"/>
      <c r="AS423" s="35"/>
      <c r="AT423" s="35"/>
      <c r="AU423" s="35"/>
      <c r="AV423" s="35"/>
      <c r="AW423" s="35"/>
      <c r="AX423" s="35"/>
      <c r="AY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  <c r="AQ425" s="35"/>
      <c r="AR425" s="35"/>
      <c r="AS425" s="35"/>
      <c r="AT425" s="35"/>
      <c r="AU425" s="35"/>
      <c r="AV425" s="35"/>
      <c r="AW425" s="35"/>
      <c r="AX425" s="35"/>
      <c r="AY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  <c r="AQ427" s="35"/>
      <c r="AR427" s="35"/>
      <c r="AS427" s="35"/>
      <c r="AT427" s="35"/>
      <c r="AU427" s="35"/>
      <c r="AV427" s="35"/>
      <c r="AW427" s="35"/>
      <c r="AX427" s="35"/>
      <c r="AY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  <c r="AQ428" s="35"/>
      <c r="AR428" s="35"/>
      <c r="AS428" s="35"/>
      <c r="AT428" s="35"/>
      <c r="AU428" s="35"/>
      <c r="AV428" s="35"/>
      <c r="AW428" s="35"/>
      <c r="AX428" s="35"/>
      <c r="AY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  <c r="AQ429" s="35"/>
      <c r="AR429" s="35"/>
      <c r="AS429" s="35"/>
      <c r="AT429" s="35"/>
      <c r="AU429" s="35"/>
      <c r="AV429" s="35"/>
      <c r="AW429" s="35"/>
      <c r="AX429" s="35"/>
      <c r="AY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  <c r="AQ430" s="35"/>
      <c r="AR430" s="35"/>
      <c r="AS430" s="35"/>
      <c r="AT430" s="35"/>
      <c r="AU430" s="35"/>
      <c r="AV430" s="35"/>
      <c r="AW430" s="35"/>
      <c r="AX430" s="35"/>
      <c r="AY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  <c r="AQ431" s="35"/>
      <c r="AR431" s="35"/>
      <c r="AS431" s="35"/>
      <c r="AT431" s="35"/>
      <c r="AU431" s="35"/>
      <c r="AV431" s="35"/>
      <c r="AW431" s="35"/>
      <c r="AX431" s="35"/>
      <c r="AY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  <c r="AQ432" s="35"/>
      <c r="AR432" s="35"/>
      <c r="AS432" s="35"/>
      <c r="AT432" s="35"/>
      <c r="AU432" s="35"/>
      <c r="AV432" s="35"/>
      <c r="AW432" s="35"/>
      <c r="AX432" s="35"/>
      <c r="AY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  <c r="AQ433" s="35"/>
      <c r="AR433" s="35"/>
      <c r="AS433" s="35"/>
      <c r="AT433" s="35"/>
      <c r="AU433" s="35"/>
      <c r="AV433" s="35"/>
      <c r="AW433" s="35"/>
      <c r="AX433" s="35"/>
      <c r="AY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  <c r="AQ434" s="35"/>
      <c r="AR434" s="35"/>
      <c r="AS434" s="35"/>
      <c r="AT434" s="35"/>
      <c r="AU434" s="35"/>
      <c r="AV434" s="35"/>
      <c r="AW434" s="35"/>
      <c r="AX434" s="35"/>
      <c r="AY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  <c r="AQ435" s="35"/>
      <c r="AR435" s="35"/>
      <c r="AS435" s="35"/>
      <c r="AT435" s="35"/>
      <c r="AU435" s="35"/>
      <c r="AV435" s="35"/>
      <c r="AW435" s="35"/>
      <c r="AX435" s="35"/>
      <c r="AY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  <c r="AQ436" s="35"/>
      <c r="AR436" s="35"/>
      <c r="AS436" s="35"/>
      <c r="AT436" s="35"/>
      <c r="AU436" s="35"/>
      <c r="AV436" s="35"/>
      <c r="AW436" s="35"/>
      <c r="AX436" s="35"/>
      <c r="AY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  <c r="AQ439" s="35"/>
      <c r="AR439" s="35"/>
      <c r="AS439" s="35"/>
      <c r="AT439" s="35"/>
      <c r="AU439" s="35"/>
      <c r="AV439" s="35"/>
      <c r="AW439" s="35"/>
      <c r="AX439" s="35"/>
      <c r="AY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  <c r="AQ440" s="35"/>
      <c r="AR440" s="35"/>
      <c r="AS440" s="35"/>
      <c r="AT440" s="35"/>
      <c r="AU440" s="35"/>
      <c r="AV440" s="35"/>
      <c r="AW440" s="35"/>
      <c r="AX440" s="35"/>
      <c r="AY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  <c r="AQ441" s="35"/>
      <c r="AR441" s="35"/>
      <c r="AS441" s="35"/>
      <c r="AT441" s="35"/>
      <c r="AU441" s="35"/>
      <c r="AV441" s="35"/>
      <c r="AW441" s="35"/>
      <c r="AX441" s="35"/>
      <c r="AY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  <c r="AQ443" s="35"/>
      <c r="AR443" s="35"/>
      <c r="AS443" s="35"/>
      <c r="AT443" s="35"/>
      <c r="AU443" s="35"/>
      <c r="AV443" s="35"/>
      <c r="AW443" s="35"/>
      <c r="AX443" s="35"/>
      <c r="AY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  <c r="AQ444" s="35"/>
      <c r="AR444" s="35"/>
      <c r="AS444" s="35"/>
      <c r="AT444" s="35"/>
      <c r="AU444" s="35"/>
      <c r="AV444" s="35"/>
      <c r="AW444" s="35"/>
      <c r="AX444" s="35"/>
      <c r="AY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  <c r="AQ445" s="35"/>
      <c r="AR445" s="35"/>
      <c r="AS445" s="35"/>
      <c r="AT445" s="35"/>
      <c r="AU445" s="35"/>
      <c r="AV445" s="35"/>
      <c r="AW445" s="35"/>
      <c r="AX445" s="35"/>
      <c r="AY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  <c r="AQ446" s="35"/>
      <c r="AR446" s="35"/>
      <c r="AS446" s="35"/>
      <c r="AT446" s="35"/>
      <c r="AU446" s="35"/>
      <c r="AV446" s="35"/>
      <c r="AW446" s="35"/>
      <c r="AX446" s="35"/>
      <c r="AY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  <c r="AQ447" s="35"/>
      <c r="AR447" s="35"/>
      <c r="AS447" s="35"/>
      <c r="AT447" s="35"/>
      <c r="AU447" s="35"/>
      <c r="AV447" s="35"/>
      <c r="AW447" s="35"/>
      <c r="AX447" s="35"/>
      <c r="AY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  <c r="AQ448" s="35"/>
      <c r="AR448" s="35"/>
      <c r="AS448" s="35"/>
      <c r="AT448" s="35"/>
      <c r="AU448" s="35"/>
      <c r="AV448" s="35"/>
      <c r="AW448" s="35"/>
      <c r="AX448" s="35"/>
      <c r="AY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  <c r="AQ449" s="35"/>
      <c r="AR449" s="35"/>
      <c r="AS449" s="35"/>
      <c r="AT449" s="35"/>
      <c r="AU449" s="35"/>
      <c r="AV449" s="35"/>
      <c r="AW449" s="35"/>
      <c r="AX449" s="35"/>
      <c r="AY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  <c r="AQ450" s="35"/>
      <c r="AR450" s="35"/>
      <c r="AS450" s="35"/>
      <c r="AT450" s="35"/>
      <c r="AU450" s="35"/>
      <c r="AV450" s="35"/>
      <c r="AW450" s="35"/>
      <c r="AX450" s="35"/>
      <c r="AY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  <c r="AQ451" s="35"/>
      <c r="AR451" s="35"/>
      <c r="AS451" s="35"/>
      <c r="AT451" s="35"/>
      <c r="AU451" s="35"/>
      <c r="AV451" s="35"/>
      <c r="AW451" s="35"/>
      <c r="AX451" s="35"/>
      <c r="AY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  <c r="AQ452" s="35"/>
      <c r="AR452" s="35"/>
      <c r="AS452" s="35"/>
      <c r="AT452" s="35"/>
      <c r="AU452" s="35"/>
      <c r="AV452" s="35"/>
      <c r="AW452" s="35"/>
      <c r="AX452" s="35"/>
      <c r="AY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  <c r="AQ453" s="35"/>
      <c r="AR453" s="35"/>
      <c r="AS453" s="35"/>
      <c r="AT453" s="35"/>
      <c r="AU453" s="35"/>
      <c r="AV453" s="35"/>
      <c r="AW453" s="35"/>
      <c r="AX453" s="35"/>
      <c r="AY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  <c r="AQ454" s="35"/>
      <c r="AR454" s="35"/>
      <c r="AS454" s="35"/>
      <c r="AT454" s="35"/>
      <c r="AU454" s="35"/>
      <c r="AV454" s="35"/>
      <c r="AW454" s="35"/>
      <c r="AX454" s="35"/>
      <c r="AY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  <c r="AQ455" s="35"/>
      <c r="AR455" s="35"/>
      <c r="AS455" s="35"/>
      <c r="AT455" s="35"/>
      <c r="AU455" s="35"/>
      <c r="AV455" s="35"/>
      <c r="AW455" s="35"/>
      <c r="AX455" s="35"/>
      <c r="AY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  <c r="AQ457" s="35"/>
      <c r="AR457" s="35"/>
      <c r="AS457" s="35"/>
      <c r="AT457" s="35"/>
      <c r="AU457" s="35"/>
      <c r="AV457" s="35"/>
      <c r="AW457" s="35"/>
      <c r="AX457" s="35"/>
      <c r="AY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  <c r="AQ458" s="35"/>
      <c r="AR458" s="35"/>
      <c r="AS458" s="35"/>
      <c r="AT458" s="35"/>
      <c r="AU458" s="35"/>
      <c r="AV458" s="35"/>
      <c r="AW458" s="35"/>
      <c r="AX458" s="35"/>
      <c r="AY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  <c r="AQ459" s="35"/>
      <c r="AR459" s="35"/>
      <c r="AS459" s="35"/>
      <c r="AT459" s="35"/>
      <c r="AU459" s="35"/>
      <c r="AV459" s="35"/>
      <c r="AW459" s="35"/>
      <c r="AX459" s="35"/>
      <c r="AY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  <c r="AQ460" s="35"/>
      <c r="AR460" s="35"/>
      <c r="AS460" s="35"/>
      <c r="AT460" s="35"/>
      <c r="AU460" s="35"/>
      <c r="AV460" s="35"/>
      <c r="AW460" s="35"/>
      <c r="AX460" s="35"/>
      <c r="AY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  <c r="AQ461" s="35"/>
      <c r="AR461" s="35"/>
      <c r="AS461" s="35"/>
      <c r="AT461" s="35"/>
      <c r="AU461" s="35"/>
      <c r="AV461" s="35"/>
      <c r="AW461" s="35"/>
      <c r="AX461" s="35"/>
      <c r="AY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  <c r="AQ462" s="35"/>
      <c r="AR462" s="35"/>
      <c r="AS462" s="35"/>
      <c r="AT462" s="35"/>
      <c r="AU462" s="35"/>
      <c r="AV462" s="35"/>
      <c r="AW462" s="35"/>
      <c r="AX462" s="35"/>
      <c r="AY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  <c r="AQ465" s="35"/>
      <c r="AR465" s="35"/>
      <c r="AS465" s="35"/>
      <c r="AT465" s="35"/>
      <c r="AU465" s="35"/>
      <c r="AV465" s="35"/>
      <c r="AW465" s="35"/>
      <c r="AX465" s="35"/>
      <c r="AY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  <c r="AQ466" s="35"/>
      <c r="AR466" s="35"/>
      <c r="AS466" s="35"/>
      <c r="AT466" s="35"/>
      <c r="AU466" s="35"/>
      <c r="AV466" s="35"/>
      <c r="AW466" s="35"/>
      <c r="AX466" s="35"/>
      <c r="AY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  <c r="AQ467" s="35"/>
      <c r="AR467" s="35"/>
      <c r="AS467" s="35"/>
      <c r="AT467" s="35"/>
      <c r="AU467" s="35"/>
      <c r="AV467" s="35"/>
      <c r="AW467" s="35"/>
      <c r="AX467" s="35"/>
      <c r="AY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  <c r="AQ468" s="35"/>
      <c r="AR468" s="35"/>
      <c r="AS468" s="35"/>
      <c r="AT468" s="35"/>
      <c r="AU468" s="35"/>
      <c r="AV468" s="35"/>
      <c r="AW468" s="35"/>
      <c r="AX468" s="35"/>
      <c r="AY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  <c r="AQ469" s="35"/>
      <c r="AR469" s="35"/>
      <c r="AS469" s="35"/>
      <c r="AT469" s="35"/>
      <c r="AU469" s="35"/>
      <c r="AV469" s="35"/>
      <c r="AW469" s="35"/>
      <c r="AX469" s="35"/>
      <c r="AY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  <c r="AQ470" s="35"/>
      <c r="AR470" s="35"/>
      <c r="AS470" s="35"/>
      <c r="AT470" s="35"/>
      <c r="AU470" s="35"/>
      <c r="AV470" s="35"/>
      <c r="AW470" s="35"/>
      <c r="AX470" s="35"/>
      <c r="AY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  <c r="AQ471" s="35"/>
      <c r="AR471" s="35"/>
      <c r="AS471" s="35"/>
      <c r="AT471" s="35"/>
      <c r="AU471" s="35"/>
      <c r="AV471" s="35"/>
      <c r="AW471" s="35"/>
      <c r="AX471" s="35"/>
      <c r="AY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  <c r="AQ473" s="35"/>
      <c r="AR473" s="35"/>
      <c r="AS473" s="35"/>
      <c r="AT473" s="35"/>
      <c r="AU473" s="35"/>
      <c r="AV473" s="35"/>
      <c r="AW473" s="35"/>
      <c r="AX473" s="35"/>
      <c r="AY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  <c r="AQ474" s="35"/>
      <c r="AR474" s="35"/>
      <c r="AS474" s="35"/>
      <c r="AT474" s="35"/>
      <c r="AU474" s="35"/>
      <c r="AV474" s="35"/>
      <c r="AW474" s="35"/>
      <c r="AX474" s="35"/>
      <c r="AY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  <c r="AQ475" s="35"/>
      <c r="AR475" s="35"/>
      <c r="AS475" s="35"/>
      <c r="AT475" s="35"/>
      <c r="AU475" s="35"/>
      <c r="AV475" s="35"/>
      <c r="AW475" s="35"/>
      <c r="AX475" s="35"/>
      <c r="AY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  <c r="AQ476" s="35"/>
      <c r="AR476" s="35"/>
      <c r="AS476" s="35"/>
      <c r="AT476" s="35"/>
      <c r="AU476" s="35"/>
      <c r="AV476" s="35"/>
      <c r="AW476" s="35"/>
      <c r="AX476" s="35"/>
      <c r="AY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  <c r="AQ477" s="35"/>
      <c r="AR477" s="35"/>
      <c r="AS477" s="35"/>
      <c r="AT477" s="35"/>
      <c r="AU477" s="35"/>
      <c r="AV477" s="35"/>
      <c r="AW477" s="35"/>
      <c r="AX477" s="35"/>
      <c r="AY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  <c r="AQ478" s="35"/>
      <c r="AR478" s="35"/>
      <c r="AS478" s="35"/>
      <c r="AT478" s="35"/>
      <c r="AU478" s="35"/>
      <c r="AV478" s="35"/>
      <c r="AW478" s="35"/>
      <c r="AX478" s="35"/>
      <c r="AY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  <c r="AQ480" s="35"/>
      <c r="AR480" s="35"/>
      <c r="AS480" s="35"/>
      <c r="AT480" s="35"/>
      <c r="AU480" s="35"/>
      <c r="AV480" s="35"/>
      <c r="AW480" s="35"/>
      <c r="AX480" s="35"/>
      <c r="AY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  <c r="AQ481" s="35"/>
      <c r="AR481" s="35"/>
      <c r="AS481" s="35"/>
      <c r="AT481" s="35"/>
      <c r="AU481" s="35"/>
      <c r="AV481" s="35"/>
      <c r="AW481" s="35"/>
      <c r="AX481" s="35"/>
      <c r="AY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  <c r="AQ482" s="35"/>
      <c r="AR482" s="35"/>
      <c r="AS482" s="35"/>
      <c r="AT482" s="35"/>
      <c r="AU482" s="35"/>
      <c r="AV482" s="35"/>
      <c r="AW482" s="35"/>
      <c r="AX482" s="35"/>
      <c r="AY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  <c r="AQ483" s="35"/>
      <c r="AR483" s="35"/>
      <c r="AS483" s="35"/>
      <c r="AT483" s="35"/>
      <c r="AU483" s="35"/>
      <c r="AV483" s="35"/>
      <c r="AW483" s="35"/>
      <c r="AX483" s="35"/>
      <c r="AY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  <c r="AQ484" s="35"/>
      <c r="AR484" s="35"/>
      <c r="AS484" s="35"/>
      <c r="AT484" s="35"/>
      <c r="AU484" s="35"/>
      <c r="AV484" s="35"/>
      <c r="AW484" s="35"/>
      <c r="AX484" s="35"/>
      <c r="AY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  <c r="AQ485" s="35"/>
      <c r="AR485" s="35"/>
      <c r="AS485" s="35"/>
      <c r="AT485" s="35"/>
      <c r="AU485" s="35"/>
      <c r="AV485" s="35"/>
      <c r="AW485" s="35"/>
      <c r="AX485" s="35"/>
      <c r="AY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  <c r="AQ486" s="35"/>
      <c r="AR486" s="35"/>
      <c r="AS486" s="35"/>
      <c r="AT486" s="35"/>
      <c r="AU486" s="35"/>
      <c r="AV486" s="35"/>
      <c r="AW486" s="35"/>
      <c r="AX486" s="35"/>
      <c r="AY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  <c r="AQ487" s="35"/>
      <c r="AR487" s="35"/>
      <c r="AS487" s="35"/>
      <c r="AT487" s="35"/>
      <c r="AU487" s="35"/>
      <c r="AV487" s="35"/>
      <c r="AW487" s="35"/>
      <c r="AX487" s="35"/>
      <c r="AY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  <c r="AQ488" s="35"/>
      <c r="AR488" s="35"/>
      <c r="AS488" s="35"/>
      <c r="AT488" s="35"/>
      <c r="AU488" s="35"/>
      <c r="AV488" s="35"/>
      <c r="AW488" s="35"/>
      <c r="AX488" s="35"/>
      <c r="AY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  <c r="AQ489" s="35"/>
      <c r="AR489" s="35"/>
      <c r="AS489" s="35"/>
      <c r="AT489" s="35"/>
      <c r="AU489" s="35"/>
      <c r="AV489" s="35"/>
      <c r="AW489" s="35"/>
      <c r="AX489" s="35"/>
      <c r="AY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  <c r="AQ490" s="35"/>
      <c r="AR490" s="35"/>
      <c r="AS490" s="35"/>
      <c r="AT490" s="35"/>
      <c r="AU490" s="35"/>
      <c r="AV490" s="35"/>
      <c r="AW490" s="35"/>
      <c r="AX490" s="35"/>
      <c r="AY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  <c r="AQ491" s="35"/>
      <c r="AR491" s="35"/>
      <c r="AS491" s="35"/>
      <c r="AT491" s="35"/>
      <c r="AU491" s="35"/>
      <c r="AV491" s="35"/>
      <c r="AW491" s="35"/>
      <c r="AX491" s="35"/>
      <c r="AY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  <c r="AQ492" s="35"/>
      <c r="AR492" s="35"/>
      <c r="AS492" s="35"/>
      <c r="AT492" s="35"/>
      <c r="AU492" s="35"/>
      <c r="AV492" s="35"/>
      <c r="AW492" s="35"/>
      <c r="AX492" s="35"/>
      <c r="AY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  <c r="AQ494" s="35"/>
      <c r="AR494" s="35"/>
      <c r="AS494" s="35"/>
      <c r="AT494" s="35"/>
      <c r="AU494" s="35"/>
      <c r="AV494" s="35"/>
      <c r="AW494" s="35"/>
      <c r="AX494" s="35"/>
      <c r="AY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  <c r="AQ495" s="35"/>
      <c r="AR495" s="35"/>
      <c r="AS495" s="35"/>
      <c r="AT495" s="35"/>
      <c r="AU495" s="35"/>
      <c r="AV495" s="35"/>
      <c r="AW495" s="35"/>
      <c r="AX495" s="35"/>
      <c r="AY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  <c r="AQ496" s="35"/>
      <c r="AR496" s="35"/>
      <c r="AS496" s="35"/>
      <c r="AT496" s="35"/>
      <c r="AU496" s="35"/>
      <c r="AV496" s="35"/>
      <c r="AW496" s="35"/>
      <c r="AX496" s="35"/>
      <c r="AY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  <c r="AQ497" s="35"/>
      <c r="AR497" s="35"/>
      <c r="AS497" s="35"/>
      <c r="AT497" s="35"/>
      <c r="AU497" s="35"/>
      <c r="AV497" s="35"/>
      <c r="AW497" s="35"/>
      <c r="AX497" s="35"/>
      <c r="AY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  <c r="AQ498" s="35"/>
      <c r="AR498" s="35"/>
      <c r="AS498" s="35"/>
      <c r="AT498" s="35"/>
      <c r="AU498" s="35"/>
      <c r="AV498" s="35"/>
      <c r="AW498" s="35"/>
      <c r="AX498" s="35"/>
      <c r="AY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  <c r="AQ499" s="35"/>
      <c r="AR499" s="35"/>
      <c r="AS499" s="35"/>
      <c r="AT499" s="35"/>
      <c r="AU499" s="35"/>
      <c r="AV499" s="35"/>
      <c r="AW499" s="35"/>
      <c r="AX499" s="35"/>
      <c r="AY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  <c r="AQ502" s="35"/>
      <c r="AR502" s="35"/>
      <c r="AS502" s="35"/>
      <c r="AT502" s="35"/>
      <c r="AU502" s="35"/>
      <c r="AV502" s="35"/>
      <c r="AW502" s="35"/>
      <c r="AX502" s="35"/>
      <c r="AY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  <c r="AQ503" s="35"/>
      <c r="AR503" s="35"/>
      <c r="AS503" s="35"/>
      <c r="AT503" s="35"/>
      <c r="AU503" s="35"/>
      <c r="AV503" s="35"/>
      <c r="AW503" s="35"/>
      <c r="AX503" s="35"/>
      <c r="AY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  <c r="AQ504" s="35"/>
      <c r="AR504" s="35"/>
      <c r="AS504" s="35"/>
      <c r="AT504" s="35"/>
      <c r="AU504" s="35"/>
      <c r="AV504" s="35"/>
      <c r="AW504" s="35"/>
      <c r="AX504" s="35"/>
      <c r="AY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  <c r="AQ505" s="35"/>
      <c r="AR505" s="35"/>
      <c r="AS505" s="35"/>
      <c r="AT505" s="35"/>
      <c r="AU505" s="35"/>
      <c r="AV505" s="35"/>
      <c r="AW505" s="35"/>
      <c r="AX505" s="35"/>
      <c r="AY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  <c r="AQ506" s="35"/>
      <c r="AR506" s="35"/>
      <c r="AS506" s="35"/>
      <c r="AT506" s="35"/>
      <c r="AU506" s="35"/>
      <c r="AV506" s="35"/>
      <c r="AW506" s="35"/>
      <c r="AX506" s="35"/>
      <c r="AY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  <c r="AQ507" s="35"/>
      <c r="AR507" s="35"/>
      <c r="AS507" s="35"/>
      <c r="AT507" s="35"/>
      <c r="AU507" s="35"/>
      <c r="AV507" s="35"/>
      <c r="AW507" s="35"/>
      <c r="AX507" s="35"/>
      <c r="AY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  <c r="AQ510" s="35"/>
      <c r="AR510" s="35"/>
      <c r="AS510" s="35"/>
      <c r="AT510" s="35"/>
      <c r="AU510" s="35"/>
      <c r="AV510" s="35"/>
      <c r="AW510" s="35"/>
      <c r="AX510" s="35"/>
      <c r="AY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  <c r="AQ511" s="35"/>
      <c r="AR511" s="35"/>
      <c r="AS511" s="35"/>
      <c r="AT511" s="35"/>
      <c r="AU511" s="35"/>
      <c r="AV511" s="35"/>
      <c r="AW511" s="35"/>
      <c r="AX511" s="35"/>
      <c r="AY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  <c r="AQ512" s="35"/>
      <c r="AR512" s="35"/>
      <c r="AS512" s="35"/>
      <c r="AT512" s="35"/>
      <c r="AU512" s="35"/>
      <c r="AV512" s="35"/>
      <c r="AW512" s="35"/>
      <c r="AX512" s="35"/>
      <c r="AY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  <c r="AQ513" s="35"/>
      <c r="AR513" s="35"/>
      <c r="AS513" s="35"/>
      <c r="AT513" s="35"/>
      <c r="AU513" s="35"/>
      <c r="AV513" s="35"/>
      <c r="AW513" s="35"/>
      <c r="AX513" s="35"/>
      <c r="AY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  <c r="AQ514" s="35"/>
      <c r="AR514" s="35"/>
      <c r="AS514" s="35"/>
      <c r="AT514" s="35"/>
      <c r="AU514" s="35"/>
      <c r="AV514" s="35"/>
      <c r="AW514" s="35"/>
      <c r="AX514" s="35"/>
      <c r="AY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  <c r="AQ515" s="35"/>
      <c r="AR515" s="35"/>
      <c r="AS515" s="35"/>
      <c r="AT515" s="35"/>
      <c r="AU515" s="35"/>
      <c r="AV515" s="35"/>
      <c r="AW515" s="35"/>
      <c r="AX515" s="35"/>
      <c r="AY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  <c r="AQ516" s="35"/>
      <c r="AR516" s="35"/>
      <c r="AS516" s="35"/>
      <c r="AT516" s="35"/>
      <c r="AU516" s="35"/>
      <c r="AV516" s="35"/>
      <c r="AW516" s="35"/>
      <c r="AX516" s="35"/>
      <c r="AY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  <c r="AQ517" s="35"/>
      <c r="AR517" s="35"/>
      <c r="AS517" s="35"/>
      <c r="AT517" s="35"/>
      <c r="AU517" s="35"/>
      <c r="AV517" s="35"/>
      <c r="AW517" s="35"/>
      <c r="AX517" s="35"/>
      <c r="AY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  <c r="AQ518" s="35"/>
      <c r="AR518" s="35"/>
      <c r="AS518" s="35"/>
      <c r="AT518" s="35"/>
      <c r="AU518" s="35"/>
      <c r="AV518" s="35"/>
      <c r="AW518" s="35"/>
      <c r="AX518" s="35"/>
      <c r="AY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  <c r="AQ519" s="35"/>
      <c r="AR519" s="35"/>
      <c r="AS519" s="35"/>
      <c r="AT519" s="35"/>
      <c r="AU519" s="35"/>
      <c r="AV519" s="35"/>
      <c r="AW519" s="35"/>
      <c r="AX519" s="35"/>
      <c r="AY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  <c r="AQ520" s="35"/>
      <c r="AR520" s="35"/>
      <c r="AS520" s="35"/>
      <c r="AT520" s="35"/>
      <c r="AU520" s="35"/>
      <c r="AV520" s="35"/>
      <c r="AW520" s="35"/>
      <c r="AX520" s="35"/>
      <c r="AY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  <c r="AQ522" s="35"/>
      <c r="AR522" s="35"/>
      <c r="AS522" s="35"/>
      <c r="AT522" s="35"/>
      <c r="AU522" s="35"/>
      <c r="AV522" s="35"/>
      <c r="AW522" s="35"/>
      <c r="AX522" s="35"/>
      <c r="AY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  <c r="AQ523" s="35"/>
      <c r="AR523" s="35"/>
      <c r="AS523" s="35"/>
      <c r="AT523" s="35"/>
      <c r="AU523" s="35"/>
      <c r="AV523" s="35"/>
      <c r="AW523" s="35"/>
      <c r="AX523" s="35"/>
      <c r="AY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  <c r="AQ524" s="35"/>
      <c r="AR524" s="35"/>
      <c r="AS524" s="35"/>
      <c r="AT524" s="35"/>
      <c r="AU524" s="35"/>
      <c r="AV524" s="35"/>
      <c r="AW524" s="35"/>
      <c r="AX524" s="35"/>
      <c r="AY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  <c r="AQ525" s="35"/>
      <c r="AR525" s="35"/>
      <c r="AS525" s="35"/>
      <c r="AT525" s="35"/>
      <c r="AU525" s="35"/>
      <c r="AV525" s="35"/>
      <c r="AW525" s="35"/>
      <c r="AX525" s="35"/>
      <c r="AY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  <c r="AQ526" s="35"/>
      <c r="AR526" s="35"/>
      <c r="AS526" s="35"/>
      <c r="AT526" s="35"/>
      <c r="AU526" s="35"/>
      <c r="AV526" s="35"/>
      <c r="AW526" s="35"/>
      <c r="AX526" s="35"/>
      <c r="AY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  <c r="AQ527" s="35"/>
      <c r="AR527" s="35"/>
      <c r="AS527" s="35"/>
      <c r="AT527" s="35"/>
      <c r="AU527" s="35"/>
      <c r="AV527" s="35"/>
      <c r="AW527" s="35"/>
      <c r="AX527" s="35"/>
      <c r="AY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  <c r="AQ528" s="35"/>
      <c r="AR528" s="35"/>
      <c r="AS528" s="35"/>
      <c r="AT528" s="35"/>
      <c r="AU528" s="35"/>
      <c r="AV528" s="35"/>
      <c r="AW528" s="35"/>
      <c r="AX528" s="35"/>
      <c r="AY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  <c r="AQ529" s="35"/>
      <c r="AR529" s="35"/>
      <c r="AS529" s="35"/>
      <c r="AT529" s="35"/>
      <c r="AU529" s="35"/>
      <c r="AV529" s="35"/>
      <c r="AW529" s="35"/>
      <c r="AX529" s="35"/>
      <c r="AY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  <c r="AQ530" s="35"/>
      <c r="AR530" s="35"/>
      <c r="AS530" s="35"/>
      <c r="AT530" s="35"/>
      <c r="AU530" s="35"/>
      <c r="AV530" s="35"/>
      <c r="AW530" s="35"/>
      <c r="AX530" s="35"/>
      <c r="AY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  <c r="AQ531" s="35"/>
      <c r="AR531" s="35"/>
      <c r="AS531" s="35"/>
      <c r="AT531" s="35"/>
      <c r="AU531" s="35"/>
      <c r="AV531" s="35"/>
      <c r="AW531" s="35"/>
      <c r="AX531" s="35"/>
      <c r="AY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  <c r="AQ532" s="35"/>
      <c r="AR532" s="35"/>
      <c r="AS532" s="35"/>
      <c r="AT532" s="35"/>
      <c r="AU532" s="35"/>
      <c r="AV532" s="35"/>
      <c r="AW532" s="35"/>
      <c r="AX532" s="35"/>
      <c r="AY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  <c r="AQ534" s="35"/>
      <c r="AR534" s="35"/>
      <c r="AS534" s="35"/>
      <c r="AT534" s="35"/>
      <c r="AU534" s="35"/>
      <c r="AV534" s="35"/>
      <c r="AW534" s="35"/>
      <c r="AX534" s="35"/>
      <c r="AY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  <c r="AQ535" s="35"/>
      <c r="AR535" s="35"/>
      <c r="AS535" s="35"/>
      <c r="AT535" s="35"/>
      <c r="AU535" s="35"/>
      <c r="AV535" s="35"/>
      <c r="AW535" s="35"/>
      <c r="AX535" s="35"/>
      <c r="AY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  <c r="AQ536" s="35"/>
      <c r="AR536" s="35"/>
      <c r="AS536" s="35"/>
      <c r="AT536" s="35"/>
      <c r="AU536" s="35"/>
      <c r="AV536" s="35"/>
      <c r="AW536" s="35"/>
      <c r="AX536" s="35"/>
      <c r="AY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  <c r="AQ537" s="35"/>
      <c r="AR537" s="35"/>
      <c r="AS537" s="35"/>
      <c r="AT537" s="35"/>
      <c r="AU537" s="35"/>
      <c r="AV537" s="35"/>
      <c r="AW537" s="35"/>
      <c r="AX537" s="35"/>
      <c r="AY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  <c r="AQ538" s="35"/>
      <c r="AR538" s="35"/>
      <c r="AS538" s="35"/>
      <c r="AT538" s="35"/>
      <c r="AU538" s="35"/>
      <c r="AV538" s="35"/>
      <c r="AW538" s="35"/>
      <c r="AX538" s="35"/>
      <c r="AY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  <c r="AQ539" s="35"/>
      <c r="AR539" s="35"/>
      <c r="AS539" s="35"/>
      <c r="AT539" s="35"/>
      <c r="AU539" s="35"/>
      <c r="AV539" s="35"/>
      <c r="AW539" s="35"/>
      <c r="AX539" s="35"/>
      <c r="AY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  <c r="AQ540" s="35"/>
      <c r="AR540" s="35"/>
      <c r="AS540" s="35"/>
      <c r="AT540" s="35"/>
      <c r="AU540" s="35"/>
      <c r="AV540" s="35"/>
      <c r="AW540" s="35"/>
      <c r="AX540" s="35"/>
      <c r="AY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  <c r="AQ541" s="35"/>
      <c r="AR541" s="35"/>
      <c r="AS541" s="35"/>
      <c r="AT541" s="35"/>
      <c r="AU541" s="35"/>
      <c r="AV541" s="35"/>
      <c r="AW541" s="35"/>
      <c r="AX541" s="35"/>
      <c r="AY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  <c r="AQ542" s="35"/>
      <c r="AR542" s="35"/>
      <c r="AS542" s="35"/>
      <c r="AT542" s="35"/>
      <c r="AU542" s="35"/>
      <c r="AV542" s="35"/>
      <c r="AW542" s="35"/>
      <c r="AX542" s="35"/>
      <c r="AY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  <c r="AQ543" s="35"/>
      <c r="AR543" s="35"/>
      <c r="AS543" s="35"/>
      <c r="AT543" s="35"/>
      <c r="AU543" s="35"/>
      <c r="AV543" s="35"/>
      <c r="AW543" s="35"/>
      <c r="AX543" s="35"/>
      <c r="AY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  <c r="AQ544" s="35"/>
      <c r="AR544" s="35"/>
      <c r="AS544" s="35"/>
      <c r="AT544" s="35"/>
      <c r="AU544" s="35"/>
      <c r="AV544" s="35"/>
      <c r="AW544" s="35"/>
      <c r="AX544" s="35"/>
      <c r="AY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  <c r="AQ545" s="35"/>
      <c r="AR545" s="35"/>
      <c r="AS545" s="35"/>
      <c r="AT545" s="35"/>
      <c r="AU545" s="35"/>
      <c r="AV545" s="35"/>
      <c r="AW545" s="35"/>
      <c r="AX545" s="35"/>
      <c r="AY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  <c r="AQ546" s="35"/>
      <c r="AR546" s="35"/>
      <c r="AS546" s="35"/>
      <c r="AT546" s="35"/>
      <c r="AU546" s="35"/>
      <c r="AV546" s="35"/>
      <c r="AW546" s="35"/>
      <c r="AX546" s="35"/>
      <c r="AY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  <c r="AQ547" s="35"/>
      <c r="AR547" s="35"/>
      <c r="AS547" s="35"/>
      <c r="AT547" s="35"/>
      <c r="AU547" s="35"/>
      <c r="AV547" s="35"/>
      <c r="AW547" s="35"/>
      <c r="AX547" s="35"/>
      <c r="AY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  <c r="AQ548" s="35"/>
      <c r="AR548" s="35"/>
      <c r="AS548" s="35"/>
      <c r="AT548" s="35"/>
      <c r="AU548" s="35"/>
      <c r="AV548" s="35"/>
      <c r="AW548" s="35"/>
      <c r="AX548" s="35"/>
      <c r="AY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  <c r="AQ549" s="35"/>
      <c r="AR549" s="35"/>
      <c r="AS549" s="35"/>
      <c r="AT549" s="35"/>
      <c r="AU549" s="35"/>
      <c r="AV549" s="35"/>
      <c r="AW549" s="35"/>
      <c r="AX549" s="35"/>
      <c r="AY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  <c r="AQ550" s="35"/>
      <c r="AR550" s="35"/>
      <c r="AS550" s="35"/>
      <c r="AT550" s="35"/>
      <c r="AU550" s="35"/>
      <c r="AV550" s="35"/>
      <c r="AW550" s="35"/>
      <c r="AX550" s="35"/>
      <c r="AY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  <c r="AQ551" s="35"/>
      <c r="AR551" s="35"/>
      <c r="AS551" s="35"/>
      <c r="AT551" s="35"/>
      <c r="AU551" s="35"/>
      <c r="AV551" s="35"/>
      <c r="AW551" s="35"/>
      <c r="AX551" s="35"/>
      <c r="AY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  <c r="AQ552" s="35"/>
      <c r="AR552" s="35"/>
      <c r="AS552" s="35"/>
      <c r="AT552" s="35"/>
      <c r="AU552" s="35"/>
      <c r="AV552" s="35"/>
      <c r="AW552" s="35"/>
      <c r="AX552" s="35"/>
      <c r="AY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  <c r="AQ554" s="35"/>
      <c r="AR554" s="35"/>
      <c r="AS554" s="35"/>
      <c r="AT554" s="35"/>
      <c r="AU554" s="35"/>
      <c r="AV554" s="35"/>
      <c r="AW554" s="35"/>
      <c r="AX554" s="35"/>
      <c r="AY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  <c r="AQ555" s="35"/>
      <c r="AR555" s="35"/>
      <c r="AS555" s="35"/>
      <c r="AT555" s="35"/>
      <c r="AU555" s="35"/>
      <c r="AV555" s="35"/>
      <c r="AW555" s="35"/>
      <c r="AX555" s="35"/>
      <c r="AY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  <c r="AQ556" s="35"/>
      <c r="AR556" s="35"/>
      <c r="AS556" s="35"/>
      <c r="AT556" s="35"/>
      <c r="AU556" s="35"/>
      <c r="AV556" s="35"/>
      <c r="AW556" s="35"/>
      <c r="AX556" s="35"/>
      <c r="AY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  <c r="AQ557" s="35"/>
      <c r="AR557" s="35"/>
      <c r="AS557" s="35"/>
      <c r="AT557" s="35"/>
      <c r="AU557" s="35"/>
      <c r="AV557" s="35"/>
      <c r="AW557" s="35"/>
      <c r="AX557" s="35"/>
      <c r="AY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  <c r="AQ558" s="35"/>
      <c r="AR558" s="35"/>
      <c r="AS558" s="35"/>
      <c r="AT558" s="35"/>
      <c r="AU558" s="35"/>
      <c r="AV558" s="35"/>
      <c r="AW558" s="35"/>
      <c r="AX558" s="35"/>
      <c r="AY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  <c r="AQ560" s="35"/>
      <c r="AR560" s="35"/>
      <c r="AS560" s="35"/>
      <c r="AT560" s="35"/>
      <c r="AU560" s="35"/>
      <c r="AV560" s="35"/>
      <c r="AW560" s="35"/>
      <c r="AX560" s="35"/>
      <c r="AY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  <c r="AQ561" s="35"/>
      <c r="AR561" s="35"/>
      <c r="AS561" s="35"/>
      <c r="AT561" s="35"/>
      <c r="AU561" s="35"/>
      <c r="AV561" s="35"/>
      <c r="AW561" s="35"/>
      <c r="AX561" s="35"/>
      <c r="AY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  <c r="AQ562" s="35"/>
      <c r="AR562" s="35"/>
      <c r="AS562" s="35"/>
      <c r="AT562" s="35"/>
      <c r="AU562" s="35"/>
      <c r="AV562" s="35"/>
      <c r="AW562" s="35"/>
      <c r="AX562" s="35"/>
      <c r="AY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  <c r="AQ564" s="35"/>
      <c r="AR564" s="35"/>
      <c r="AS564" s="35"/>
      <c r="AT564" s="35"/>
      <c r="AU564" s="35"/>
      <c r="AV564" s="35"/>
      <c r="AW564" s="35"/>
      <c r="AX564" s="35"/>
      <c r="AY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  <c r="AQ566" s="35"/>
      <c r="AR566" s="35"/>
      <c r="AS566" s="35"/>
      <c r="AT566" s="35"/>
      <c r="AU566" s="35"/>
      <c r="AV566" s="35"/>
      <c r="AW566" s="35"/>
      <c r="AX566" s="35"/>
      <c r="AY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  <c r="AQ567" s="35"/>
      <c r="AR567" s="35"/>
      <c r="AS567" s="35"/>
      <c r="AT567" s="35"/>
      <c r="AU567" s="35"/>
      <c r="AV567" s="35"/>
      <c r="AW567" s="35"/>
      <c r="AX567" s="35"/>
      <c r="AY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  <c r="AQ568" s="35"/>
      <c r="AR568" s="35"/>
      <c r="AS568" s="35"/>
      <c r="AT568" s="35"/>
      <c r="AU568" s="35"/>
      <c r="AV568" s="35"/>
      <c r="AW568" s="35"/>
      <c r="AX568" s="35"/>
      <c r="AY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  <c r="AQ570" s="35"/>
      <c r="AR570" s="35"/>
      <c r="AS570" s="35"/>
      <c r="AT570" s="35"/>
      <c r="AU570" s="35"/>
      <c r="AV570" s="35"/>
      <c r="AW570" s="35"/>
      <c r="AX570" s="35"/>
      <c r="AY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  <c r="AQ571" s="35"/>
      <c r="AR571" s="35"/>
      <c r="AS571" s="35"/>
      <c r="AT571" s="35"/>
      <c r="AU571" s="35"/>
      <c r="AV571" s="35"/>
      <c r="AW571" s="35"/>
      <c r="AX571" s="35"/>
      <c r="AY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  <c r="AQ572" s="35"/>
      <c r="AR572" s="35"/>
      <c r="AS572" s="35"/>
      <c r="AT572" s="35"/>
      <c r="AU572" s="35"/>
      <c r="AV572" s="35"/>
      <c r="AW572" s="35"/>
      <c r="AX572" s="35"/>
      <c r="AY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  <c r="AQ573" s="35"/>
      <c r="AR573" s="35"/>
      <c r="AS573" s="35"/>
      <c r="AT573" s="35"/>
      <c r="AU573" s="35"/>
      <c r="AV573" s="35"/>
      <c r="AW573" s="35"/>
      <c r="AX573" s="35"/>
      <c r="AY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  <c r="AQ574" s="35"/>
      <c r="AR574" s="35"/>
      <c r="AS574" s="35"/>
      <c r="AT574" s="35"/>
      <c r="AU574" s="35"/>
      <c r="AV574" s="35"/>
      <c r="AW574" s="35"/>
      <c r="AX574" s="35"/>
      <c r="AY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  <c r="AQ575" s="35"/>
      <c r="AR575" s="35"/>
      <c r="AS575" s="35"/>
      <c r="AT575" s="35"/>
      <c r="AU575" s="35"/>
      <c r="AV575" s="35"/>
      <c r="AW575" s="35"/>
      <c r="AX575" s="35"/>
      <c r="AY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  <c r="AQ576" s="35"/>
      <c r="AR576" s="35"/>
      <c r="AS576" s="35"/>
      <c r="AT576" s="35"/>
      <c r="AU576" s="35"/>
      <c r="AV576" s="35"/>
      <c r="AW576" s="35"/>
      <c r="AX576" s="35"/>
      <c r="AY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  <c r="AQ577" s="35"/>
      <c r="AR577" s="35"/>
      <c r="AS577" s="35"/>
      <c r="AT577" s="35"/>
      <c r="AU577" s="35"/>
      <c r="AV577" s="35"/>
      <c r="AW577" s="35"/>
      <c r="AX577" s="35"/>
      <c r="AY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  <c r="AQ578" s="35"/>
      <c r="AR578" s="35"/>
      <c r="AS578" s="35"/>
      <c r="AT578" s="35"/>
      <c r="AU578" s="35"/>
      <c r="AV578" s="35"/>
      <c r="AW578" s="35"/>
      <c r="AX578" s="35"/>
      <c r="AY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  <c r="AQ579" s="35"/>
      <c r="AR579" s="35"/>
      <c r="AS579" s="35"/>
      <c r="AT579" s="35"/>
      <c r="AU579" s="35"/>
      <c r="AV579" s="35"/>
      <c r="AW579" s="35"/>
      <c r="AX579" s="35"/>
      <c r="AY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  <c r="AQ580" s="35"/>
      <c r="AR580" s="35"/>
      <c r="AS580" s="35"/>
      <c r="AT580" s="35"/>
      <c r="AU580" s="35"/>
      <c r="AV580" s="35"/>
      <c r="AW580" s="35"/>
      <c r="AX580" s="35"/>
      <c r="AY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  <c r="AQ581" s="35"/>
      <c r="AR581" s="35"/>
      <c r="AS581" s="35"/>
      <c r="AT581" s="35"/>
      <c r="AU581" s="35"/>
      <c r="AV581" s="35"/>
      <c r="AW581" s="35"/>
      <c r="AX581" s="35"/>
      <c r="AY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  <c r="AQ583" s="35"/>
      <c r="AR583" s="35"/>
      <c r="AS583" s="35"/>
      <c r="AT583" s="35"/>
      <c r="AU583" s="35"/>
      <c r="AV583" s="35"/>
      <c r="AW583" s="35"/>
      <c r="AX583" s="35"/>
      <c r="AY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  <c r="AQ584" s="35"/>
      <c r="AR584" s="35"/>
      <c r="AS584" s="35"/>
      <c r="AT584" s="35"/>
      <c r="AU584" s="35"/>
      <c r="AV584" s="35"/>
      <c r="AW584" s="35"/>
      <c r="AX584" s="35"/>
      <c r="AY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  <c r="AQ586" s="35"/>
      <c r="AR586" s="35"/>
      <c r="AS586" s="35"/>
      <c r="AT586" s="35"/>
      <c r="AU586" s="35"/>
      <c r="AV586" s="35"/>
      <c r="AW586" s="35"/>
      <c r="AX586" s="35"/>
      <c r="AY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  <c r="AQ587" s="35"/>
      <c r="AR587" s="35"/>
      <c r="AS587" s="35"/>
      <c r="AT587" s="35"/>
      <c r="AU587" s="35"/>
      <c r="AV587" s="35"/>
      <c r="AW587" s="35"/>
      <c r="AX587" s="35"/>
      <c r="AY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  <c r="AQ588" s="35"/>
      <c r="AR588" s="35"/>
      <c r="AS588" s="35"/>
      <c r="AT588" s="35"/>
      <c r="AU588" s="35"/>
      <c r="AV588" s="35"/>
      <c r="AW588" s="35"/>
      <c r="AX588" s="35"/>
      <c r="AY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  <c r="AQ589" s="35"/>
      <c r="AR589" s="35"/>
      <c r="AS589" s="35"/>
      <c r="AT589" s="35"/>
      <c r="AU589" s="35"/>
      <c r="AV589" s="35"/>
      <c r="AW589" s="35"/>
      <c r="AX589" s="35"/>
      <c r="AY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  <c r="AQ590" s="35"/>
      <c r="AR590" s="35"/>
      <c r="AS590" s="35"/>
      <c r="AT590" s="35"/>
      <c r="AU590" s="35"/>
      <c r="AV590" s="35"/>
      <c r="AW590" s="35"/>
      <c r="AX590" s="35"/>
      <c r="AY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  <c r="AQ591" s="35"/>
      <c r="AR591" s="35"/>
      <c r="AS591" s="35"/>
      <c r="AT591" s="35"/>
      <c r="AU591" s="35"/>
      <c r="AV591" s="35"/>
      <c r="AW591" s="35"/>
      <c r="AX591" s="35"/>
      <c r="AY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  <c r="AQ592" s="35"/>
      <c r="AR592" s="35"/>
      <c r="AS592" s="35"/>
      <c r="AT592" s="35"/>
      <c r="AU592" s="35"/>
      <c r="AV592" s="35"/>
      <c r="AW592" s="35"/>
      <c r="AX592" s="35"/>
      <c r="AY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  <c r="AQ593" s="35"/>
      <c r="AR593" s="35"/>
      <c r="AS593" s="35"/>
      <c r="AT593" s="35"/>
      <c r="AU593" s="35"/>
      <c r="AV593" s="35"/>
      <c r="AW593" s="35"/>
      <c r="AX593" s="35"/>
      <c r="AY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  <c r="AQ594" s="35"/>
      <c r="AR594" s="35"/>
      <c r="AS594" s="35"/>
      <c r="AT594" s="35"/>
      <c r="AU594" s="35"/>
      <c r="AV594" s="35"/>
      <c r="AW594" s="35"/>
      <c r="AX594" s="35"/>
      <c r="AY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  <c r="AQ596" s="35"/>
      <c r="AR596" s="35"/>
      <c r="AS596" s="35"/>
      <c r="AT596" s="35"/>
      <c r="AU596" s="35"/>
      <c r="AV596" s="35"/>
      <c r="AW596" s="35"/>
      <c r="AX596" s="35"/>
      <c r="AY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  <c r="AQ597" s="35"/>
      <c r="AR597" s="35"/>
      <c r="AS597" s="35"/>
      <c r="AT597" s="35"/>
      <c r="AU597" s="35"/>
      <c r="AV597" s="35"/>
      <c r="AW597" s="35"/>
      <c r="AX597" s="35"/>
      <c r="AY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  <c r="AQ598" s="35"/>
      <c r="AR598" s="35"/>
      <c r="AS598" s="35"/>
      <c r="AT598" s="35"/>
      <c r="AU598" s="35"/>
      <c r="AV598" s="35"/>
      <c r="AW598" s="35"/>
      <c r="AX598" s="35"/>
      <c r="AY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  <c r="AQ600" s="35"/>
      <c r="AR600" s="35"/>
      <c r="AS600" s="35"/>
      <c r="AT600" s="35"/>
      <c r="AU600" s="35"/>
      <c r="AV600" s="35"/>
      <c r="AW600" s="35"/>
      <c r="AX600" s="35"/>
      <c r="AY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  <c r="AQ601" s="35"/>
      <c r="AR601" s="35"/>
      <c r="AS601" s="35"/>
      <c r="AT601" s="35"/>
      <c r="AU601" s="35"/>
      <c r="AV601" s="35"/>
      <c r="AW601" s="35"/>
      <c r="AX601" s="35"/>
      <c r="AY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  <c r="AQ602" s="35"/>
      <c r="AR602" s="35"/>
      <c r="AS602" s="35"/>
      <c r="AT602" s="35"/>
      <c r="AU602" s="35"/>
      <c r="AV602" s="35"/>
      <c r="AW602" s="35"/>
      <c r="AX602" s="35"/>
      <c r="AY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  <c r="AQ603" s="35"/>
      <c r="AR603" s="35"/>
      <c r="AS603" s="35"/>
      <c r="AT603" s="35"/>
      <c r="AU603" s="35"/>
      <c r="AV603" s="35"/>
      <c r="AW603" s="35"/>
      <c r="AX603" s="35"/>
      <c r="AY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  <c r="AQ604" s="35"/>
      <c r="AR604" s="35"/>
      <c r="AS604" s="35"/>
      <c r="AT604" s="35"/>
      <c r="AU604" s="35"/>
      <c r="AV604" s="35"/>
      <c r="AW604" s="35"/>
      <c r="AX604" s="35"/>
      <c r="AY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  <c r="AQ605" s="35"/>
      <c r="AR605" s="35"/>
      <c r="AS605" s="35"/>
      <c r="AT605" s="35"/>
      <c r="AU605" s="35"/>
      <c r="AV605" s="35"/>
      <c r="AW605" s="35"/>
      <c r="AX605" s="35"/>
      <c r="AY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  <c r="AQ606" s="35"/>
      <c r="AR606" s="35"/>
      <c r="AS606" s="35"/>
      <c r="AT606" s="35"/>
      <c r="AU606" s="35"/>
      <c r="AV606" s="35"/>
      <c r="AW606" s="35"/>
      <c r="AX606" s="35"/>
      <c r="AY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  <c r="AQ607" s="35"/>
      <c r="AR607" s="35"/>
      <c r="AS607" s="35"/>
      <c r="AT607" s="35"/>
      <c r="AU607" s="35"/>
      <c r="AV607" s="35"/>
      <c r="AW607" s="35"/>
      <c r="AX607" s="35"/>
      <c r="AY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  <c r="AQ608" s="35"/>
      <c r="AR608" s="35"/>
      <c r="AS608" s="35"/>
      <c r="AT608" s="35"/>
      <c r="AU608" s="35"/>
      <c r="AV608" s="35"/>
      <c r="AW608" s="35"/>
      <c r="AX608" s="35"/>
      <c r="AY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  <c r="AQ609" s="35"/>
      <c r="AR609" s="35"/>
      <c r="AS609" s="35"/>
      <c r="AT609" s="35"/>
      <c r="AU609" s="35"/>
      <c r="AV609" s="35"/>
      <c r="AW609" s="35"/>
      <c r="AX609" s="35"/>
      <c r="AY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  <c r="AQ610" s="35"/>
      <c r="AR610" s="35"/>
      <c r="AS610" s="35"/>
      <c r="AT610" s="35"/>
      <c r="AU610" s="35"/>
      <c r="AV610" s="35"/>
      <c r="AW610" s="35"/>
      <c r="AX610" s="35"/>
      <c r="AY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  <c r="AQ611" s="35"/>
      <c r="AR611" s="35"/>
      <c r="AS611" s="35"/>
      <c r="AT611" s="35"/>
      <c r="AU611" s="35"/>
      <c r="AV611" s="35"/>
      <c r="AW611" s="35"/>
      <c r="AX611" s="35"/>
      <c r="AY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  <c r="AQ612" s="35"/>
      <c r="AR612" s="35"/>
      <c r="AS612" s="35"/>
      <c r="AT612" s="35"/>
      <c r="AU612" s="35"/>
      <c r="AV612" s="35"/>
      <c r="AW612" s="35"/>
      <c r="AX612" s="35"/>
      <c r="AY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  <c r="AQ613" s="35"/>
      <c r="AR613" s="35"/>
      <c r="AS613" s="35"/>
      <c r="AT613" s="35"/>
      <c r="AU613" s="35"/>
      <c r="AV613" s="35"/>
      <c r="AW613" s="35"/>
      <c r="AX613" s="35"/>
      <c r="AY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  <c r="AQ614" s="35"/>
      <c r="AR614" s="35"/>
      <c r="AS614" s="35"/>
      <c r="AT614" s="35"/>
      <c r="AU614" s="35"/>
      <c r="AV614" s="35"/>
      <c r="AW614" s="35"/>
      <c r="AX614" s="35"/>
      <c r="AY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  <c r="AQ615" s="35"/>
      <c r="AR615" s="35"/>
      <c r="AS615" s="35"/>
      <c r="AT615" s="35"/>
      <c r="AU615" s="35"/>
      <c r="AV615" s="35"/>
      <c r="AW615" s="35"/>
      <c r="AX615" s="35"/>
      <c r="AY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  <c r="AQ616" s="35"/>
      <c r="AR616" s="35"/>
      <c r="AS616" s="35"/>
      <c r="AT616" s="35"/>
      <c r="AU616" s="35"/>
      <c r="AV616" s="35"/>
      <c r="AW616" s="35"/>
      <c r="AX616" s="35"/>
      <c r="AY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  <c r="AQ617" s="35"/>
      <c r="AR617" s="35"/>
      <c r="AS617" s="35"/>
      <c r="AT617" s="35"/>
      <c r="AU617" s="35"/>
      <c r="AV617" s="35"/>
      <c r="AW617" s="35"/>
      <c r="AX617" s="35"/>
      <c r="AY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  <c r="AQ618" s="35"/>
      <c r="AR618" s="35"/>
      <c r="AS618" s="35"/>
      <c r="AT618" s="35"/>
      <c r="AU618" s="35"/>
      <c r="AV618" s="35"/>
      <c r="AW618" s="35"/>
      <c r="AX618" s="35"/>
      <c r="AY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  <c r="AQ619" s="35"/>
      <c r="AR619" s="35"/>
      <c r="AS619" s="35"/>
      <c r="AT619" s="35"/>
      <c r="AU619" s="35"/>
      <c r="AV619" s="35"/>
      <c r="AW619" s="35"/>
      <c r="AX619" s="35"/>
      <c r="AY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  <c r="AQ620" s="35"/>
      <c r="AR620" s="35"/>
      <c r="AS620" s="35"/>
      <c r="AT620" s="35"/>
      <c r="AU620" s="35"/>
      <c r="AV620" s="35"/>
      <c r="AW620" s="35"/>
      <c r="AX620" s="35"/>
      <c r="AY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  <c r="AQ621" s="35"/>
      <c r="AR621" s="35"/>
      <c r="AS621" s="35"/>
      <c r="AT621" s="35"/>
      <c r="AU621" s="35"/>
      <c r="AV621" s="35"/>
      <c r="AW621" s="35"/>
      <c r="AX621" s="35"/>
      <c r="AY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  <c r="AQ622" s="35"/>
      <c r="AR622" s="35"/>
      <c r="AS622" s="35"/>
      <c r="AT622" s="35"/>
      <c r="AU622" s="35"/>
      <c r="AV622" s="35"/>
      <c r="AW622" s="35"/>
      <c r="AX622" s="35"/>
      <c r="AY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  <c r="AQ623" s="35"/>
      <c r="AR623" s="35"/>
      <c r="AS623" s="35"/>
      <c r="AT623" s="35"/>
      <c r="AU623" s="35"/>
      <c r="AV623" s="35"/>
      <c r="AW623" s="35"/>
      <c r="AX623" s="35"/>
      <c r="AY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  <c r="AQ624" s="35"/>
      <c r="AR624" s="35"/>
      <c r="AS624" s="35"/>
      <c r="AT624" s="35"/>
      <c r="AU624" s="35"/>
      <c r="AV624" s="35"/>
      <c r="AW624" s="35"/>
      <c r="AX624" s="35"/>
      <c r="AY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  <c r="AQ626" s="35"/>
      <c r="AR626" s="35"/>
      <c r="AS626" s="35"/>
      <c r="AT626" s="35"/>
      <c r="AU626" s="35"/>
      <c r="AV626" s="35"/>
      <c r="AW626" s="35"/>
      <c r="AX626" s="35"/>
      <c r="AY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  <c r="AQ627" s="35"/>
      <c r="AR627" s="35"/>
      <c r="AS627" s="35"/>
      <c r="AT627" s="35"/>
      <c r="AU627" s="35"/>
      <c r="AV627" s="35"/>
      <c r="AW627" s="35"/>
      <c r="AX627" s="35"/>
      <c r="AY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  <c r="AQ628" s="35"/>
      <c r="AR628" s="35"/>
      <c r="AS628" s="35"/>
      <c r="AT628" s="35"/>
      <c r="AU628" s="35"/>
      <c r="AV628" s="35"/>
      <c r="AW628" s="35"/>
      <c r="AX628" s="35"/>
      <c r="AY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  <c r="AQ629" s="35"/>
      <c r="AR629" s="35"/>
      <c r="AS629" s="35"/>
      <c r="AT629" s="35"/>
      <c r="AU629" s="35"/>
      <c r="AV629" s="35"/>
      <c r="AW629" s="35"/>
      <c r="AX629" s="35"/>
      <c r="AY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  <c r="AQ630" s="35"/>
      <c r="AR630" s="35"/>
      <c r="AS630" s="35"/>
      <c r="AT630" s="35"/>
      <c r="AU630" s="35"/>
      <c r="AV630" s="35"/>
      <c r="AW630" s="35"/>
      <c r="AX630" s="35"/>
      <c r="AY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  <c r="AQ631" s="35"/>
      <c r="AR631" s="35"/>
      <c r="AS631" s="35"/>
      <c r="AT631" s="35"/>
      <c r="AU631" s="35"/>
      <c r="AV631" s="35"/>
      <c r="AW631" s="35"/>
      <c r="AX631" s="35"/>
      <c r="AY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  <c r="AQ632" s="35"/>
      <c r="AR632" s="35"/>
      <c r="AS632" s="35"/>
      <c r="AT632" s="35"/>
      <c r="AU632" s="35"/>
      <c r="AV632" s="35"/>
      <c r="AW632" s="35"/>
      <c r="AX632" s="35"/>
      <c r="AY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  <c r="AQ633" s="35"/>
      <c r="AR633" s="35"/>
      <c r="AS633" s="35"/>
      <c r="AT633" s="35"/>
      <c r="AU633" s="35"/>
      <c r="AV633" s="35"/>
      <c r="AW633" s="35"/>
      <c r="AX633" s="35"/>
      <c r="AY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  <c r="AQ634" s="35"/>
      <c r="AR634" s="35"/>
      <c r="AS634" s="35"/>
      <c r="AT634" s="35"/>
      <c r="AU634" s="35"/>
      <c r="AV634" s="35"/>
      <c r="AW634" s="35"/>
      <c r="AX634" s="35"/>
      <c r="AY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  <c r="AQ635" s="35"/>
      <c r="AR635" s="35"/>
      <c r="AS635" s="35"/>
      <c r="AT635" s="35"/>
      <c r="AU635" s="35"/>
      <c r="AV635" s="35"/>
      <c r="AW635" s="35"/>
      <c r="AX635" s="35"/>
      <c r="AY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  <c r="AQ636" s="35"/>
      <c r="AR636" s="35"/>
      <c r="AS636" s="35"/>
      <c r="AT636" s="35"/>
      <c r="AU636" s="35"/>
      <c r="AV636" s="35"/>
      <c r="AW636" s="35"/>
      <c r="AX636" s="35"/>
      <c r="AY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  <c r="AQ638" s="35"/>
      <c r="AR638" s="35"/>
      <c r="AS638" s="35"/>
      <c r="AT638" s="35"/>
      <c r="AU638" s="35"/>
      <c r="AV638" s="35"/>
      <c r="AW638" s="35"/>
      <c r="AX638" s="35"/>
      <c r="AY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  <c r="AQ639" s="35"/>
      <c r="AR639" s="35"/>
      <c r="AS639" s="35"/>
      <c r="AT639" s="35"/>
      <c r="AU639" s="35"/>
      <c r="AV639" s="35"/>
      <c r="AW639" s="35"/>
      <c r="AX639" s="35"/>
      <c r="AY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  <c r="AQ641" s="35"/>
      <c r="AR641" s="35"/>
      <c r="AS641" s="35"/>
      <c r="AT641" s="35"/>
      <c r="AU641" s="35"/>
      <c r="AV641" s="35"/>
      <c r="AW641" s="35"/>
      <c r="AX641" s="35"/>
      <c r="AY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  <c r="AQ642" s="35"/>
      <c r="AR642" s="35"/>
      <c r="AS642" s="35"/>
      <c r="AT642" s="35"/>
      <c r="AU642" s="35"/>
      <c r="AV642" s="35"/>
      <c r="AW642" s="35"/>
      <c r="AX642" s="35"/>
      <c r="AY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  <c r="AQ643" s="35"/>
      <c r="AR643" s="35"/>
      <c r="AS643" s="35"/>
      <c r="AT643" s="35"/>
      <c r="AU643" s="35"/>
      <c r="AV643" s="35"/>
      <c r="AW643" s="35"/>
      <c r="AX643" s="35"/>
      <c r="AY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  <c r="AQ644" s="35"/>
      <c r="AR644" s="35"/>
      <c r="AS644" s="35"/>
      <c r="AT644" s="35"/>
      <c r="AU644" s="35"/>
      <c r="AV644" s="35"/>
      <c r="AW644" s="35"/>
      <c r="AX644" s="35"/>
      <c r="AY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  <c r="AQ645" s="35"/>
      <c r="AR645" s="35"/>
      <c r="AS645" s="35"/>
      <c r="AT645" s="35"/>
      <c r="AU645" s="35"/>
      <c r="AV645" s="35"/>
      <c r="AW645" s="35"/>
      <c r="AX645" s="35"/>
      <c r="AY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  <c r="AQ646" s="35"/>
      <c r="AR646" s="35"/>
      <c r="AS646" s="35"/>
      <c r="AT646" s="35"/>
      <c r="AU646" s="35"/>
      <c r="AV646" s="35"/>
      <c r="AW646" s="35"/>
      <c r="AX646" s="35"/>
      <c r="AY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  <c r="AQ647" s="35"/>
      <c r="AR647" s="35"/>
      <c r="AS647" s="35"/>
      <c r="AT647" s="35"/>
      <c r="AU647" s="35"/>
      <c r="AV647" s="35"/>
      <c r="AW647" s="35"/>
      <c r="AX647" s="35"/>
      <c r="AY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  <c r="AQ648" s="35"/>
      <c r="AR648" s="35"/>
      <c r="AS648" s="35"/>
      <c r="AT648" s="35"/>
      <c r="AU648" s="35"/>
      <c r="AV648" s="35"/>
      <c r="AW648" s="35"/>
      <c r="AX648" s="35"/>
      <c r="AY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  <c r="AQ649" s="35"/>
      <c r="AR649" s="35"/>
      <c r="AS649" s="35"/>
      <c r="AT649" s="35"/>
      <c r="AU649" s="35"/>
      <c r="AV649" s="35"/>
      <c r="AW649" s="35"/>
      <c r="AX649" s="35"/>
      <c r="AY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  <c r="AQ650" s="35"/>
      <c r="AR650" s="35"/>
      <c r="AS650" s="35"/>
      <c r="AT650" s="35"/>
      <c r="AU650" s="35"/>
      <c r="AV650" s="35"/>
      <c r="AW650" s="35"/>
      <c r="AX650" s="35"/>
      <c r="AY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  <c r="AQ651" s="35"/>
      <c r="AR651" s="35"/>
      <c r="AS651" s="35"/>
      <c r="AT651" s="35"/>
      <c r="AU651" s="35"/>
      <c r="AV651" s="35"/>
      <c r="AW651" s="35"/>
      <c r="AX651" s="35"/>
      <c r="AY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  <c r="AQ652" s="35"/>
      <c r="AR652" s="35"/>
      <c r="AS652" s="35"/>
      <c r="AT652" s="35"/>
      <c r="AU652" s="35"/>
      <c r="AV652" s="35"/>
      <c r="AW652" s="35"/>
      <c r="AX652" s="35"/>
      <c r="AY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  <c r="AQ653" s="35"/>
      <c r="AR653" s="35"/>
      <c r="AS653" s="35"/>
      <c r="AT653" s="35"/>
      <c r="AU653" s="35"/>
      <c r="AV653" s="35"/>
      <c r="AW653" s="35"/>
      <c r="AX653" s="35"/>
      <c r="AY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  <c r="AQ654" s="35"/>
      <c r="AR654" s="35"/>
      <c r="AS654" s="35"/>
      <c r="AT654" s="35"/>
      <c r="AU654" s="35"/>
      <c r="AV654" s="35"/>
      <c r="AW654" s="35"/>
      <c r="AX654" s="35"/>
      <c r="AY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  <c r="AQ655" s="35"/>
      <c r="AR655" s="35"/>
      <c r="AS655" s="35"/>
      <c r="AT655" s="35"/>
      <c r="AU655" s="35"/>
      <c r="AV655" s="35"/>
      <c r="AW655" s="35"/>
      <c r="AX655" s="35"/>
      <c r="AY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  <c r="AQ656" s="35"/>
      <c r="AR656" s="35"/>
      <c r="AS656" s="35"/>
      <c r="AT656" s="35"/>
      <c r="AU656" s="35"/>
      <c r="AV656" s="35"/>
      <c r="AW656" s="35"/>
      <c r="AX656" s="35"/>
      <c r="AY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  <c r="AQ657" s="35"/>
      <c r="AR657" s="35"/>
      <c r="AS657" s="35"/>
      <c r="AT657" s="35"/>
      <c r="AU657" s="35"/>
      <c r="AV657" s="35"/>
      <c r="AW657" s="35"/>
      <c r="AX657" s="35"/>
      <c r="AY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  <c r="AQ658" s="35"/>
      <c r="AR658" s="35"/>
      <c r="AS658" s="35"/>
      <c r="AT658" s="35"/>
      <c r="AU658" s="35"/>
      <c r="AV658" s="35"/>
      <c r="AW658" s="35"/>
      <c r="AX658" s="35"/>
      <c r="AY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  <c r="AQ660" s="35"/>
      <c r="AR660" s="35"/>
      <c r="AS660" s="35"/>
      <c r="AT660" s="35"/>
      <c r="AU660" s="35"/>
      <c r="AV660" s="35"/>
      <c r="AW660" s="35"/>
      <c r="AX660" s="35"/>
      <c r="AY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  <c r="AQ661" s="35"/>
      <c r="AR661" s="35"/>
      <c r="AS661" s="35"/>
      <c r="AT661" s="35"/>
      <c r="AU661" s="35"/>
      <c r="AV661" s="35"/>
      <c r="AW661" s="35"/>
      <c r="AX661" s="35"/>
      <c r="AY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  <c r="AQ662" s="35"/>
      <c r="AR662" s="35"/>
      <c r="AS662" s="35"/>
      <c r="AT662" s="35"/>
      <c r="AU662" s="35"/>
      <c r="AV662" s="35"/>
      <c r="AW662" s="35"/>
      <c r="AX662" s="35"/>
      <c r="AY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  <c r="AQ663" s="35"/>
      <c r="AR663" s="35"/>
      <c r="AS663" s="35"/>
      <c r="AT663" s="35"/>
      <c r="AU663" s="35"/>
      <c r="AV663" s="35"/>
      <c r="AW663" s="35"/>
      <c r="AX663" s="35"/>
      <c r="AY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  <c r="AQ664" s="35"/>
      <c r="AR664" s="35"/>
      <c r="AS664" s="35"/>
      <c r="AT664" s="35"/>
      <c r="AU664" s="35"/>
      <c r="AV664" s="35"/>
      <c r="AW664" s="35"/>
      <c r="AX664" s="35"/>
      <c r="AY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  <c r="AQ665" s="35"/>
      <c r="AR665" s="35"/>
      <c r="AS665" s="35"/>
      <c r="AT665" s="35"/>
      <c r="AU665" s="35"/>
      <c r="AV665" s="35"/>
      <c r="AW665" s="35"/>
      <c r="AX665" s="35"/>
      <c r="AY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  <c r="AQ666" s="35"/>
      <c r="AR666" s="35"/>
      <c r="AS666" s="35"/>
      <c r="AT666" s="35"/>
      <c r="AU666" s="35"/>
      <c r="AV666" s="35"/>
      <c r="AW666" s="35"/>
      <c r="AX666" s="35"/>
      <c r="AY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  <c r="AQ667" s="35"/>
      <c r="AR667" s="35"/>
      <c r="AS667" s="35"/>
      <c r="AT667" s="35"/>
      <c r="AU667" s="35"/>
      <c r="AV667" s="35"/>
      <c r="AW667" s="35"/>
      <c r="AX667" s="35"/>
      <c r="AY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  <c r="AL668" s="35"/>
      <c r="AM668" s="35"/>
      <c r="AN668" s="35"/>
      <c r="AO668" s="35"/>
      <c r="AP668" s="35"/>
      <c r="AQ668" s="35"/>
      <c r="AR668" s="35"/>
      <c r="AS668" s="35"/>
      <c r="AT668" s="35"/>
      <c r="AU668" s="35"/>
      <c r="AV668" s="35"/>
      <c r="AW668" s="35"/>
      <c r="AX668" s="35"/>
      <c r="AY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  <c r="AL669" s="35"/>
      <c r="AM669" s="35"/>
      <c r="AN669" s="35"/>
      <c r="AO669" s="35"/>
      <c r="AP669" s="35"/>
      <c r="AQ669" s="35"/>
      <c r="AR669" s="35"/>
      <c r="AS669" s="35"/>
      <c r="AT669" s="35"/>
      <c r="AU669" s="35"/>
      <c r="AV669" s="35"/>
      <c r="AW669" s="35"/>
      <c r="AX669" s="35"/>
      <c r="AY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  <c r="AL670" s="35"/>
      <c r="AM670" s="35"/>
      <c r="AN670" s="35"/>
      <c r="AO670" s="35"/>
      <c r="AP670" s="35"/>
      <c r="AQ670" s="35"/>
      <c r="AR670" s="35"/>
      <c r="AS670" s="35"/>
      <c r="AT670" s="35"/>
      <c r="AU670" s="35"/>
      <c r="AV670" s="35"/>
      <c r="AW670" s="35"/>
      <c r="AX670" s="35"/>
      <c r="AY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  <c r="AL671" s="35"/>
      <c r="AM671" s="35"/>
      <c r="AN671" s="35"/>
      <c r="AO671" s="35"/>
      <c r="AP671" s="35"/>
      <c r="AQ671" s="35"/>
      <c r="AR671" s="35"/>
      <c r="AS671" s="35"/>
      <c r="AT671" s="35"/>
      <c r="AU671" s="35"/>
      <c r="AV671" s="35"/>
      <c r="AW671" s="35"/>
      <c r="AX671" s="35"/>
      <c r="AY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  <c r="AL672" s="35"/>
      <c r="AM672" s="35"/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  <c r="AL673" s="35"/>
      <c r="AM673" s="35"/>
      <c r="AN673" s="35"/>
      <c r="AO673" s="35"/>
      <c r="AP673" s="35"/>
      <c r="AQ673" s="35"/>
      <c r="AR673" s="35"/>
      <c r="AS673" s="35"/>
      <c r="AT673" s="35"/>
      <c r="AU673" s="35"/>
      <c r="AV673" s="35"/>
      <c r="AW673" s="35"/>
      <c r="AX673" s="35"/>
      <c r="AY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  <c r="AL674" s="35"/>
      <c r="AM674" s="35"/>
      <c r="AN674" s="35"/>
      <c r="AO674" s="35"/>
      <c r="AP674" s="35"/>
      <c r="AQ674" s="35"/>
      <c r="AR674" s="35"/>
      <c r="AS674" s="35"/>
      <c r="AT674" s="35"/>
      <c r="AU674" s="35"/>
      <c r="AV674" s="35"/>
      <c r="AW674" s="35"/>
      <c r="AX674" s="35"/>
      <c r="AY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  <c r="AL675" s="35"/>
      <c r="AM675" s="35"/>
      <c r="AN675" s="35"/>
      <c r="AO675" s="35"/>
      <c r="AP675" s="35"/>
      <c r="AQ675" s="35"/>
      <c r="AR675" s="35"/>
      <c r="AS675" s="35"/>
      <c r="AT675" s="35"/>
      <c r="AU675" s="35"/>
      <c r="AV675" s="35"/>
      <c r="AW675" s="35"/>
      <c r="AX675" s="35"/>
      <c r="AY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  <c r="AL676" s="35"/>
      <c r="AM676" s="35"/>
      <c r="AN676" s="35"/>
      <c r="AO676" s="35"/>
      <c r="AP676" s="35"/>
      <c r="AQ676" s="35"/>
      <c r="AR676" s="35"/>
      <c r="AS676" s="35"/>
      <c r="AT676" s="35"/>
      <c r="AU676" s="35"/>
      <c r="AV676" s="35"/>
      <c r="AW676" s="35"/>
      <c r="AX676" s="35"/>
      <c r="AY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  <c r="AL677" s="35"/>
      <c r="AM677" s="35"/>
      <c r="AN677" s="35"/>
      <c r="AO677" s="35"/>
      <c r="AP677" s="35"/>
      <c r="AQ677" s="35"/>
      <c r="AR677" s="35"/>
      <c r="AS677" s="35"/>
      <c r="AT677" s="35"/>
      <c r="AU677" s="35"/>
      <c r="AV677" s="35"/>
      <c r="AW677" s="35"/>
      <c r="AX677" s="35"/>
      <c r="AY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  <c r="AL678" s="35"/>
      <c r="AM678" s="35"/>
      <c r="AN678" s="35"/>
      <c r="AO678" s="35"/>
      <c r="AP678" s="35"/>
      <c r="AQ678" s="35"/>
      <c r="AR678" s="35"/>
      <c r="AS678" s="35"/>
      <c r="AT678" s="35"/>
      <c r="AU678" s="35"/>
      <c r="AV678" s="35"/>
      <c r="AW678" s="35"/>
      <c r="AX678" s="35"/>
      <c r="AY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  <c r="AL679" s="35"/>
      <c r="AM679" s="35"/>
      <c r="AN679" s="35"/>
      <c r="AO679" s="35"/>
      <c r="AP679" s="35"/>
      <c r="AQ679" s="35"/>
      <c r="AR679" s="35"/>
      <c r="AS679" s="35"/>
      <c r="AT679" s="35"/>
      <c r="AU679" s="35"/>
      <c r="AV679" s="35"/>
      <c r="AW679" s="35"/>
      <c r="AX679" s="35"/>
      <c r="AY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  <c r="AL680" s="35"/>
      <c r="AM680" s="35"/>
      <c r="AN680" s="35"/>
      <c r="AO680" s="35"/>
      <c r="AP680" s="35"/>
      <c r="AQ680" s="35"/>
      <c r="AR680" s="35"/>
      <c r="AS680" s="35"/>
      <c r="AT680" s="35"/>
      <c r="AU680" s="35"/>
      <c r="AV680" s="35"/>
      <c r="AW680" s="35"/>
      <c r="AX680" s="35"/>
      <c r="AY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  <c r="AL681" s="35"/>
      <c r="AM681" s="35"/>
      <c r="AN681" s="35"/>
      <c r="AO681" s="35"/>
      <c r="AP681" s="35"/>
      <c r="AQ681" s="35"/>
      <c r="AR681" s="35"/>
      <c r="AS681" s="35"/>
      <c r="AT681" s="35"/>
      <c r="AU681" s="35"/>
      <c r="AV681" s="35"/>
      <c r="AW681" s="35"/>
      <c r="AX681" s="35"/>
      <c r="AY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  <c r="AL682" s="35"/>
      <c r="AM682" s="35"/>
      <c r="AN682" s="35"/>
      <c r="AO682" s="35"/>
      <c r="AP682" s="35"/>
      <c r="AQ682" s="35"/>
      <c r="AR682" s="35"/>
      <c r="AS682" s="35"/>
      <c r="AT682" s="35"/>
      <c r="AU682" s="35"/>
      <c r="AV682" s="35"/>
      <c r="AW682" s="35"/>
      <c r="AX682" s="35"/>
      <c r="AY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  <c r="AL683" s="35"/>
      <c r="AM683" s="35"/>
      <c r="AN683" s="35"/>
      <c r="AO683" s="35"/>
      <c r="AP683" s="35"/>
      <c r="AQ683" s="35"/>
      <c r="AR683" s="35"/>
      <c r="AS683" s="35"/>
      <c r="AT683" s="35"/>
      <c r="AU683" s="35"/>
      <c r="AV683" s="35"/>
      <c r="AW683" s="35"/>
      <c r="AX683" s="35"/>
      <c r="AY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  <c r="AL684" s="35"/>
      <c r="AM684" s="35"/>
      <c r="AN684" s="35"/>
      <c r="AO684" s="35"/>
      <c r="AP684" s="35"/>
      <c r="AQ684" s="35"/>
      <c r="AR684" s="35"/>
      <c r="AS684" s="35"/>
      <c r="AT684" s="35"/>
      <c r="AU684" s="35"/>
      <c r="AV684" s="35"/>
      <c r="AW684" s="35"/>
      <c r="AX684" s="35"/>
      <c r="AY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  <c r="AL685" s="35"/>
      <c r="AM685" s="35"/>
      <c r="AN685" s="35"/>
      <c r="AO685" s="35"/>
      <c r="AP685" s="35"/>
      <c r="AQ685" s="35"/>
      <c r="AR685" s="35"/>
      <c r="AS685" s="35"/>
      <c r="AT685" s="35"/>
      <c r="AU685" s="35"/>
      <c r="AV685" s="35"/>
      <c r="AW685" s="35"/>
      <c r="AX685" s="35"/>
      <c r="AY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  <c r="AL686" s="35"/>
      <c r="AM686" s="35"/>
      <c r="AN686" s="35"/>
      <c r="AO686" s="35"/>
      <c r="AP686" s="35"/>
      <c r="AQ686" s="35"/>
      <c r="AR686" s="35"/>
      <c r="AS686" s="35"/>
      <c r="AT686" s="35"/>
      <c r="AU686" s="35"/>
      <c r="AV686" s="35"/>
      <c r="AW686" s="35"/>
      <c r="AX686" s="35"/>
      <c r="AY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  <c r="AL687" s="35"/>
      <c r="AM687" s="35"/>
      <c r="AN687" s="35"/>
      <c r="AO687" s="35"/>
      <c r="AP687" s="35"/>
      <c r="AQ687" s="35"/>
      <c r="AR687" s="35"/>
      <c r="AS687" s="35"/>
      <c r="AT687" s="35"/>
      <c r="AU687" s="35"/>
      <c r="AV687" s="35"/>
      <c r="AW687" s="35"/>
      <c r="AX687" s="35"/>
      <c r="AY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  <c r="AL688" s="35"/>
      <c r="AM688" s="35"/>
      <c r="AN688" s="35"/>
      <c r="AO688" s="35"/>
      <c r="AP688" s="35"/>
      <c r="AQ688" s="35"/>
      <c r="AR688" s="35"/>
      <c r="AS688" s="35"/>
      <c r="AT688" s="35"/>
      <c r="AU688" s="35"/>
      <c r="AV688" s="35"/>
      <c r="AW688" s="35"/>
      <c r="AX688" s="35"/>
      <c r="AY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  <c r="AL689" s="35"/>
      <c r="AM689" s="35"/>
      <c r="AN689" s="35"/>
      <c r="AO689" s="35"/>
      <c r="AP689" s="35"/>
      <c r="AQ689" s="35"/>
      <c r="AR689" s="35"/>
      <c r="AS689" s="35"/>
      <c r="AT689" s="35"/>
      <c r="AU689" s="35"/>
      <c r="AV689" s="35"/>
      <c r="AW689" s="35"/>
      <c r="AX689" s="35"/>
      <c r="AY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  <c r="AL690" s="35"/>
      <c r="AM690" s="35"/>
      <c r="AN690" s="35"/>
      <c r="AO690" s="35"/>
      <c r="AP690" s="35"/>
      <c r="AQ690" s="35"/>
      <c r="AR690" s="35"/>
      <c r="AS690" s="35"/>
      <c r="AT690" s="35"/>
      <c r="AU690" s="35"/>
      <c r="AV690" s="35"/>
      <c r="AW690" s="35"/>
      <c r="AX690" s="35"/>
      <c r="AY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  <c r="AL691" s="35"/>
      <c r="AM691" s="35"/>
      <c r="AN691" s="35"/>
      <c r="AO691" s="35"/>
      <c r="AP691" s="35"/>
      <c r="AQ691" s="35"/>
      <c r="AR691" s="35"/>
      <c r="AS691" s="35"/>
      <c r="AT691" s="35"/>
      <c r="AU691" s="35"/>
      <c r="AV691" s="35"/>
      <c r="AW691" s="35"/>
      <c r="AX691" s="35"/>
      <c r="AY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  <c r="AL692" s="35"/>
      <c r="AM692" s="35"/>
      <c r="AN692" s="35"/>
      <c r="AO692" s="35"/>
      <c r="AP692" s="35"/>
      <c r="AQ692" s="35"/>
      <c r="AR692" s="35"/>
      <c r="AS692" s="35"/>
      <c r="AT692" s="35"/>
      <c r="AU692" s="35"/>
      <c r="AV692" s="35"/>
      <c r="AW692" s="35"/>
      <c r="AX692" s="35"/>
      <c r="AY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  <c r="AL693" s="35"/>
      <c r="AM693" s="35"/>
      <c r="AN693" s="35"/>
      <c r="AO693" s="35"/>
      <c r="AP693" s="35"/>
      <c r="AQ693" s="35"/>
      <c r="AR693" s="35"/>
      <c r="AS693" s="35"/>
      <c r="AT693" s="35"/>
      <c r="AU693" s="35"/>
      <c r="AV693" s="35"/>
      <c r="AW693" s="35"/>
      <c r="AX693" s="35"/>
      <c r="AY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  <c r="AL694" s="35"/>
      <c r="AM694" s="35"/>
      <c r="AN694" s="35"/>
      <c r="AO694" s="35"/>
      <c r="AP694" s="35"/>
      <c r="AQ694" s="35"/>
      <c r="AR694" s="35"/>
      <c r="AS694" s="35"/>
      <c r="AT694" s="35"/>
      <c r="AU694" s="35"/>
      <c r="AV694" s="35"/>
      <c r="AW694" s="35"/>
      <c r="AX694" s="35"/>
      <c r="AY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  <c r="AL695" s="35"/>
      <c r="AM695" s="35"/>
      <c r="AN695" s="35"/>
      <c r="AO695" s="35"/>
      <c r="AP695" s="35"/>
      <c r="AQ695" s="35"/>
      <c r="AR695" s="35"/>
      <c r="AS695" s="35"/>
      <c r="AT695" s="35"/>
      <c r="AU695" s="35"/>
      <c r="AV695" s="35"/>
      <c r="AW695" s="35"/>
      <c r="AX695" s="35"/>
      <c r="AY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  <c r="AL696" s="35"/>
      <c r="AM696" s="35"/>
      <c r="AN696" s="35"/>
      <c r="AO696" s="35"/>
      <c r="AP696" s="35"/>
      <c r="AQ696" s="35"/>
      <c r="AR696" s="35"/>
      <c r="AS696" s="35"/>
      <c r="AT696" s="35"/>
      <c r="AU696" s="35"/>
      <c r="AV696" s="35"/>
      <c r="AW696" s="35"/>
      <c r="AX696" s="35"/>
      <c r="AY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  <c r="AL697" s="35"/>
      <c r="AM697" s="35"/>
      <c r="AN697" s="35"/>
      <c r="AO697" s="35"/>
      <c r="AP697" s="35"/>
      <c r="AQ697" s="35"/>
      <c r="AR697" s="35"/>
      <c r="AS697" s="35"/>
      <c r="AT697" s="35"/>
      <c r="AU697" s="35"/>
      <c r="AV697" s="35"/>
      <c r="AW697" s="35"/>
      <c r="AX697" s="35"/>
      <c r="AY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  <c r="AL698" s="35"/>
      <c r="AM698" s="35"/>
      <c r="AN698" s="35"/>
      <c r="AO698" s="35"/>
      <c r="AP698" s="35"/>
      <c r="AQ698" s="35"/>
      <c r="AR698" s="35"/>
      <c r="AS698" s="35"/>
      <c r="AT698" s="35"/>
      <c r="AU698" s="35"/>
      <c r="AV698" s="35"/>
      <c r="AW698" s="35"/>
      <c r="AX698" s="35"/>
      <c r="AY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  <c r="AL699" s="35"/>
      <c r="AM699" s="35"/>
      <c r="AN699" s="35"/>
      <c r="AO699" s="35"/>
      <c r="AP699" s="35"/>
      <c r="AQ699" s="35"/>
      <c r="AR699" s="35"/>
      <c r="AS699" s="35"/>
      <c r="AT699" s="35"/>
      <c r="AU699" s="35"/>
      <c r="AV699" s="35"/>
      <c r="AW699" s="35"/>
      <c r="AX699" s="35"/>
      <c r="AY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  <c r="AL700" s="35"/>
      <c r="AM700" s="35"/>
      <c r="AN700" s="35"/>
      <c r="AO700" s="35"/>
      <c r="AP700" s="35"/>
      <c r="AQ700" s="35"/>
      <c r="AR700" s="35"/>
      <c r="AS700" s="35"/>
      <c r="AT700" s="35"/>
      <c r="AU700" s="35"/>
      <c r="AV700" s="35"/>
      <c r="AW700" s="35"/>
      <c r="AX700" s="35"/>
      <c r="AY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  <c r="AL701" s="35"/>
      <c r="AM701" s="35"/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  <c r="AL702" s="35"/>
      <c r="AM702" s="35"/>
      <c r="AN702" s="35"/>
      <c r="AO702" s="35"/>
      <c r="AP702" s="35"/>
      <c r="AQ702" s="35"/>
      <c r="AR702" s="35"/>
      <c r="AS702" s="35"/>
      <c r="AT702" s="35"/>
      <c r="AU702" s="35"/>
      <c r="AV702" s="35"/>
      <c r="AW702" s="35"/>
      <c r="AX702" s="35"/>
      <c r="AY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  <c r="AL703" s="35"/>
      <c r="AM703" s="35"/>
      <c r="AN703" s="35"/>
      <c r="AO703" s="35"/>
      <c r="AP703" s="35"/>
      <c r="AQ703" s="35"/>
      <c r="AR703" s="35"/>
      <c r="AS703" s="35"/>
      <c r="AT703" s="35"/>
      <c r="AU703" s="35"/>
      <c r="AV703" s="35"/>
      <c r="AW703" s="35"/>
      <c r="AX703" s="35"/>
      <c r="AY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  <c r="AL704" s="35"/>
      <c r="AM704" s="35"/>
      <c r="AN704" s="35"/>
      <c r="AO704" s="35"/>
      <c r="AP704" s="35"/>
      <c r="AQ704" s="35"/>
      <c r="AR704" s="35"/>
      <c r="AS704" s="35"/>
      <c r="AT704" s="35"/>
      <c r="AU704" s="35"/>
      <c r="AV704" s="35"/>
      <c r="AW704" s="35"/>
      <c r="AX704" s="35"/>
      <c r="AY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  <c r="AL705" s="35"/>
      <c r="AM705" s="35"/>
      <c r="AN705" s="35"/>
      <c r="AO705" s="35"/>
      <c r="AP705" s="35"/>
      <c r="AQ705" s="35"/>
      <c r="AR705" s="35"/>
      <c r="AS705" s="35"/>
      <c r="AT705" s="35"/>
      <c r="AU705" s="35"/>
      <c r="AV705" s="35"/>
      <c r="AW705" s="35"/>
      <c r="AX705" s="35"/>
      <c r="AY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  <c r="AL706" s="35"/>
      <c r="AM706" s="35"/>
      <c r="AN706" s="35"/>
      <c r="AO706" s="35"/>
      <c r="AP706" s="35"/>
      <c r="AQ706" s="35"/>
      <c r="AR706" s="35"/>
      <c r="AS706" s="35"/>
      <c r="AT706" s="35"/>
      <c r="AU706" s="35"/>
      <c r="AV706" s="35"/>
      <c r="AW706" s="35"/>
      <c r="AX706" s="35"/>
      <c r="AY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  <c r="AL707" s="35"/>
      <c r="AM707" s="35"/>
      <c r="AN707" s="35"/>
      <c r="AO707" s="35"/>
      <c r="AP707" s="35"/>
      <c r="AQ707" s="35"/>
      <c r="AR707" s="35"/>
      <c r="AS707" s="35"/>
      <c r="AT707" s="35"/>
      <c r="AU707" s="35"/>
      <c r="AV707" s="35"/>
      <c r="AW707" s="35"/>
      <c r="AX707" s="35"/>
      <c r="AY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  <c r="AL708" s="35"/>
      <c r="AM708" s="35"/>
      <c r="AN708" s="35"/>
      <c r="AO708" s="35"/>
      <c r="AP708" s="35"/>
      <c r="AQ708" s="35"/>
      <c r="AR708" s="35"/>
      <c r="AS708" s="35"/>
      <c r="AT708" s="35"/>
      <c r="AU708" s="35"/>
      <c r="AV708" s="35"/>
      <c r="AW708" s="35"/>
      <c r="AX708" s="35"/>
      <c r="AY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  <c r="AL709" s="35"/>
      <c r="AM709" s="35"/>
      <c r="AN709" s="35"/>
      <c r="AO709" s="35"/>
      <c r="AP709" s="35"/>
      <c r="AQ709" s="35"/>
      <c r="AR709" s="35"/>
      <c r="AS709" s="35"/>
      <c r="AT709" s="35"/>
      <c r="AU709" s="35"/>
      <c r="AV709" s="35"/>
      <c r="AW709" s="35"/>
      <c r="AX709" s="35"/>
      <c r="AY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  <c r="AL710" s="35"/>
      <c r="AM710" s="35"/>
      <c r="AN710" s="35"/>
      <c r="AO710" s="35"/>
      <c r="AP710" s="35"/>
      <c r="AQ710" s="35"/>
      <c r="AR710" s="35"/>
      <c r="AS710" s="35"/>
      <c r="AT710" s="35"/>
      <c r="AU710" s="35"/>
      <c r="AV710" s="35"/>
      <c r="AW710" s="35"/>
      <c r="AX710" s="35"/>
      <c r="AY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  <c r="AL711" s="35"/>
      <c r="AM711" s="35"/>
      <c r="AN711" s="35"/>
      <c r="AO711" s="35"/>
      <c r="AP711" s="35"/>
      <c r="AQ711" s="35"/>
      <c r="AR711" s="35"/>
      <c r="AS711" s="35"/>
      <c r="AT711" s="35"/>
      <c r="AU711" s="35"/>
      <c r="AV711" s="35"/>
      <c r="AW711" s="35"/>
      <c r="AX711" s="35"/>
      <c r="AY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  <c r="AL712" s="35"/>
      <c r="AM712" s="35"/>
      <c r="AN712" s="35"/>
      <c r="AO712" s="35"/>
      <c r="AP712" s="35"/>
      <c r="AQ712" s="35"/>
      <c r="AR712" s="35"/>
      <c r="AS712" s="35"/>
      <c r="AT712" s="35"/>
      <c r="AU712" s="35"/>
      <c r="AV712" s="35"/>
      <c r="AW712" s="35"/>
      <c r="AX712" s="35"/>
      <c r="AY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  <c r="AL713" s="35"/>
      <c r="AM713" s="35"/>
      <c r="AN713" s="35"/>
      <c r="AO713" s="35"/>
      <c r="AP713" s="35"/>
      <c r="AQ713" s="35"/>
      <c r="AR713" s="35"/>
      <c r="AS713" s="35"/>
      <c r="AT713" s="35"/>
      <c r="AU713" s="35"/>
      <c r="AV713" s="35"/>
      <c r="AW713" s="35"/>
      <c r="AX713" s="35"/>
      <c r="AY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  <c r="AK714" s="35"/>
      <c r="AL714" s="35"/>
      <c r="AM714" s="35"/>
      <c r="AN714" s="35"/>
      <c r="AO714" s="35"/>
      <c r="AP714" s="35"/>
      <c r="AQ714" s="35"/>
      <c r="AR714" s="35"/>
      <c r="AS714" s="35"/>
      <c r="AT714" s="35"/>
      <c r="AU714" s="35"/>
      <c r="AV714" s="35"/>
      <c r="AW714" s="35"/>
      <c r="AX714" s="35"/>
      <c r="AY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  <c r="AK715" s="35"/>
      <c r="AL715" s="35"/>
      <c r="AM715" s="35"/>
      <c r="AN715" s="35"/>
      <c r="AO715" s="35"/>
      <c r="AP715" s="35"/>
      <c r="AQ715" s="35"/>
      <c r="AR715" s="35"/>
      <c r="AS715" s="35"/>
      <c r="AT715" s="35"/>
      <c r="AU715" s="35"/>
      <c r="AV715" s="35"/>
      <c r="AW715" s="35"/>
      <c r="AX715" s="35"/>
      <c r="AY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  <c r="AK716" s="35"/>
      <c r="AL716" s="35"/>
      <c r="AM716" s="35"/>
      <c r="AN716" s="35"/>
      <c r="AO716" s="35"/>
      <c r="AP716" s="35"/>
      <c r="AQ716" s="35"/>
      <c r="AR716" s="35"/>
      <c r="AS716" s="35"/>
      <c r="AT716" s="35"/>
      <c r="AU716" s="35"/>
      <c r="AV716" s="35"/>
      <c r="AW716" s="35"/>
      <c r="AX716" s="35"/>
      <c r="AY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  <c r="AK717" s="35"/>
      <c r="AL717" s="35"/>
      <c r="AM717" s="35"/>
      <c r="AN717" s="35"/>
      <c r="AO717" s="35"/>
      <c r="AP717" s="35"/>
      <c r="AQ717" s="35"/>
      <c r="AR717" s="35"/>
      <c r="AS717" s="35"/>
      <c r="AT717" s="35"/>
      <c r="AU717" s="35"/>
      <c r="AV717" s="35"/>
      <c r="AW717" s="35"/>
      <c r="AX717" s="35"/>
      <c r="AY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  <c r="AK718" s="35"/>
      <c r="AL718" s="35"/>
      <c r="AM718" s="35"/>
      <c r="AN718" s="35"/>
      <c r="AO718" s="35"/>
      <c r="AP718" s="35"/>
      <c r="AQ718" s="35"/>
      <c r="AR718" s="35"/>
      <c r="AS718" s="35"/>
      <c r="AT718" s="35"/>
      <c r="AU718" s="35"/>
      <c r="AV718" s="35"/>
      <c r="AW718" s="35"/>
      <c r="AX718" s="35"/>
      <c r="AY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  <c r="AK719" s="35"/>
      <c r="AL719" s="35"/>
      <c r="AM719" s="35"/>
      <c r="AN719" s="35"/>
      <c r="AO719" s="35"/>
      <c r="AP719" s="35"/>
      <c r="AQ719" s="35"/>
      <c r="AR719" s="35"/>
      <c r="AS719" s="35"/>
      <c r="AT719" s="35"/>
      <c r="AU719" s="35"/>
      <c r="AV719" s="35"/>
      <c r="AW719" s="35"/>
      <c r="AX719" s="35"/>
      <c r="AY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  <c r="AK720" s="35"/>
      <c r="AL720" s="35"/>
      <c r="AM720" s="35"/>
      <c r="AN720" s="35"/>
      <c r="AO720" s="35"/>
      <c r="AP720" s="35"/>
      <c r="AQ720" s="35"/>
      <c r="AR720" s="35"/>
      <c r="AS720" s="35"/>
      <c r="AT720" s="35"/>
      <c r="AU720" s="35"/>
      <c r="AV720" s="35"/>
      <c r="AW720" s="35"/>
      <c r="AX720" s="35"/>
      <c r="AY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  <c r="AK721" s="35"/>
      <c r="AL721" s="35"/>
      <c r="AM721" s="35"/>
      <c r="AN721" s="35"/>
      <c r="AO721" s="35"/>
      <c r="AP721" s="35"/>
      <c r="AQ721" s="35"/>
      <c r="AR721" s="35"/>
      <c r="AS721" s="35"/>
      <c r="AT721" s="35"/>
      <c r="AU721" s="35"/>
      <c r="AV721" s="35"/>
      <c r="AW721" s="35"/>
      <c r="AX721" s="35"/>
      <c r="AY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  <c r="AK722" s="35"/>
      <c r="AL722" s="35"/>
      <c r="AM722" s="35"/>
      <c r="AN722" s="35"/>
      <c r="AO722" s="35"/>
      <c r="AP722" s="35"/>
      <c r="AQ722" s="35"/>
      <c r="AR722" s="35"/>
      <c r="AS722" s="35"/>
      <c r="AT722" s="35"/>
      <c r="AU722" s="35"/>
      <c r="AV722" s="35"/>
      <c r="AW722" s="35"/>
      <c r="AX722" s="35"/>
      <c r="AY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  <c r="AK723" s="35"/>
      <c r="AL723" s="35"/>
      <c r="AM723" s="35"/>
      <c r="AN723" s="35"/>
      <c r="AO723" s="35"/>
      <c r="AP723" s="35"/>
      <c r="AQ723" s="35"/>
      <c r="AR723" s="35"/>
      <c r="AS723" s="35"/>
      <c r="AT723" s="35"/>
      <c r="AU723" s="35"/>
      <c r="AV723" s="35"/>
      <c r="AW723" s="35"/>
      <c r="AX723" s="35"/>
      <c r="AY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  <c r="AK724" s="35"/>
      <c r="AL724" s="35"/>
      <c r="AM724" s="35"/>
      <c r="AN724" s="35"/>
      <c r="AO724" s="35"/>
      <c r="AP724" s="35"/>
      <c r="AQ724" s="35"/>
      <c r="AR724" s="35"/>
      <c r="AS724" s="35"/>
      <c r="AT724" s="35"/>
      <c r="AU724" s="35"/>
      <c r="AV724" s="35"/>
      <c r="AW724" s="35"/>
      <c r="AX724" s="35"/>
      <c r="AY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  <c r="AK725" s="35"/>
      <c r="AL725" s="35"/>
      <c r="AM725" s="35"/>
      <c r="AN725" s="35"/>
      <c r="AO725" s="35"/>
      <c r="AP725" s="35"/>
      <c r="AQ725" s="35"/>
      <c r="AR725" s="35"/>
      <c r="AS725" s="35"/>
      <c r="AT725" s="35"/>
      <c r="AU725" s="35"/>
      <c r="AV725" s="35"/>
      <c r="AW725" s="35"/>
      <c r="AX725" s="35"/>
      <c r="AY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  <c r="AK726" s="35"/>
      <c r="AL726" s="35"/>
      <c r="AM726" s="35"/>
      <c r="AN726" s="35"/>
      <c r="AO726" s="35"/>
      <c r="AP726" s="35"/>
      <c r="AQ726" s="35"/>
      <c r="AR726" s="35"/>
      <c r="AS726" s="35"/>
      <c r="AT726" s="35"/>
      <c r="AU726" s="35"/>
      <c r="AV726" s="35"/>
      <c r="AW726" s="35"/>
      <c r="AX726" s="35"/>
      <c r="AY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  <c r="AK727" s="35"/>
      <c r="AL727" s="35"/>
      <c r="AM727" s="35"/>
      <c r="AN727" s="35"/>
      <c r="AO727" s="35"/>
      <c r="AP727" s="35"/>
      <c r="AQ727" s="35"/>
      <c r="AR727" s="35"/>
      <c r="AS727" s="35"/>
      <c r="AT727" s="35"/>
      <c r="AU727" s="35"/>
      <c r="AV727" s="35"/>
      <c r="AW727" s="35"/>
      <c r="AX727" s="35"/>
      <c r="AY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  <c r="AK728" s="35"/>
      <c r="AL728" s="35"/>
      <c r="AM728" s="35"/>
      <c r="AN728" s="35"/>
      <c r="AO728" s="35"/>
      <c r="AP728" s="35"/>
      <c r="AQ728" s="35"/>
      <c r="AR728" s="35"/>
      <c r="AS728" s="35"/>
      <c r="AT728" s="35"/>
      <c r="AU728" s="35"/>
      <c r="AV728" s="35"/>
      <c r="AW728" s="35"/>
      <c r="AX728" s="35"/>
      <c r="AY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  <c r="AK729" s="35"/>
      <c r="AL729" s="35"/>
      <c r="AM729" s="35"/>
      <c r="AN729" s="35"/>
      <c r="AO729" s="35"/>
      <c r="AP729" s="35"/>
      <c r="AQ729" s="35"/>
      <c r="AR729" s="35"/>
      <c r="AS729" s="35"/>
      <c r="AT729" s="35"/>
      <c r="AU729" s="35"/>
      <c r="AV729" s="35"/>
      <c r="AW729" s="35"/>
      <c r="AX729" s="35"/>
      <c r="AY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  <c r="AK730" s="35"/>
      <c r="AL730" s="35"/>
      <c r="AM730" s="35"/>
      <c r="AN730" s="35"/>
      <c r="AO730" s="35"/>
      <c r="AP730" s="35"/>
      <c r="AQ730" s="35"/>
      <c r="AR730" s="35"/>
      <c r="AS730" s="35"/>
      <c r="AT730" s="35"/>
      <c r="AU730" s="35"/>
      <c r="AV730" s="35"/>
      <c r="AW730" s="35"/>
      <c r="AX730" s="35"/>
      <c r="AY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  <c r="AK731" s="35"/>
      <c r="AL731" s="35"/>
      <c r="AM731" s="35"/>
      <c r="AN731" s="35"/>
      <c r="AO731" s="35"/>
      <c r="AP731" s="35"/>
      <c r="AQ731" s="35"/>
      <c r="AR731" s="35"/>
      <c r="AS731" s="35"/>
      <c r="AT731" s="35"/>
      <c r="AU731" s="35"/>
      <c r="AV731" s="35"/>
      <c r="AW731" s="35"/>
      <c r="AX731" s="35"/>
      <c r="AY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  <c r="AK732" s="35"/>
      <c r="AL732" s="35"/>
      <c r="AM732" s="35"/>
      <c r="AN732" s="35"/>
      <c r="AO732" s="35"/>
      <c r="AP732" s="35"/>
      <c r="AQ732" s="35"/>
      <c r="AR732" s="35"/>
      <c r="AS732" s="35"/>
      <c r="AT732" s="35"/>
      <c r="AU732" s="35"/>
      <c r="AV732" s="35"/>
      <c r="AW732" s="35"/>
      <c r="AX732" s="35"/>
      <c r="AY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  <c r="AK733" s="35"/>
      <c r="AL733" s="35"/>
      <c r="AM733" s="35"/>
      <c r="AN733" s="35"/>
      <c r="AO733" s="35"/>
      <c r="AP733" s="35"/>
      <c r="AQ733" s="35"/>
      <c r="AR733" s="35"/>
      <c r="AS733" s="35"/>
      <c r="AT733" s="35"/>
      <c r="AU733" s="35"/>
      <c r="AV733" s="35"/>
      <c r="AW733" s="35"/>
      <c r="AX733" s="35"/>
      <c r="AY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  <c r="AK734" s="35"/>
      <c r="AL734" s="35"/>
      <c r="AM734" s="35"/>
      <c r="AN734" s="35"/>
      <c r="AO734" s="35"/>
      <c r="AP734" s="35"/>
      <c r="AQ734" s="35"/>
      <c r="AR734" s="35"/>
      <c r="AS734" s="35"/>
      <c r="AT734" s="35"/>
      <c r="AU734" s="35"/>
      <c r="AV734" s="35"/>
      <c r="AW734" s="35"/>
      <c r="AX734" s="35"/>
      <c r="AY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  <c r="AK735" s="35"/>
      <c r="AL735" s="35"/>
      <c r="AM735" s="35"/>
      <c r="AN735" s="35"/>
      <c r="AO735" s="35"/>
      <c r="AP735" s="35"/>
      <c r="AQ735" s="35"/>
      <c r="AR735" s="35"/>
      <c r="AS735" s="35"/>
      <c r="AT735" s="35"/>
      <c r="AU735" s="35"/>
      <c r="AV735" s="35"/>
      <c r="AW735" s="35"/>
      <c r="AX735" s="35"/>
      <c r="AY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  <c r="AK736" s="35"/>
      <c r="AL736" s="35"/>
      <c r="AM736" s="35"/>
      <c r="AN736" s="35"/>
      <c r="AO736" s="35"/>
      <c r="AP736" s="35"/>
      <c r="AQ736" s="35"/>
      <c r="AR736" s="35"/>
      <c r="AS736" s="35"/>
      <c r="AT736" s="35"/>
      <c r="AU736" s="35"/>
      <c r="AV736" s="35"/>
      <c r="AW736" s="35"/>
      <c r="AX736" s="35"/>
      <c r="AY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  <c r="AK737" s="35"/>
      <c r="AL737" s="35"/>
      <c r="AM737" s="35"/>
      <c r="AN737" s="35"/>
      <c r="AO737" s="35"/>
      <c r="AP737" s="35"/>
      <c r="AQ737" s="35"/>
      <c r="AR737" s="35"/>
      <c r="AS737" s="35"/>
      <c r="AT737" s="35"/>
      <c r="AU737" s="35"/>
      <c r="AV737" s="35"/>
      <c r="AW737" s="35"/>
      <c r="AX737" s="35"/>
      <c r="AY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  <c r="AK738" s="35"/>
      <c r="AL738" s="35"/>
      <c r="AM738" s="35"/>
      <c r="AN738" s="35"/>
      <c r="AO738" s="35"/>
      <c r="AP738" s="35"/>
      <c r="AQ738" s="35"/>
      <c r="AR738" s="35"/>
      <c r="AS738" s="35"/>
      <c r="AT738" s="35"/>
      <c r="AU738" s="35"/>
      <c r="AV738" s="35"/>
      <c r="AW738" s="35"/>
      <c r="AX738" s="35"/>
      <c r="AY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  <c r="AK739" s="35"/>
      <c r="AL739" s="35"/>
      <c r="AM739" s="35"/>
      <c r="AN739" s="35"/>
      <c r="AO739" s="35"/>
      <c r="AP739" s="35"/>
      <c r="AQ739" s="35"/>
      <c r="AR739" s="35"/>
      <c r="AS739" s="35"/>
      <c r="AT739" s="35"/>
      <c r="AU739" s="35"/>
      <c r="AV739" s="35"/>
      <c r="AW739" s="35"/>
      <c r="AX739" s="35"/>
      <c r="AY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  <c r="AK740" s="35"/>
      <c r="AL740" s="35"/>
      <c r="AM740" s="35"/>
      <c r="AN740" s="35"/>
      <c r="AO740" s="35"/>
      <c r="AP740" s="35"/>
      <c r="AQ740" s="35"/>
      <c r="AR740" s="35"/>
      <c r="AS740" s="35"/>
      <c r="AT740" s="35"/>
      <c r="AU740" s="35"/>
      <c r="AV740" s="35"/>
      <c r="AW740" s="35"/>
      <c r="AX740" s="35"/>
      <c r="AY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  <c r="AK741" s="35"/>
      <c r="AL741" s="35"/>
      <c r="AM741" s="35"/>
      <c r="AN741" s="35"/>
      <c r="AO741" s="35"/>
      <c r="AP741" s="35"/>
      <c r="AQ741" s="35"/>
      <c r="AR741" s="35"/>
      <c r="AS741" s="35"/>
      <c r="AT741" s="35"/>
      <c r="AU741" s="35"/>
      <c r="AV741" s="35"/>
      <c r="AW741" s="35"/>
      <c r="AX741" s="35"/>
      <c r="AY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  <c r="AK742" s="35"/>
      <c r="AL742" s="35"/>
      <c r="AM742" s="35"/>
      <c r="AN742" s="35"/>
      <c r="AO742" s="35"/>
      <c r="AP742" s="35"/>
      <c r="AQ742" s="35"/>
      <c r="AR742" s="35"/>
      <c r="AS742" s="35"/>
      <c r="AT742" s="35"/>
      <c r="AU742" s="35"/>
      <c r="AV742" s="35"/>
      <c r="AW742" s="35"/>
      <c r="AX742" s="35"/>
      <c r="AY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  <c r="AK743" s="35"/>
      <c r="AL743" s="35"/>
      <c r="AM743" s="35"/>
      <c r="AN743" s="35"/>
      <c r="AO743" s="35"/>
      <c r="AP743" s="35"/>
      <c r="AQ743" s="35"/>
      <c r="AR743" s="35"/>
      <c r="AS743" s="35"/>
      <c r="AT743" s="35"/>
      <c r="AU743" s="35"/>
      <c r="AV743" s="35"/>
      <c r="AW743" s="35"/>
      <c r="AX743" s="35"/>
      <c r="AY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  <c r="AK744" s="35"/>
      <c r="AL744" s="35"/>
      <c r="AM744" s="35"/>
      <c r="AN744" s="35"/>
      <c r="AO744" s="35"/>
      <c r="AP744" s="35"/>
      <c r="AQ744" s="35"/>
      <c r="AR744" s="35"/>
      <c r="AS744" s="35"/>
      <c r="AT744" s="35"/>
      <c r="AU744" s="35"/>
      <c r="AV744" s="35"/>
      <c r="AW744" s="35"/>
      <c r="AX744" s="35"/>
      <c r="AY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  <c r="AK745" s="35"/>
      <c r="AL745" s="35"/>
      <c r="AM745" s="35"/>
      <c r="AN745" s="35"/>
      <c r="AO745" s="35"/>
      <c r="AP745" s="35"/>
      <c r="AQ745" s="35"/>
      <c r="AR745" s="35"/>
      <c r="AS745" s="35"/>
      <c r="AT745" s="35"/>
      <c r="AU745" s="35"/>
      <c r="AV745" s="35"/>
      <c r="AW745" s="35"/>
      <c r="AX745" s="35"/>
      <c r="AY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  <c r="AK746" s="35"/>
      <c r="AL746" s="35"/>
      <c r="AM746" s="35"/>
      <c r="AN746" s="35"/>
      <c r="AO746" s="35"/>
      <c r="AP746" s="35"/>
      <c r="AQ746" s="35"/>
      <c r="AR746" s="35"/>
      <c r="AS746" s="35"/>
      <c r="AT746" s="35"/>
      <c r="AU746" s="35"/>
      <c r="AV746" s="35"/>
      <c r="AW746" s="35"/>
      <c r="AX746" s="35"/>
      <c r="AY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  <c r="AK747" s="35"/>
      <c r="AL747" s="35"/>
      <c r="AM747" s="35"/>
      <c r="AN747" s="35"/>
      <c r="AO747" s="35"/>
      <c r="AP747" s="35"/>
      <c r="AQ747" s="35"/>
      <c r="AR747" s="35"/>
      <c r="AS747" s="35"/>
      <c r="AT747" s="35"/>
      <c r="AU747" s="35"/>
      <c r="AV747" s="35"/>
      <c r="AW747" s="35"/>
      <c r="AX747" s="35"/>
      <c r="AY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  <c r="AK748" s="35"/>
      <c r="AL748" s="35"/>
      <c r="AM748" s="35"/>
      <c r="AN748" s="35"/>
      <c r="AO748" s="35"/>
      <c r="AP748" s="35"/>
      <c r="AQ748" s="35"/>
      <c r="AR748" s="35"/>
      <c r="AS748" s="35"/>
      <c r="AT748" s="35"/>
      <c r="AU748" s="35"/>
      <c r="AV748" s="35"/>
      <c r="AW748" s="35"/>
      <c r="AX748" s="35"/>
      <c r="AY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  <c r="AK749" s="35"/>
      <c r="AL749" s="35"/>
      <c r="AM749" s="35"/>
      <c r="AN749" s="35"/>
      <c r="AO749" s="35"/>
      <c r="AP749" s="35"/>
      <c r="AQ749" s="35"/>
      <c r="AR749" s="35"/>
      <c r="AS749" s="35"/>
      <c r="AT749" s="35"/>
      <c r="AU749" s="35"/>
      <c r="AV749" s="35"/>
      <c r="AW749" s="35"/>
      <c r="AX749" s="35"/>
      <c r="AY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  <c r="AK750" s="35"/>
      <c r="AL750" s="35"/>
      <c r="AM750" s="35"/>
      <c r="AN750" s="35"/>
      <c r="AO750" s="35"/>
      <c r="AP750" s="35"/>
      <c r="AQ750" s="35"/>
      <c r="AR750" s="35"/>
      <c r="AS750" s="35"/>
      <c r="AT750" s="35"/>
      <c r="AU750" s="35"/>
      <c r="AV750" s="35"/>
      <c r="AW750" s="35"/>
      <c r="AX750" s="35"/>
      <c r="AY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  <c r="AK751" s="35"/>
      <c r="AL751" s="35"/>
      <c r="AM751" s="35"/>
      <c r="AN751" s="35"/>
      <c r="AO751" s="35"/>
      <c r="AP751" s="35"/>
      <c r="AQ751" s="35"/>
      <c r="AR751" s="35"/>
      <c r="AS751" s="35"/>
      <c r="AT751" s="35"/>
      <c r="AU751" s="35"/>
      <c r="AV751" s="35"/>
      <c r="AW751" s="35"/>
      <c r="AX751" s="35"/>
      <c r="AY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  <c r="AK752" s="35"/>
      <c r="AL752" s="35"/>
      <c r="AM752" s="35"/>
      <c r="AN752" s="35"/>
      <c r="AO752" s="35"/>
      <c r="AP752" s="35"/>
      <c r="AQ752" s="35"/>
      <c r="AR752" s="35"/>
      <c r="AS752" s="35"/>
      <c r="AT752" s="35"/>
      <c r="AU752" s="35"/>
      <c r="AV752" s="35"/>
      <c r="AW752" s="35"/>
      <c r="AX752" s="35"/>
      <c r="AY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  <c r="AK753" s="35"/>
      <c r="AL753" s="35"/>
      <c r="AM753" s="35"/>
      <c r="AN753" s="35"/>
      <c r="AO753" s="35"/>
      <c r="AP753" s="35"/>
      <c r="AQ753" s="35"/>
      <c r="AR753" s="35"/>
      <c r="AS753" s="35"/>
      <c r="AT753" s="35"/>
      <c r="AU753" s="35"/>
      <c r="AV753" s="35"/>
      <c r="AW753" s="35"/>
      <c r="AX753" s="35"/>
      <c r="AY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  <c r="AK754" s="35"/>
      <c r="AL754" s="35"/>
      <c r="AM754" s="35"/>
      <c r="AN754" s="35"/>
      <c r="AO754" s="35"/>
      <c r="AP754" s="35"/>
      <c r="AQ754" s="35"/>
      <c r="AR754" s="35"/>
      <c r="AS754" s="35"/>
      <c r="AT754" s="35"/>
      <c r="AU754" s="35"/>
      <c r="AV754" s="35"/>
      <c r="AW754" s="35"/>
      <c r="AX754" s="35"/>
      <c r="AY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  <c r="AK755" s="35"/>
      <c r="AL755" s="35"/>
      <c r="AM755" s="35"/>
      <c r="AN755" s="35"/>
      <c r="AO755" s="35"/>
      <c r="AP755" s="35"/>
      <c r="AQ755" s="35"/>
      <c r="AR755" s="35"/>
      <c r="AS755" s="35"/>
      <c r="AT755" s="35"/>
      <c r="AU755" s="35"/>
      <c r="AV755" s="35"/>
      <c r="AW755" s="35"/>
      <c r="AX755" s="35"/>
      <c r="AY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  <c r="AK756" s="35"/>
      <c r="AL756" s="35"/>
      <c r="AM756" s="35"/>
      <c r="AN756" s="35"/>
      <c r="AO756" s="35"/>
      <c r="AP756" s="35"/>
      <c r="AQ756" s="35"/>
      <c r="AR756" s="35"/>
      <c r="AS756" s="35"/>
      <c r="AT756" s="35"/>
      <c r="AU756" s="35"/>
      <c r="AV756" s="35"/>
      <c r="AW756" s="35"/>
      <c r="AX756" s="35"/>
      <c r="AY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  <c r="AK757" s="35"/>
      <c r="AL757" s="35"/>
      <c r="AM757" s="35"/>
      <c r="AN757" s="35"/>
      <c r="AO757" s="35"/>
      <c r="AP757" s="35"/>
      <c r="AQ757" s="35"/>
      <c r="AR757" s="35"/>
      <c r="AS757" s="35"/>
      <c r="AT757" s="35"/>
      <c r="AU757" s="35"/>
      <c r="AV757" s="35"/>
      <c r="AW757" s="35"/>
      <c r="AX757" s="35"/>
      <c r="AY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  <c r="AK758" s="35"/>
      <c r="AL758" s="35"/>
      <c r="AM758" s="35"/>
      <c r="AN758" s="35"/>
      <c r="AO758" s="35"/>
      <c r="AP758" s="35"/>
      <c r="AQ758" s="35"/>
      <c r="AR758" s="35"/>
      <c r="AS758" s="35"/>
      <c r="AT758" s="35"/>
      <c r="AU758" s="35"/>
      <c r="AV758" s="35"/>
      <c r="AW758" s="35"/>
      <c r="AX758" s="35"/>
      <c r="AY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  <c r="AK759" s="35"/>
      <c r="AL759" s="35"/>
      <c r="AM759" s="35"/>
      <c r="AN759" s="35"/>
      <c r="AO759" s="35"/>
      <c r="AP759" s="35"/>
      <c r="AQ759" s="35"/>
      <c r="AR759" s="35"/>
      <c r="AS759" s="35"/>
      <c r="AT759" s="35"/>
      <c r="AU759" s="35"/>
      <c r="AV759" s="35"/>
      <c r="AW759" s="35"/>
      <c r="AX759" s="35"/>
      <c r="AY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  <c r="AK760" s="35"/>
      <c r="AL760" s="35"/>
      <c r="AM760" s="35"/>
      <c r="AN760" s="35"/>
      <c r="AO760" s="35"/>
      <c r="AP760" s="35"/>
      <c r="AQ760" s="35"/>
      <c r="AR760" s="35"/>
      <c r="AS760" s="35"/>
      <c r="AT760" s="35"/>
      <c r="AU760" s="35"/>
      <c r="AV760" s="35"/>
      <c r="AW760" s="35"/>
      <c r="AX760" s="35"/>
      <c r="AY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  <c r="AK761" s="35"/>
      <c r="AL761" s="35"/>
      <c r="AM761" s="35"/>
      <c r="AN761" s="35"/>
      <c r="AO761" s="35"/>
      <c r="AP761" s="35"/>
      <c r="AQ761" s="35"/>
      <c r="AR761" s="35"/>
      <c r="AS761" s="35"/>
      <c r="AT761" s="35"/>
      <c r="AU761" s="35"/>
      <c r="AV761" s="35"/>
      <c r="AW761" s="35"/>
      <c r="AX761" s="35"/>
      <c r="AY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  <c r="AK762" s="35"/>
      <c r="AL762" s="35"/>
      <c r="AM762" s="35"/>
      <c r="AN762" s="35"/>
      <c r="AO762" s="35"/>
      <c r="AP762" s="35"/>
      <c r="AQ762" s="35"/>
      <c r="AR762" s="35"/>
      <c r="AS762" s="35"/>
      <c r="AT762" s="35"/>
      <c r="AU762" s="35"/>
      <c r="AV762" s="35"/>
      <c r="AW762" s="35"/>
      <c r="AX762" s="35"/>
      <c r="AY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  <c r="AK763" s="35"/>
      <c r="AL763" s="35"/>
      <c r="AM763" s="35"/>
      <c r="AN763" s="35"/>
      <c r="AO763" s="35"/>
      <c r="AP763" s="35"/>
      <c r="AQ763" s="35"/>
      <c r="AR763" s="35"/>
      <c r="AS763" s="35"/>
      <c r="AT763" s="35"/>
      <c r="AU763" s="35"/>
      <c r="AV763" s="35"/>
      <c r="AW763" s="35"/>
      <c r="AX763" s="35"/>
      <c r="AY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  <c r="AK764" s="35"/>
      <c r="AL764" s="35"/>
      <c r="AM764" s="35"/>
      <c r="AN764" s="35"/>
      <c r="AO764" s="35"/>
      <c r="AP764" s="35"/>
      <c r="AQ764" s="35"/>
      <c r="AR764" s="35"/>
      <c r="AS764" s="35"/>
      <c r="AT764" s="35"/>
      <c r="AU764" s="35"/>
      <c r="AV764" s="35"/>
      <c r="AW764" s="35"/>
      <c r="AX764" s="35"/>
      <c r="AY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  <c r="AK765" s="35"/>
      <c r="AL765" s="35"/>
      <c r="AM765" s="35"/>
      <c r="AN765" s="35"/>
      <c r="AO765" s="35"/>
      <c r="AP765" s="35"/>
      <c r="AQ765" s="35"/>
      <c r="AR765" s="35"/>
      <c r="AS765" s="35"/>
      <c r="AT765" s="35"/>
      <c r="AU765" s="35"/>
      <c r="AV765" s="35"/>
      <c r="AW765" s="35"/>
      <c r="AX765" s="35"/>
      <c r="AY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  <c r="AK766" s="35"/>
      <c r="AL766" s="35"/>
      <c r="AM766" s="35"/>
      <c r="AN766" s="35"/>
      <c r="AO766" s="35"/>
      <c r="AP766" s="35"/>
      <c r="AQ766" s="35"/>
      <c r="AR766" s="35"/>
      <c r="AS766" s="35"/>
      <c r="AT766" s="35"/>
      <c r="AU766" s="35"/>
      <c r="AV766" s="35"/>
      <c r="AW766" s="35"/>
      <c r="AX766" s="35"/>
      <c r="AY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  <c r="AK767" s="35"/>
      <c r="AL767" s="35"/>
      <c r="AM767" s="35"/>
      <c r="AN767" s="35"/>
      <c r="AO767" s="35"/>
      <c r="AP767" s="35"/>
      <c r="AQ767" s="35"/>
      <c r="AR767" s="35"/>
      <c r="AS767" s="35"/>
      <c r="AT767" s="35"/>
      <c r="AU767" s="35"/>
      <c r="AV767" s="35"/>
      <c r="AW767" s="35"/>
      <c r="AX767" s="35"/>
      <c r="AY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  <c r="AK768" s="35"/>
      <c r="AL768" s="35"/>
      <c r="AM768" s="35"/>
      <c r="AN768" s="35"/>
      <c r="AO768" s="35"/>
      <c r="AP768" s="35"/>
      <c r="AQ768" s="35"/>
      <c r="AR768" s="35"/>
      <c r="AS768" s="35"/>
      <c r="AT768" s="35"/>
      <c r="AU768" s="35"/>
      <c r="AV768" s="35"/>
      <c r="AW768" s="35"/>
      <c r="AX768" s="35"/>
      <c r="AY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  <c r="AK769" s="35"/>
      <c r="AL769" s="35"/>
      <c r="AM769" s="35"/>
      <c r="AN769" s="35"/>
      <c r="AO769" s="35"/>
      <c r="AP769" s="35"/>
      <c r="AQ769" s="35"/>
      <c r="AR769" s="35"/>
      <c r="AS769" s="35"/>
      <c r="AT769" s="35"/>
      <c r="AU769" s="35"/>
      <c r="AV769" s="35"/>
      <c r="AW769" s="35"/>
      <c r="AX769" s="35"/>
      <c r="AY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  <c r="AK770" s="35"/>
      <c r="AL770" s="35"/>
      <c r="AM770" s="35"/>
      <c r="AN770" s="35"/>
      <c r="AO770" s="35"/>
      <c r="AP770" s="35"/>
      <c r="AQ770" s="35"/>
      <c r="AR770" s="35"/>
      <c r="AS770" s="35"/>
      <c r="AT770" s="35"/>
      <c r="AU770" s="35"/>
      <c r="AV770" s="35"/>
      <c r="AW770" s="35"/>
      <c r="AX770" s="35"/>
      <c r="AY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  <c r="AK771" s="35"/>
      <c r="AL771" s="35"/>
      <c r="AM771" s="35"/>
      <c r="AN771" s="35"/>
      <c r="AO771" s="35"/>
      <c r="AP771" s="35"/>
      <c r="AQ771" s="35"/>
      <c r="AR771" s="35"/>
      <c r="AS771" s="35"/>
      <c r="AT771" s="35"/>
      <c r="AU771" s="35"/>
      <c r="AV771" s="35"/>
      <c r="AW771" s="35"/>
      <c r="AX771" s="35"/>
      <c r="AY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  <c r="AK772" s="35"/>
      <c r="AL772" s="35"/>
      <c r="AM772" s="35"/>
      <c r="AN772" s="35"/>
      <c r="AO772" s="35"/>
      <c r="AP772" s="35"/>
      <c r="AQ772" s="35"/>
      <c r="AR772" s="35"/>
      <c r="AS772" s="35"/>
      <c r="AT772" s="35"/>
      <c r="AU772" s="35"/>
      <c r="AV772" s="35"/>
      <c r="AW772" s="35"/>
      <c r="AX772" s="35"/>
      <c r="AY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  <c r="AK773" s="35"/>
      <c r="AL773" s="35"/>
      <c r="AM773" s="35"/>
      <c r="AN773" s="35"/>
      <c r="AO773" s="35"/>
      <c r="AP773" s="35"/>
      <c r="AQ773" s="35"/>
      <c r="AR773" s="35"/>
      <c r="AS773" s="35"/>
      <c r="AT773" s="35"/>
      <c r="AU773" s="35"/>
      <c r="AV773" s="35"/>
      <c r="AW773" s="35"/>
      <c r="AX773" s="35"/>
      <c r="AY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  <c r="AK774" s="35"/>
      <c r="AL774" s="35"/>
      <c r="AM774" s="35"/>
      <c r="AN774" s="35"/>
      <c r="AO774" s="35"/>
      <c r="AP774" s="35"/>
      <c r="AQ774" s="35"/>
      <c r="AR774" s="35"/>
      <c r="AS774" s="35"/>
      <c r="AT774" s="35"/>
      <c r="AU774" s="35"/>
      <c r="AV774" s="35"/>
      <c r="AW774" s="35"/>
      <c r="AX774" s="35"/>
      <c r="AY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  <c r="AK775" s="35"/>
      <c r="AL775" s="35"/>
      <c r="AM775" s="35"/>
      <c r="AN775" s="35"/>
      <c r="AO775" s="35"/>
      <c r="AP775" s="35"/>
      <c r="AQ775" s="35"/>
      <c r="AR775" s="35"/>
      <c r="AS775" s="35"/>
      <c r="AT775" s="35"/>
      <c r="AU775" s="35"/>
      <c r="AV775" s="35"/>
      <c r="AW775" s="35"/>
      <c r="AX775" s="35"/>
      <c r="AY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  <c r="AK776" s="35"/>
      <c r="AL776" s="35"/>
      <c r="AM776" s="35"/>
      <c r="AN776" s="35"/>
      <c r="AO776" s="35"/>
      <c r="AP776" s="35"/>
      <c r="AQ776" s="35"/>
      <c r="AR776" s="35"/>
      <c r="AS776" s="35"/>
      <c r="AT776" s="35"/>
      <c r="AU776" s="35"/>
      <c r="AV776" s="35"/>
      <c r="AW776" s="35"/>
      <c r="AX776" s="35"/>
      <c r="AY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5"/>
      <c r="AP902" s="35"/>
      <c r="AQ902" s="35"/>
      <c r="AR902" s="35"/>
      <c r="AS902" s="35"/>
      <c r="AT902" s="35"/>
      <c r="AU902" s="35"/>
      <c r="AV902" s="35"/>
      <c r="AW902" s="35"/>
      <c r="AX902" s="35"/>
      <c r="AY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5"/>
      <c r="AP903" s="35"/>
      <c r="AQ903" s="35"/>
      <c r="AR903" s="35"/>
      <c r="AS903" s="35"/>
      <c r="AT903" s="35"/>
      <c r="AU903" s="35"/>
      <c r="AV903" s="35"/>
      <c r="AW903" s="35"/>
      <c r="AX903" s="35"/>
      <c r="AY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5"/>
      <c r="AP904" s="35"/>
      <c r="AQ904" s="35"/>
      <c r="AR904" s="35"/>
      <c r="AS904" s="35"/>
      <c r="AT904" s="35"/>
      <c r="AU904" s="35"/>
      <c r="AV904" s="35"/>
      <c r="AW904" s="35"/>
      <c r="AX904" s="35"/>
      <c r="AY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5"/>
      <c r="AP905" s="35"/>
      <c r="AQ905" s="35"/>
      <c r="AR905" s="35"/>
      <c r="AS905" s="35"/>
      <c r="AT905" s="35"/>
      <c r="AU905" s="35"/>
      <c r="AV905" s="35"/>
      <c r="AW905" s="35"/>
      <c r="AX905" s="35"/>
      <c r="AY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5"/>
      <c r="AP906" s="35"/>
      <c r="AQ906" s="35"/>
      <c r="AR906" s="35"/>
      <c r="AS906" s="35"/>
      <c r="AT906" s="35"/>
      <c r="AU906" s="35"/>
      <c r="AV906" s="35"/>
      <c r="AW906" s="35"/>
      <c r="AX906" s="35"/>
      <c r="AY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5"/>
      <c r="AP907" s="35"/>
      <c r="AQ907" s="35"/>
      <c r="AR907" s="35"/>
      <c r="AS907" s="35"/>
      <c r="AT907" s="35"/>
      <c r="AU907" s="35"/>
      <c r="AV907" s="35"/>
      <c r="AW907" s="35"/>
      <c r="AX907" s="35"/>
      <c r="AY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5"/>
      <c r="AP908" s="35"/>
      <c r="AQ908" s="35"/>
      <c r="AR908" s="35"/>
      <c r="AS908" s="35"/>
      <c r="AT908" s="35"/>
      <c r="AU908" s="35"/>
      <c r="AV908" s="35"/>
      <c r="AW908" s="35"/>
      <c r="AX908" s="35"/>
      <c r="AY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5"/>
      <c r="AP909" s="35"/>
      <c r="AQ909" s="35"/>
      <c r="AR909" s="35"/>
      <c r="AS909" s="35"/>
      <c r="AT909" s="35"/>
      <c r="AU909" s="35"/>
      <c r="AV909" s="35"/>
      <c r="AW909" s="35"/>
      <c r="AX909" s="35"/>
      <c r="AY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5"/>
      <c r="AP910" s="35"/>
      <c r="AQ910" s="35"/>
      <c r="AR910" s="35"/>
      <c r="AS910" s="35"/>
      <c r="AT910" s="35"/>
      <c r="AU910" s="35"/>
      <c r="AV910" s="35"/>
      <c r="AW910" s="35"/>
      <c r="AX910" s="35"/>
      <c r="AY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5"/>
      <c r="AP911" s="35"/>
      <c r="AQ911" s="35"/>
      <c r="AR911" s="35"/>
      <c r="AS911" s="35"/>
      <c r="AT911" s="35"/>
      <c r="AU911" s="35"/>
      <c r="AV911" s="35"/>
      <c r="AW911" s="35"/>
      <c r="AX911" s="35"/>
      <c r="AY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5"/>
      <c r="AP912" s="35"/>
      <c r="AQ912" s="35"/>
      <c r="AR912" s="35"/>
      <c r="AS912" s="35"/>
      <c r="AT912" s="35"/>
      <c r="AU912" s="35"/>
      <c r="AV912" s="35"/>
      <c r="AW912" s="35"/>
      <c r="AX912" s="35"/>
      <c r="AY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5"/>
      <c r="AP913" s="35"/>
      <c r="AQ913" s="35"/>
      <c r="AR913" s="35"/>
      <c r="AS913" s="35"/>
      <c r="AT913" s="35"/>
      <c r="AU913" s="35"/>
      <c r="AV913" s="35"/>
      <c r="AW913" s="35"/>
      <c r="AX913" s="35"/>
      <c r="AY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5"/>
      <c r="AP914" s="35"/>
      <c r="AQ914" s="35"/>
      <c r="AR914" s="35"/>
      <c r="AS914" s="35"/>
      <c r="AT914" s="35"/>
      <c r="AU914" s="35"/>
      <c r="AV914" s="35"/>
      <c r="AW914" s="35"/>
      <c r="AX914" s="35"/>
      <c r="AY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5"/>
      <c r="AP915" s="35"/>
      <c r="AQ915" s="35"/>
      <c r="AR915" s="35"/>
      <c r="AS915" s="35"/>
      <c r="AT915" s="35"/>
      <c r="AU915" s="35"/>
      <c r="AV915" s="35"/>
      <c r="AW915" s="35"/>
      <c r="AX915" s="35"/>
      <c r="AY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5"/>
      <c r="AP916" s="35"/>
      <c r="AQ916" s="35"/>
      <c r="AR916" s="35"/>
      <c r="AS916" s="35"/>
      <c r="AT916" s="35"/>
      <c r="AU916" s="35"/>
      <c r="AV916" s="35"/>
      <c r="AW916" s="35"/>
      <c r="AX916" s="35"/>
      <c r="AY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5"/>
      <c r="AP917" s="35"/>
      <c r="AQ917" s="35"/>
      <c r="AR917" s="35"/>
      <c r="AS917" s="35"/>
      <c r="AT917" s="35"/>
      <c r="AU917" s="35"/>
      <c r="AV917" s="35"/>
      <c r="AW917" s="35"/>
      <c r="AX917" s="35"/>
      <c r="AY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5"/>
      <c r="AP918" s="35"/>
      <c r="AQ918" s="35"/>
      <c r="AR918" s="35"/>
      <c r="AS918" s="35"/>
      <c r="AT918" s="35"/>
      <c r="AU918" s="35"/>
      <c r="AV918" s="35"/>
      <c r="AW918" s="35"/>
      <c r="AX918" s="35"/>
      <c r="AY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5"/>
      <c r="AP919" s="35"/>
      <c r="AQ919" s="35"/>
      <c r="AR919" s="35"/>
      <c r="AS919" s="35"/>
      <c r="AT919" s="35"/>
      <c r="AU919" s="35"/>
      <c r="AV919" s="35"/>
      <c r="AW919" s="35"/>
      <c r="AX919" s="35"/>
      <c r="AY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5"/>
      <c r="AP920" s="35"/>
      <c r="AQ920" s="35"/>
      <c r="AR920" s="35"/>
      <c r="AS920" s="35"/>
      <c r="AT920" s="35"/>
      <c r="AU920" s="35"/>
      <c r="AV920" s="35"/>
      <c r="AW920" s="35"/>
      <c r="AX920" s="35"/>
      <c r="AY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5"/>
      <c r="AP921" s="35"/>
      <c r="AQ921" s="35"/>
      <c r="AR921" s="35"/>
      <c r="AS921" s="35"/>
      <c r="AT921" s="35"/>
      <c r="AU921" s="35"/>
      <c r="AV921" s="35"/>
      <c r="AW921" s="35"/>
      <c r="AX921" s="35"/>
      <c r="AY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5"/>
      <c r="AP922" s="35"/>
      <c r="AQ922" s="35"/>
      <c r="AR922" s="35"/>
      <c r="AS922" s="35"/>
      <c r="AT922" s="35"/>
      <c r="AU922" s="35"/>
      <c r="AV922" s="35"/>
      <c r="AW922" s="35"/>
      <c r="AX922" s="35"/>
      <c r="AY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5"/>
      <c r="AP923" s="35"/>
      <c r="AQ923" s="35"/>
      <c r="AR923" s="35"/>
      <c r="AS923" s="35"/>
      <c r="AT923" s="35"/>
      <c r="AU923" s="35"/>
      <c r="AV923" s="35"/>
      <c r="AW923" s="35"/>
      <c r="AX923" s="35"/>
      <c r="AY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5"/>
      <c r="AP924" s="35"/>
      <c r="AQ924" s="35"/>
      <c r="AR924" s="35"/>
      <c r="AS924" s="35"/>
      <c r="AT924" s="35"/>
      <c r="AU924" s="35"/>
      <c r="AV924" s="35"/>
      <c r="AW924" s="35"/>
      <c r="AX924" s="35"/>
      <c r="AY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5"/>
      <c r="AP925" s="35"/>
      <c r="AQ925" s="35"/>
      <c r="AR925" s="35"/>
      <c r="AS925" s="35"/>
      <c r="AT925" s="35"/>
      <c r="AU925" s="35"/>
      <c r="AV925" s="35"/>
      <c r="AW925" s="35"/>
      <c r="AX925" s="35"/>
      <c r="AY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5"/>
      <c r="AP926" s="35"/>
      <c r="AQ926" s="35"/>
      <c r="AR926" s="35"/>
      <c r="AS926" s="35"/>
      <c r="AT926" s="35"/>
      <c r="AU926" s="35"/>
      <c r="AV926" s="35"/>
      <c r="AW926" s="35"/>
      <c r="AX926" s="35"/>
      <c r="AY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5"/>
      <c r="AP927" s="35"/>
      <c r="AQ927" s="35"/>
      <c r="AR927" s="35"/>
      <c r="AS927" s="35"/>
      <c r="AT927" s="35"/>
      <c r="AU927" s="35"/>
      <c r="AV927" s="35"/>
      <c r="AW927" s="35"/>
      <c r="AX927" s="35"/>
      <c r="AY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5"/>
      <c r="AP928" s="35"/>
      <c r="AQ928" s="35"/>
      <c r="AR928" s="35"/>
      <c r="AS928" s="35"/>
      <c r="AT928" s="35"/>
      <c r="AU928" s="35"/>
      <c r="AV928" s="35"/>
      <c r="AW928" s="35"/>
      <c r="AX928" s="35"/>
      <c r="AY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5"/>
      <c r="AP929" s="35"/>
      <c r="AQ929" s="35"/>
      <c r="AR929" s="35"/>
      <c r="AS929" s="35"/>
      <c r="AT929" s="35"/>
      <c r="AU929" s="35"/>
      <c r="AV929" s="35"/>
      <c r="AW929" s="35"/>
      <c r="AX929" s="35"/>
      <c r="AY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5"/>
      <c r="AP930" s="35"/>
      <c r="AQ930" s="35"/>
      <c r="AR930" s="35"/>
      <c r="AS930" s="35"/>
      <c r="AT930" s="35"/>
      <c r="AU930" s="35"/>
      <c r="AV930" s="35"/>
      <c r="AW930" s="35"/>
      <c r="AX930" s="35"/>
      <c r="AY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5"/>
      <c r="AP931" s="35"/>
      <c r="AQ931" s="35"/>
      <c r="AR931" s="35"/>
      <c r="AS931" s="35"/>
      <c r="AT931" s="35"/>
      <c r="AU931" s="35"/>
      <c r="AV931" s="35"/>
      <c r="AW931" s="35"/>
      <c r="AX931" s="35"/>
      <c r="AY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5"/>
      <c r="AP932" s="35"/>
      <c r="AQ932" s="35"/>
      <c r="AR932" s="35"/>
      <c r="AS932" s="35"/>
      <c r="AT932" s="35"/>
      <c r="AU932" s="35"/>
      <c r="AV932" s="35"/>
      <c r="AW932" s="35"/>
      <c r="AX932" s="35"/>
      <c r="AY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5"/>
      <c r="AP933" s="35"/>
      <c r="AQ933" s="35"/>
      <c r="AR933" s="35"/>
      <c r="AS933" s="35"/>
      <c r="AT933" s="35"/>
      <c r="AU933" s="35"/>
      <c r="AV933" s="35"/>
      <c r="AW933" s="35"/>
      <c r="AX933" s="35"/>
      <c r="AY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5"/>
      <c r="AP934" s="35"/>
      <c r="AQ934" s="35"/>
      <c r="AR934" s="35"/>
      <c r="AS934" s="35"/>
      <c r="AT934" s="35"/>
      <c r="AU934" s="35"/>
      <c r="AV934" s="35"/>
      <c r="AW934" s="35"/>
      <c r="AX934" s="35"/>
      <c r="AY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5"/>
      <c r="AP935" s="35"/>
      <c r="AQ935" s="35"/>
      <c r="AR935" s="35"/>
      <c r="AS935" s="35"/>
      <c r="AT935" s="35"/>
      <c r="AU935" s="35"/>
      <c r="AV935" s="35"/>
      <c r="AW935" s="35"/>
      <c r="AX935" s="35"/>
      <c r="AY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5"/>
      <c r="AP936" s="35"/>
      <c r="AQ936" s="35"/>
      <c r="AR936" s="35"/>
      <c r="AS936" s="35"/>
      <c r="AT936" s="35"/>
      <c r="AU936" s="35"/>
      <c r="AV936" s="35"/>
      <c r="AW936" s="35"/>
      <c r="AX936" s="35"/>
      <c r="AY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5"/>
      <c r="AP937" s="35"/>
      <c r="AQ937" s="35"/>
      <c r="AR937" s="35"/>
      <c r="AS937" s="35"/>
      <c r="AT937" s="35"/>
      <c r="AU937" s="35"/>
      <c r="AV937" s="35"/>
      <c r="AW937" s="35"/>
      <c r="AX937" s="35"/>
      <c r="AY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5"/>
      <c r="AP938" s="35"/>
      <c r="AQ938" s="35"/>
      <c r="AR938" s="35"/>
      <c r="AS938" s="35"/>
      <c r="AT938" s="35"/>
      <c r="AU938" s="35"/>
      <c r="AV938" s="35"/>
      <c r="AW938" s="35"/>
      <c r="AX938" s="35"/>
      <c r="AY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5"/>
      <c r="AP939" s="35"/>
      <c r="AQ939" s="35"/>
      <c r="AR939" s="35"/>
      <c r="AS939" s="35"/>
      <c r="AT939" s="35"/>
      <c r="AU939" s="35"/>
      <c r="AV939" s="35"/>
      <c r="AW939" s="35"/>
      <c r="AX939" s="35"/>
      <c r="AY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5"/>
      <c r="AP940" s="35"/>
      <c r="AQ940" s="35"/>
      <c r="AR940" s="35"/>
      <c r="AS940" s="35"/>
      <c r="AT940" s="35"/>
      <c r="AU940" s="35"/>
      <c r="AV940" s="35"/>
      <c r="AW940" s="35"/>
      <c r="AX940" s="35"/>
      <c r="AY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5"/>
      <c r="AP941" s="35"/>
      <c r="AQ941" s="35"/>
      <c r="AR941" s="35"/>
      <c r="AS941" s="35"/>
      <c r="AT941" s="35"/>
      <c r="AU941" s="35"/>
      <c r="AV941" s="35"/>
      <c r="AW941" s="35"/>
      <c r="AX941" s="35"/>
      <c r="AY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5"/>
      <c r="AP942" s="35"/>
      <c r="AQ942" s="35"/>
      <c r="AR942" s="35"/>
      <c r="AS942" s="35"/>
      <c r="AT942" s="35"/>
      <c r="AU942" s="35"/>
      <c r="AV942" s="35"/>
      <c r="AW942" s="35"/>
      <c r="AX942" s="35"/>
      <c r="AY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5"/>
      <c r="AP943" s="35"/>
      <c r="AQ943" s="35"/>
      <c r="AR943" s="35"/>
      <c r="AS943" s="35"/>
      <c r="AT943" s="35"/>
      <c r="AU943" s="35"/>
      <c r="AV943" s="35"/>
      <c r="AW943" s="35"/>
      <c r="AX943" s="35"/>
      <c r="AY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5"/>
      <c r="AP944" s="35"/>
      <c r="AQ944" s="35"/>
      <c r="AR944" s="35"/>
      <c r="AS944" s="35"/>
      <c r="AT944" s="35"/>
      <c r="AU944" s="35"/>
      <c r="AV944" s="35"/>
      <c r="AW944" s="35"/>
      <c r="AX944" s="35"/>
      <c r="AY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5"/>
      <c r="AP945" s="35"/>
      <c r="AQ945" s="35"/>
      <c r="AR945" s="35"/>
      <c r="AS945" s="35"/>
      <c r="AT945" s="35"/>
      <c r="AU945" s="35"/>
      <c r="AV945" s="35"/>
      <c r="AW945" s="35"/>
      <c r="AX945" s="35"/>
      <c r="AY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5"/>
      <c r="AP946" s="35"/>
      <c r="AQ946" s="35"/>
      <c r="AR946" s="35"/>
      <c r="AS946" s="35"/>
      <c r="AT946" s="35"/>
      <c r="AU946" s="35"/>
      <c r="AV946" s="35"/>
      <c r="AW946" s="35"/>
      <c r="AX946" s="35"/>
      <c r="AY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5"/>
      <c r="AP947" s="35"/>
      <c r="AQ947" s="35"/>
      <c r="AR947" s="35"/>
      <c r="AS947" s="35"/>
      <c r="AT947" s="35"/>
      <c r="AU947" s="35"/>
      <c r="AV947" s="35"/>
      <c r="AW947" s="35"/>
      <c r="AX947" s="35"/>
      <c r="AY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5"/>
      <c r="AP948" s="35"/>
      <c r="AQ948" s="35"/>
      <c r="AR948" s="35"/>
      <c r="AS948" s="35"/>
      <c r="AT948" s="35"/>
      <c r="AU948" s="35"/>
      <c r="AV948" s="35"/>
      <c r="AW948" s="35"/>
      <c r="AX948" s="35"/>
      <c r="AY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5"/>
      <c r="AP949" s="35"/>
      <c r="AQ949" s="35"/>
      <c r="AR949" s="35"/>
      <c r="AS949" s="35"/>
      <c r="AT949" s="35"/>
      <c r="AU949" s="35"/>
      <c r="AV949" s="35"/>
      <c r="AW949" s="35"/>
      <c r="AX949" s="35"/>
      <c r="AY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5"/>
      <c r="AP950" s="35"/>
      <c r="AQ950" s="35"/>
      <c r="AR950" s="35"/>
      <c r="AS950" s="35"/>
      <c r="AT950" s="35"/>
      <c r="AU950" s="35"/>
      <c r="AV950" s="35"/>
      <c r="AW950" s="35"/>
      <c r="AX950" s="35"/>
      <c r="AY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5"/>
      <c r="AP951" s="35"/>
      <c r="AQ951" s="35"/>
      <c r="AR951" s="35"/>
      <c r="AS951" s="35"/>
      <c r="AT951" s="35"/>
      <c r="AU951" s="35"/>
      <c r="AV951" s="35"/>
      <c r="AW951" s="35"/>
      <c r="AX951" s="35"/>
      <c r="AY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5"/>
      <c r="AP952" s="35"/>
      <c r="AQ952" s="35"/>
      <c r="AR952" s="35"/>
      <c r="AS952" s="35"/>
      <c r="AT952" s="35"/>
      <c r="AU952" s="35"/>
      <c r="AV952" s="35"/>
      <c r="AW952" s="35"/>
      <c r="AX952" s="35"/>
      <c r="AY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5"/>
      <c r="AP953" s="35"/>
      <c r="AQ953" s="35"/>
      <c r="AR953" s="35"/>
      <c r="AS953" s="35"/>
      <c r="AT953" s="35"/>
      <c r="AU953" s="35"/>
      <c r="AV953" s="35"/>
      <c r="AW953" s="35"/>
      <c r="AX953" s="35"/>
      <c r="AY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5"/>
      <c r="AP954" s="35"/>
      <c r="AQ954" s="35"/>
      <c r="AR954" s="35"/>
      <c r="AS954" s="35"/>
      <c r="AT954" s="35"/>
      <c r="AU954" s="35"/>
      <c r="AV954" s="35"/>
      <c r="AW954" s="35"/>
      <c r="AX954" s="35"/>
      <c r="AY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5"/>
      <c r="AP955" s="35"/>
      <c r="AQ955" s="35"/>
      <c r="AR955" s="35"/>
      <c r="AS955" s="35"/>
      <c r="AT955" s="35"/>
      <c r="AU955" s="35"/>
      <c r="AV955" s="35"/>
      <c r="AW955" s="35"/>
      <c r="AX955" s="35"/>
      <c r="AY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5"/>
      <c r="AP956" s="35"/>
      <c r="AQ956" s="35"/>
      <c r="AR956" s="35"/>
      <c r="AS956" s="35"/>
      <c r="AT956" s="35"/>
      <c r="AU956" s="35"/>
      <c r="AV956" s="35"/>
      <c r="AW956" s="35"/>
      <c r="AX956" s="35"/>
      <c r="AY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5"/>
      <c r="AP957" s="35"/>
      <c r="AQ957" s="35"/>
      <c r="AR957" s="35"/>
      <c r="AS957" s="35"/>
      <c r="AT957" s="35"/>
      <c r="AU957" s="35"/>
      <c r="AV957" s="35"/>
      <c r="AW957" s="35"/>
      <c r="AX957" s="35"/>
      <c r="AY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5"/>
      <c r="AP958" s="35"/>
      <c r="AQ958" s="35"/>
      <c r="AR958" s="35"/>
      <c r="AS958" s="35"/>
      <c r="AT958" s="35"/>
      <c r="AU958" s="35"/>
      <c r="AV958" s="35"/>
      <c r="AW958" s="35"/>
      <c r="AX958" s="35"/>
      <c r="AY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5"/>
      <c r="AP959" s="35"/>
      <c r="AQ959" s="35"/>
      <c r="AR959" s="35"/>
      <c r="AS959" s="35"/>
      <c r="AT959" s="35"/>
      <c r="AU959" s="35"/>
      <c r="AV959" s="35"/>
      <c r="AW959" s="35"/>
      <c r="AX959" s="35"/>
      <c r="AY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5"/>
      <c r="AP960" s="35"/>
      <c r="AQ960" s="35"/>
      <c r="AR960" s="35"/>
      <c r="AS960" s="35"/>
      <c r="AT960" s="35"/>
      <c r="AU960" s="35"/>
      <c r="AV960" s="35"/>
      <c r="AW960" s="35"/>
      <c r="AX960" s="35"/>
      <c r="AY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  <c r="AO961" s="35"/>
      <c r="AP961" s="35"/>
      <c r="AQ961" s="35"/>
      <c r="AR961" s="35"/>
      <c r="AS961" s="35"/>
      <c r="AT961" s="35"/>
      <c r="AU961" s="35"/>
      <c r="AV961" s="35"/>
      <c r="AW961" s="35"/>
      <c r="AX961" s="35"/>
      <c r="AY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  <c r="AO962" s="35"/>
      <c r="AP962" s="35"/>
      <c r="AQ962" s="35"/>
      <c r="AR962" s="35"/>
      <c r="AS962" s="35"/>
      <c r="AT962" s="35"/>
      <c r="AU962" s="35"/>
      <c r="AV962" s="35"/>
      <c r="AW962" s="35"/>
      <c r="AX962" s="35"/>
      <c r="AY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  <c r="AO963" s="35"/>
      <c r="AP963" s="35"/>
      <c r="AQ963" s="35"/>
      <c r="AR963" s="35"/>
      <c r="AS963" s="35"/>
      <c r="AT963" s="35"/>
      <c r="AU963" s="35"/>
      <c r="AV963" s="35"/>
      <c r="AW963" s="35"/>
      <c r="AX963" s="35"/>
      <c r="AY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  <c r="AO964" s="35"/>
      <c r="AP964" s="35"/>
      <c r="AQ964" s="35"/>
      <c r="AR964" s="35"/>
      <c r="AS964" s="35"/>
      <c r="AT964" s="35"/>
      <c r="AU964" s="35"/>
      <c r="AV964" s="35"/>
      <c r="AW964" s="35"/>
      <c r="AX964" s="35"/>
      <c r="AY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  <c r="AO965" s="35"/>
      <c r="AP965" s="35"/>
      <c r="AQ965" s="35"/>
      <c r="AR965" s="35"/>
      <c r="AS965" s="35"/>
      <c r="AT965" s="35"/>
      <c r="AU965" s="35"/>
      <c r="AV965" s="35"/>
      <c r="AW965" s="35"/>
      <c r="AX965" s="35"/>
      <c r="AY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  <c r="AO966" s="35"/>
      <c r="AP966" s="35"/>
      <c r="AQ966" s="35"/>
      <c r="AR966" s="35"/>
      <c r="AS966" s="35"/>
      <c r="AT966" s="35"/>
      <c r="AU966" s="35"/>
      <c r="AV966" s="35"/>
      <c r="AW966" s="35"/>
      <c r="AX966" s="35"/>
      <c r="AY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  <c r="AO967" s="35"/>
      <c r="AP967" s="35"/>
      <c r="AQ967" s="35"/>
      <c r="AR967" s="35"/>
      <c r="AS967" s="35"/>
      <c r="AT967" s="35"/>
      <c r="AU967" s="35"/>
      <c r="AV967" s="35"/>
      <c r="AW967" s="35"/>
      <c r="AX967" s="35"/>
      <c r="AY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  <c r="AK968" s="35"/>
      <c r="AL968" s="35"/>
      <c r="AM968" s="35"/>
      <c r="AN968" s="35"/>
      <c r="AO968" s="35"/>
      <c r="AP968" s="35"/>
      <c r="AQ968" s="35"/>
      <c r="AR968" s="35"/>
      <c r="AS968" s="35"/>
      <c r="AT968" s="35"/>
      <c r="AU968" s="35"/>
      <c r="AV968" s="35"/>
      <c r="AW968" s="35"/>
      <c r="AX968" s="35"/>
      <c r="AY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  <c r="AK969" s="35"/>
      <c r="AL969" s="35"/>
      <c r="AM969" s="35"/>
      <c r="AN969" s="35"/>
      <c r="AO969" s="35"/>
      <c r="AP969" s="35"/>
      <c r="AQ969" s="35"/>
      <c r="AR969" s="35"/>
      <c r="AS969" s="35"/>
      <c r="AT969" s="35"/>
      <c r="AU969" s="35"/>
      <c r="AV969" s="35"/>
      <c r="AW969" s="35"/>
      <c r="AX969" s="35"/>
      <c r="AY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  <c r="AK970" s="35"/>
      <c r="AL970" s="35"/>
      <c r="AM970" s="35"/>
      <c r="AN970" s="35"/>
      <c r="AO970" s="35"/>
      <c r="AP970" s="35"/>
      <c r="AQ970" s="35"/>
      <c r="AR970" s="35"/>
      <c r="AS970" s="35"/>
      <c r="AT970" s="35"/>
      <c r="AU970" s="35"/>
      <c r="AV970" s="35"/>
      <c r="AW970" s="35"/>
      <c r="AX970" s="35"/>
      <c r="AY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  <c r="AK971" s="35"/>
      <c r="AL971" s="35"/>
      <c r="AM971" s="35"/>
      <c r="AN971" s="35"/>
      <c r="AO971" s="35"/>
      <c r="AP971" s="35"/>
      <c r="AQ971" s="35"/>
      <c r="AR971" s="35"/>
      <c r="AS971" s="35"/>
      <c r="AT971" s="35"/>
      <c r="AU971" s="35"/>
      <c r="AV971" s="35"/>
      <c r="AW971" s="35"/>
      <c r="AX971" s="35"/>
      <c r="AY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  <c r="AK972" s="35"/>
      <c r="AL972" s="35"/>
      <c r="AM972" s="35"/>
      <c r="AN972" s="35"/>
      <c r="AO972" s="35"/>
      <c r="AP972" s="35"/>
      <c r="AQ972" s="35"/>
      <c r="AR972" s="35"/>
      <c r="AS972" s="35"/>
      <c r="AT972" s="35"/>
      <c r="AU972" s="35"/>
      <c r="AV972" s="35"/>
      <c r="AW972" s="35"/>
      <c r="AX972" s="35"/>
      <c r="AY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  <c r="AK973" s="35"/>
      <c r="AL973" s="35"/>
      <c r="AM973" s="35"/>
      <c r="AN973" s="35"/>
      <c r="AO973" s="35"/>
      <c r="AP973" s="35"/>
      <c r="AQ973" s="35"/>
      <c r="AR973" s="35"/>
      <c r="AS973" s="35"/>
      <c r="AT973" s="35"/>
      <c r="AU973" s="35"/>
      <c r="AV973" s="35"/>
      <c r="AW973" s="35"/>
      <c r="AX973" s="35"/>
      <c r="AY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  <c r="AK974" s="35"/>
      <c r="AL974" s="35"/>
      <c r="AM974" s="35"/>
      <c r="AN974" s="35"/>
      <c r="AO974" s="35"/>
      <c r="AP974" s="35"/>
      <c r="AQ974" s="35"/>
      <c r="AR974" s="35"/>
      <c r="AS974" s="35"/>
      <c r="AT974" s="35"/>
      <c r="AU974" s="35"/>
      <c r="AV974" s="35"/>
      <c r="AW974" s="35"/>
      <c r="AX974" s="35"/>
      <c r="AY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  <c r="AK975" s="35"/>
      <c r="AL975" s="35"/>
      <c r="AM975" s="35"/>
      <c r="AN975" s="35"/>
      <c r="AO975" s="35"/>
      <c r="AP975" s="35"/>
      <c r="AQ975" s="35"/>
      <c r="AR975" s="35"/>
      <c r="AS975" s="35"/>
      <c r="AT975" s="35"/>
      <c r="AU975" s="35"/>
      <c r="AV975" s="35"/>
      <c r="AW975" s="35"/>
      <c r="AX975" s="35"/>
      <c r="AY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  <c r="AK976" s="35"/>
      <c r="AL976" s="35"/>
      <c r="AM976" s="35"/>
      <c r="AN976" s="35"/>
      <c r="AO976" s="35"/>
      <c r="AP976" s="35"/>
      <c r="AQ976" s="35"/>
      <c r="AR976" s="35"/>
      <c r="AS976" s="35"/>
      <c r="AT976" s="35"/>
      <c r="AU976" s="35"/>
      <c r="AV976" s="35"/>
      <c r="AW976" s="35"/>
      <c r="AX976" s="35"/>
      <c r="AY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  <c r="AK977" s="35"/>
      <c r="AL977" s="35"/>
      <c r="AM977" s="35"/>
      <c r="AN977" s="35"/>
      <c r="AO977" s="35"/>
      <c r="AP977" s="35"/>
      <c r="AQ977" s="35"/>
      <c r="AR977" s="35"/>
      <c r="AS977" s="35"/>
      <c r="AT977" s="35"/>
      <c r="AU977" s="35"/>
      <c r="AV977" s="35"/>
      <c r="AW977" s="35"/>
      <c r="AX977" s="35"/>
      <c r="AY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  <c r="AK978" s="35"/>
      <c r="AL978" s="35"/>
      <c r="AM978" s="35"/>
      <c r="AN978" s="35"/>
      <c r="AO978" s="35"/>
      <c r="AP978" s="35"/>
      <c r="AQ978" s="35"/>
      <c r="AR978" s="35"/>
      <c r="AS978" s="35"/>
      <c r="AT978" s="35"/>
      <c r="AU978" s="35"/>
      <c r="AV978" s="35"/>
      <c r="AW978" s="35"/>
      <c r="AX978" s="35"/>
      <c r="AY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  <c r="AK979" s="35"/>
      <c r="AL979" s="35"/>
      <c r="AM979" s="35"/>
      <c r="AN979" s="35"/>
      <c r="AO979" s="35"/>
      <c r="AP979" s="35"/>
      <c r="AQ979" s="35"/>
      <c r="AR979" s="35"/>
      <c r="AS979" s="35"/>
      <c r="AT979" s="35"/>
      <c r="AU979" s="35"/>
      <c r="AV979" s="35"/>
      <c r="AW979" s="35"/>
      <c r="AX979" s="35"/>
      <c r="AY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  <c r="AK980" s="35"/>
      <c r="AL980" s="35"/>
      <c r="AM980" s="35"/>
      <c r="AN980" s="35"/>
      <c r="AO980" s="35"/>
      <c r="AP980" s="35"/>
      <c r="AQ980" s="35"/>
      <c r="AR980" s="35"/>
      <c r="AS980" s="35"/>
      <c r="AT980" s="35"/>
      <c r="AU980" s="35"/>
      <c r="AV980" s="35"/>
      <c r="AW980" s="35"/>
      <c r="AX980" s="35"/>
      <c r="AY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  <c r="AK981" s="35"/>
      <c r="AL981" s="35"/>
      <c r="AM981" s="35"/>
      <c r="AN981" s="35"/>
      <c r="AO981" s="35"/>
      <c r="AP981" s="35"/>
      <c r="AQ981" s="35"/>
      <c r="AR981" s="35"/>
      <c r="AS981" s="35"/>
      <c r="AT981" s="35"/>
      <c r="AU981" s="35"/>
      <c r="AV981" s="35"/>
      <c r="AW981" s="35"/>
      <c r="AX981" s="35"/>
      <c r="AY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  <c r="AK982" s="35"/>
      <c r="AL982" s="35"/>
      <c r="AM982" s="35"/>
      <c r="AN982" s="35"/>
      <c r="AO982" s="35"/>
      <c r="AP982" s="35"/>
      <c r="AQ982" s="35"/>
      <c r="AR982" s="35"/>
      <c r="AS982" s="35"/>
      <c r="AT982" s="35"/>
      <c r="AU982" s="35"/>
      <c r="AV982" s="35"/>
      <c r="AW982" s="35"/>
      <c r="AX982" s="35"/>
      <c r="AY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  <c r="AK983" s="35"/>
      <c r="AL983" s="35"/>
      <c r="AM983" s="35"/>
      <c r="AN983" s="35"/>
      <c r="AO983" s="35"/>
      <c r="AP983" s="35"/>
      <c r="AQ983" s="35"/>
      <c r="AR983" s="35"/>
      <c r="AS983" s="35"/>
      <c r="AT983" s="35"/>
      <c r="AU983" s="35"/>
      <c r="AV983" s="35"/>
      <c r="AW983" s="35"/>
      <c r="AX983" s="35"/>
      <c r="AY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  <c r="AK984" s="35"/>
      <c r="AL984" s="35"/>
      <c r="AM984" s="35"/>
      <c r="AN984" s="35"/>
      <c r="AO984" s="35"/>
      <c r="AP984" s="35"/>
      <c r="AQ984" s="35"/>
      <c r="AR984" s="35"/>
      <c r="AS984" s="35"/>
      <c r="AT984" s="35"/>
      <c r="AU984" s="35"/>
      <c r="AV984" s="35"/>
      <c r="AW984" s="35"/>
      <c r="AX984" s="35"/>
      <c r="AY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  <c r="AK985" s="35"/>
      <c r="AL985" s="35"/>
      <c r="AM985" s="35"/>
      <c r="AN985" s="35"/>
      <c r="AO985" s="35"/>
      <c r="AP985" s="35"/>
      <c r="AQ985" s="35"/>
      <c r="AR985" s="35"/>
      <c r="AS985" s="35"/>
      <c r="AT985" s="35"/>
      <c r="AU985" s="35"/>
      <c r="AV985" s="35"/>
      <c r="AW985" s="35"/>
      <c r="AX985" s="35"/>
      <c r="AY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  <c r="AK986" s="35"/>
      <c r="AL986" s="35"/>
      <c r="AM986" s="35"/>
      <c r="AN986" s="35"/>
      <c r="AO986" s="35"/>
      <c r="AP986" s="35"/>
      <c r="AQ986" s="35"/>
      <c r="AR986" s="35"/>
      <c r="AS986" s="35"/>
      <c r="AT986" s="35"/>
      <c r="AU986" s="35"/>
      <c r="AV986" s="35"/>
      <c r="AW986" s="35"/>
      <c r="AX986" s="35"/>
      <c r="AY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  <c r="AK987" s="35"/>
      <c r="AL987" s="35"/>
      <c r="AM987" s="35"/>
      <c r="AN987" s="35"/>
      <c r="AO987" s="35"/>
      <c r="AP987" s="35"/>
      <c r="AQ987" s="35"/>
      <c r="AR987" s="35"/>
      <c r="AS987" s="35"/>
      <c r="AT987" s="35"/>
      <c r="AU987" s="35"/>
      <c r="AV987" s="35"/>
      <c r="AW987" s="35"/>
      <c r="AX987" s="35"/>
      <c r="AY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  <c r="AK988" s="35"/>
      <c r="AL988" s="35"/>
      <c r="AM988" s="35"/>
      <c r="AN988" s="35"/>
      <c r="AO988" s="35"/>
      <c r="AP988" s="35"/>
      <c r="AQ988" s="35"/>
      <c r="AR988" s="35"/>
      <c r="AS988" s="35"/>
      <c r="AT988" s="35"/>
      <c r="AU988" s="35"/>
      <c r="AV988" s="35"/>
      <c r="AW988" s="35"/>
      <c r="AX988" s="35"/>
      <c r="AY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  <c r="AK989" s="35"/>
      <c r="AL989" s="35"/>
      <c r="AM989" s="35"/>
      <c r="AN989" s="35"/>
      <c r="AO989" s="35"/>
      <c r="AP989" s="35"/>
      <c r="AQ989" s="35"/>
      <c r="AR989" s="35"/>
      <c r="AS989" s="35"/>
      <c r="AT989" s="35"/>
      <c r="AU989" s="35"/>
      <c r="AV989" s="35"/>
      <c r="AW989" s="35"/>
      <c r="AX989" s="35"/>
      <c r="AY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  <c r="AK990" s="35"/>
      <c r="AL990" s="35"/>
      <c r="AM990" s="35"/>
      <c r="AN990" s="35"/>
      <c r="AO990" s="35"/>
      <c r="AP990" s="35"/>
      <c r="AQ990" s="35"/>
      <c r="AR990" s="35"/>
      <c r="AS990" s="35"/>
      <c r="AT990" s="35"/>
      <c r="AU990" s="35"/>
      <c r="AV990" s="35"/>
      <c r="AW990" s="35"/>
      <c r="AX990" s="35"/>
      <c r="AY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  <c r="AK991" s="35"/>
      <c r="AL991" s="35"/>
      <c r="AM991" s="35"/>
      <c r="AN991" s="35"/>
      <c r="AO991" s="35"/>
      <c r="AP991" s="35"/>
      <c r="AQ991" s="35"/>
      <c r="AR991" s="35"/>
      <c r="AS991" s="35"/>
      <c r="AT991" s="35"/>
      <c r="AU991" s="35"/>
      <c r="AV991" s="35"/>
      <c r="AW991" s="35"/>
      <c r="AX991" s="35"/>
      <c r="AY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  <c r="AK992" s="35"/>
      <c r="AL992" s="35"/>
      <c r="AM992" s="35"/>
      <c r="AN992" s="35"/>
      <c r="AO992" s="35"/>
      <c r="AP992" s="35"/>
      <c r="AQ992" s="35"/>
      <c r="AR992" s="35"/>
      <c r="AS992" s="35"/>
      <c r="AT992" s="35"/>
      <c r="AU992" s="35"/>
      <c r="AV992" s="35"/>
      <c r="AW992" s="35"/>
      <c r="AX992" s="35"/>
      <c r="AY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  <c r="AK993" s="35"/>
      <c r="AL993" s="35"/>
      <c r="AM993" s="35"/>
      <c r="AN993" s="35"/>
      <c r="AO993" s="35"/>
      <c r="AP993" s="35"/>
      <c r="AQ993" s="35"/>
      <c r="AR993" s="35"/>
      <c r="AS993" s="35"/>
      <c r="AT993" s="35"/>
      <c r="AU993" s="35"/>
      <c r="AV993" s="35"/>
      <c r="AW993" s="35"/>
      <c r="AX993" s="35"/>
      <c r="AY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  <c r="AK994" s="35"/>
      <c r="AL994" s="35"/>
      <c r="AM994" s="35"/>
      <c r="AN994" s="35"/>
      <c r="AO994" s="35"/>
      <c r="AP994" s="35"/>
      <c r="AQ994" s="35"/>
      <c r="AR994" s="35"/>
      <c r="AS994" s="35"/>
      <c r="AT994" s="35"/>
      <c r="AU994" s="35"/>
      <c r="AV994" s="35"/>
      <c r="AW994" s="35"/>
      <c r="AX994" s="35"/>
      <c r="AY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  <c r="AK995" s="35"/>
      <c r="AL995" s="35"/>
      <c r="AM995" s="35"/>
      <c r="AN995" s="35"/>
      <c r="AO995" s="35"/>
      <c r="AP995" s="35"/>
      <c r="AQ995" s="35"/>
      <c r="AR995" s="35"/>
      <c r="AS995" s="35"/>
      <c r="AT995" s="35"/>
      <c r="AU995" s="35"/>
      <c r="AV995" s="35"/>
      <c r="AW995" s="35"/>
      <c r="AX995" s="35"/>
      <c r="AY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  <c r="AK996" s="35"/>
      <c r="AL996" s="35"/>
      <c r="AM996" s="35"/>
      <c r="AN996" s="35"/>
      <c r="AO996" s="35"/>
      <c r="AP996" s="35"/>
      <c r="AQ996" s="35"/>
      <c r="AR996" s="35"/>
      <c r="AS996" s="35"/>
      <c r="AT996" s="35"/>
      <c r="AU996" s="35"/>
      <c r="AV996" s="35"/>
      <c r="AW996" s="35"/>
      <c r="AX996" s="35"/>
      <c r="AY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  <c r="AK997" s="35"/>
      <c r="AL997" s="35"/>
      <c r="AM997" s="35"/>
      <c r="AN997" s="35"/>
      <c r="AO997" s="35"/>
      <c r="AP997" s="35"/>
      <c r="AQ997" s="35"/>
      <c r="AR997" s="35"/>
      <c r="AS997" s="35"/>
      <c r="AT997" s="35"/>
      <c r="AU997" s="35"/>
      <c r="AV997" s="35"/>
      <c r="AW997" s="35"/>
      <c r="AX997" s="35"/>
      <c r="AY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  <c r="AK998" s="35"/>
      <c r="AL998" s="35"/>
      <c r="AM998" s="35"/>
      <c r="AN998" s="35"/>
      <c r="AO998" s="35"/>
      <c r="AP998" s="35"/>
      <c r="AQ998" s="35"/>
      <c r="AR998" s="35"/>
      <c r="AS998" s="35"/>
      <c r="AT998" s="35"/>
      <c r="AU998" s="35"/>
      <c r="AV998" s="35"/>
      <c r="AW998" s="35"/>
      <c r="AX998" s="35"/>
      <c r="AY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  <c r="AK999" s="35"/>
      <c r="AL999" s="35"/>
      <c r="AM999" s="35"/>
      <c r="AN999" s="35"/>
      <c r="AO999" s="35"/>
      <c r="AP999" s="35"/>
      <c r="AQ999" s="35"/>
      <c r="AR999" s="35"/>
      <c r="AS999" s="35"/>
      <c r="AT999" s="35"/>
      <c r="AU999" s="35"/>
      <c r="AV999" s="35"/>
      <c r="AW999" s="35"/>
      <c r="AX999" s="35"/>
      <c r="AY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  <c r="AK1000" s="35"/>
      <c r="AL1000" s="35"/>
      <c r="AM1000" s="35"/>
      <c r="AN1000" s="35"/>
      <c r="AO1000" s="35"/>
      <c r="AP1000" s="35"/>
      <c r="AQ1000" s="35"/>
      <c r="AR1000" s="35"/>
      <c r="AS1000" s="35"/>
      <c r="AT1000" s="35"/>
      <c r="AU1000" s="35"/>
      <c r="AV1000" s="35"/>
      <c r="AW1000" s="35"/>
      <c r="AX1000" s="35"/>
      <c r="AY1000" s="35"/>
    </row>
    <row r="1001">
      <c r="A1001" s="35"/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35"/>
      <c r="P1001" s="35"/>
      <c r="Q1001" s="35"/>
      <c r="R1001" s="35"/>
      <c r="S1001" s="35"/>
      <c r="T1001" s="35"/>
      <c r="U1001" s="35"/>
      <c r="V1001" s="35"/>
      <c r="W1001" s="35"/>
      <c r="X1001" s="35"/>
      <c r="Y1001" s="35"/>
      <c r="Z1001" s="35"/>
      <c r="AA1001" s="35"/>
      <c r="AB1001" s="35"/>
      <c r="AC1001" s="35"/>
      <c r="AD1001" s="35"/>
      <c r="AE1001" s="35"/>
      <c r="AF1001" s="35"/>
      <c r="AG1001" s="35"/>
      <c r="AH1001" s="35"/>
      <c r="AI1001" s="35"/>
      <c r="AJ1001" s="35"/>
      <c r="AK1001" s="35"/>
      <c r="AL1001" s="35"/>
      <c r="AM1001" s="35"/>
      <c r="AN1001" s="35"/>
      <c r="AO1001" s="35"/>
      <c r="AP1001" s="35"/>
      <c r="AQ1001" s="35"/>
      <c r="AR1001" s="35"/>
      <c r="AS1001" s="35"/>
      <c r="AT1001" s="35"/>
      <c r="AU1001" s="35"/>
      <c r="AV1001" s="35"/>
      <c r="AW1001" s="35"/>
      <c r="AX1001" s="35"/>
      <c r="AY1001" s="35"/>
    </row>
    <row r="1002">
      <c r="A1002" s="35"/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35"/>
      <c r="P1002" s="35"/>
      <c r="Q1002" s="35"/>
      <c r="R1002" s="35"/>
      <c r="S1002" s="35"/>
      <c r="T1002" s="35"/>
      <c r="U1002" s="35"/>
      <c r="V1002" s="35"/>
      <c r="W1002" s="35"/>
      <c r="X1002" s="35"/>
      <c r="Y1002" s="35"/>
      <c r="Z1002" s="35"/>
      <c r="AA1002" s="35"/>
      <c r="AB1002" s="35"/>
      <c r="AC1002" s="35"/>
      <c r="AD1002" s="35"/>
      <c r="AE1002" s="35"/>
      <c r="AF1002" s="35"/>
      <c r="AG1002" s="35"/>
      <c r="AH1002" s="35"/>
      <c r="AI1002" s="35"/>
      <c r="AJ1002" s="35"/>
      <c r="AK1002" s="35"/>
      <c r="AL1002" s="35"/>
      <c r="AM1002" s="35"/>
      <c r="AN1002" s="35"/>
      <c r="AO1002" s="35"/>
      <c r="AP1002" s="35"/>
      <c r="AQ1002" s="35"/>
      <c r="AR1002" s="35"/>
      <c r="AS1002" s="35"/>
      <c r="AT1002" s="35"/>
      <c r="AU1002" s="35"/>
      <c r="AV1002" s="35"/>
      <c r="AW1002" s="35"/>
      <c r="AX1002" s="35"/>
      <c r="AY1002" s="35"/>
    </row>
    <row r="1003">
      <c r="A1003" s="35"/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35"/>
      <c r="P1003" s="35"/>
      <c r="Q1003" s="35"/>
      <c r="R1003" s="35"/>
      <c r="S1003" s="35"/>
      <c r="T1003" s="35"/>
      <c r="U1003" s="35"/>
      <c r="V1003" s="35"/>
      <c r="W1003" s="35"/>
      <c r="X1003" s="35"/>
      <c r="Y1003" s="35"/>
      <c r="Z1003" s="35"/>
      <c r="AA1003" s="35"/>
      <c r="AB1003" s="35"/>
      <c r="AC1003" s="35"/>
      <c r="AD1003" s="35"/>
      <c r="AE1003" s="35"/>
      <c r="AF1003" s="35"/>
      <c r="AG1003" s="35"/>
      <c r="AH1003" s="35"/>
      <c r="AI1003" s="35"/>
      <c r="AJ1003" s="35"/>
      <c r="AK1003" s="35"/>
      <c r="AL1003" s="35"/>
      <c r="AM1003" s="35"/>
      <c r="AN1003" s="35"/>
      <c r="AO1003" s="35"/>
      <c r="AP1003" s="35"/>
      <c r="AQ1003" s="35"/>
      <c r="AR1003" s="35"/>
      <c r="AS1003" s="35"/>
      <c r="AT1003" s="35"/>
      <c r="AU1003" s="35"/>
      <c r="AV1003" s="35"/>
      <c r="AW1003" s="35"/>
      <c r="AX1003" s="35"/>
      <c r="AY1003" s="35"/>
    </row>
    <row r="1004">
      <c r="A1004" s="35"/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35"/>
      <c r="P1004" s="35"/>
      <c r="Q1004" s="35"/>
      <c r="R1004" s="35"/>
      <c r="S1004" s="35"/>
      <c r="T1004" s="35"/>
      <c r="U1004" s="35"/>
      <c r="V1004" s="35"/>
      <c r="W1004" s="35"/>
      <c r="X1004" s="35"/>
      <c r="Y1004" s="35"/>
      <c r="Z1004" s="35"/>
      <c r="AA1004" s="35"/>
      <c r="AB1004" s="35"/>
      <c r="AC1004" s="35"/>
      <c r="AD1004" s="35"/>
      <c r="AE1004" s="35"/>
      <c r="AF1004" s="35"/>
      <c r="AG1004" s="35"/>
      <c r="AH1004" s="35"/>
      <c r="AI1004" s="35"/>
      <c r="AJ1004" s="35"/>
      <c r="AK1004" s="35"/>
      <c r="AL1004" s="35"/>
      <c r="AM1004" s="35"/>
      <c r="AN1004" s="35"/>
      <c r="AO1004" s="35"/>
      <c r="AP1004" s="35"/>
      <c r="AQ1004" s="35"/>
      <c r="AR1004" s="35"/>
      <c r="AS1004" s="35"/>
      <c r="AT1004" s="35"/>
      <c r="AU1004" s="35"/>
      <c r="AV1004" s="35"/>
      <c r="AW1004" s="35"/>
      <c r="AX1004" s="35"/>
      <c r="AY1004" s="35"/>
    </row>
    <row r="1005">
      <c r="A1005" s="35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35"/>
      <c r="P1005" s="35"/>
      <c r="Q1005" s="35"/>
      <c r="R1005" s="35"/>
      <c r="S1005" s="35"/>
      <c r="T1005" s="35"/>
      <c r="U1005" s="35"/>
      <c r="V1005" s="35"/>
      <c r="W1005" s="35"/>
      <c r="X1005" s="35"/>
      <c r="Y1005" s="35"/>
      <c r="Z1005" s="35"/>
      <c r="AA1005" s="35"/>
      <c r="AB1005" s="35"/>
      <c r="AC1005" s="35"/>
      <c r="AD1005" s="35"/>
      <c r="AE1005" s="35"/>
      <c r="AF1005" s="35"/>
      <c r="AG1005" s="35"/>
      <c r="AH1005" s="35"/>
      <c r="AI1005" s="35"/>
      <c r="AJ1005" s="35"/>
      <c r="AK1005" s="35"/>
      <c r="AL1005" s="35"/>
      <c r="AM1005" s="35"/>
      <c r="AN1005" s="35"/>
      <c r="AO1005" s="35"/>
      <c r="AP1005" s="35"/>
      <c r="AQ1005" s="35"/>
      <c r="AR1005" s="35"/>
      <c r="AS1005" s="35"/>
      <c r="AT1005" s="35"/>
      <c r="AU1005" s="35"/>
      <c r="AV1005" s="35"/>
      <c r="AW1005" s="35"/>
      <c r="AX1005" s="35"/>
      <c r="AY1005" s="35"/>
    </row>
    <row r="1006">
      <c r="A1006" s="35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W1006" s="35"/>
      <c r="X1006" s="35"/>
      <c r="Y1006" s="35"/>
      <c r="Z1006" s="35"/>
      <c r="AA1006" s="35"/>
      <c r="AB1006" s="35"/>
      <c r="AC1006" s="35"/>
      <c r="AD1006" s="35"/>
      <c r="AE1006" s="35"/>
      <c r="AF1006" s="35"/>
      <c r="AG1006" s="35"/>
      <c r="AH1006" s="35"/>
      <c r="AI1006" s="35"/>
      <c r="AJ1006" s="35"/>
      <c r="AK1006" s="35"/>
      <c r="AL1006" s="35"/>
      <c r="AM1006" s="35"/>
      <c r="AN1006" s="35"/>
      <c r="AO1006" s="35"/>
      <c r="AP1006" s="35"/>
      <c r="AQ1006" s="35"/>
      <c r="AR1006" s="35"/>
      <c r="AS1006" s="35"/>
      <c r="AT1006" s="35"/>
      <c r="AU1006" s="35"/>
      <c r="AV1006" s="35"/>
      <c r="AW1006" s="35"/>
      <c r="AX1006" s="35"/>
      <c r="AY1006" s="35"/>
    </row>
    <row r="1007">
      <c r="A1007" s="35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  <c r="O1007" s="35"/>
      <c r="P1007" s="35"/>
      <c r="Q1007" s="35"/>
      <c r="R1007" s="35"/>
      <c r="S1007" s="35"/>
      <c r="T1007" s="35"/>
      <c r="U1007" s="35"/>
      <c r="V1007" s="35"/>
      <c r="W1007" s="35"/>
      <c r="X1007" s="35"/>
      <c r="Y1007" s="35"/>
      <c r="Z1007" s="35"/>
      <c r="AA1007" s="35"/>
      <c r="AB1007" s="35"/>
      <c r="AC1007" s="35"/>
      <c r="AD1007" s="35"/>
      <c r="AE1007" s="35"/>
      <c r="AF1007" s="35"/>
      <c r="AG1007" s="35"/>
      <c r="AH1007" s="35"/>
      <c r="AI1007" s="35"/>
      <c r="AJ1007" s="35"/>
      <c r="AK1007" s="35"/>
      <c r="AL1007" s="35"/>
      <c r="AM1007" s="35"/>
      <c r="AN1007" s="35"/>
      <c r="AO1007" s="35"/>
      <c r="AP1007" s="35"/>
      <c r="AQ1007" s="35"/>
      <c r="AR1007" s="35"/>
      <c r="AS1007" s="35"/>
      <c r="AT1007" s="35"/>
      <c r="AU1007" s="35"/>
      <c r="AV1007" s="35"/>
      <c r="AW1007" s="35"/>
      <c r="AX1007" s="35"/>
      <c r="AY1007" s="35"/>
    </row>
    <row r="1008">
      <c r="A1008" s="35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  <c r="O1008" s="35"/>
      <c r="P1008" s="35"/>
      <c r="Q1008" s="35"/>
      <c r="R1008" s="35"/>
      <c r="S1008" s="35"/>
      <c r="T1008" s="35"/>
      <c r="U1008" s="35"/>
      <c r="V1008" s="35"/>
      <c r="W1008" s="35"/>
      <c r="X1008" s="35"/>
      <c r="Y1008" s="35"/>
      <c r="Z1008" s="35"/>
      <c r="AA1008" s="35"/>
      <c r="AB1008" s="35"/>
      <c r="AC1008" s="35"/>
      <c r="AD1008" s="35"/>
      <c r="AE1008" s="35"/>
      <c r="AF1008" s="35"/>
      <c r="AG1008" s="35"/>
      <c r="AH1008" s="35"/>
      <c r="AI1008" s="35"/>
      <c r="AJ1008" s="35"/>
      <c r="AK1008" s="35"/>
      <c r="AL1008" s="35"/>
      <c r="AM1008" s="35"/>
      <c r="AN1008" s="35"/>
      <c r="AO1008" s="35"/>
      <c r="AP1008" s="35"/>
      <c r="AQ1008" s="35"/>
      <c r="AR1008" s="35"/>
      <c r="AS1008" s="35"/>
      <c r="AT1008" s="35"/>
      <c r="AU1008" s="35"/>
      <c r="AV1008" s="35"/>
      <c r="AW1008" s="35"/>
      <c r="AX1008" s="35"/>
      <c r="AY1008" s="35"/>
    </row>
    <row r="1009">
      <c r="A1009" s="35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  <c r="O1009" s="35"/>
      <c r="P1009" s="35"/>
      <c r="Q1009" s="35"/>
      <c r="R1009" s="35"/>
      <c r="S1009" s="35"/>
      <c r="T1009" s="35"/>
      <c r="U1009" s="35"/>
      <c r="V1009" s="35"/>
      <c r="W1009" s="35"/>
      <c r="X1009" s="35"/>
      <c r="Y1009" s="35"/>
      <c r="Z1009" s="35"/>
      <c r="AA1009" s="35"/>
      <c r="AB1009" s="35"/>
      <c r="AC1009" s="35"/>
      <c r="AD1009" s="35"/>
      <c r="AE1009" s="35"/>
      <c r="AF1009" s="35"/>
      <c r="AG1009" s="35"/>
      <c r="AH1009" s="35"/>
      <c r="AI1009" s="35"/>
      <c r="AJ1009" s="35"/>
      <c r="AK1009" s="35"/>
      <c r="AL1009" s="35"/>
      <c r="AM1009" s="35"/>
      <c r="AN1009" s="35"/>
      <c r="AO1009" s="35"/>
      <c r="AP1009" s="35"/>
      <c r="AQ1009" s="35"/>
      <c r="AR1009" s="35"/>
      <c r="AS1009" s="35"/>
      <c r="AT1009" s="35"/>
      <c r="AU1009" s="35"/>
      <c r="AV1009" s="35"/>
      <c r="AW1009" s="35"/>
      <c r="AX1009" s="35"/>
      <c r="AY1009" s="35"/>
    </row>
    <row r="1010">
      <c r="A1010" s="35"/>
      <c r="B1010" s="35"/>
      <c r="C1010" s="35"/>
      <c r="D1010" s="35"/>
      <c r="E1010" s="35"/>
      <c r="F1010" s="35"/>
      <c r="G1010" s="35"/>
      <c r="H1010" s="35"/>
      <c r="I1010" s="35"/>
      <c r="J1010" s="35"/>
      <c r="K1010" s="35"/>
      <c r="L1010" s="35"/>
      <c r="M1010" s="35"/>
      <c r="N1010" s="35"/>
      <c r="O1010" s="35"/>
      <c r="P1010" s="35"/>
      <c r="Q1010" s="35"/>
      <c r="R1010" s="35"/>
      <c r="S1010" s="35"/>
      <c r="T1010" s="35"/>
      <c r="U1010" s="35"/>
      <c r="V1010" s="35"/>
      <c r="W1010" s="35"/>
      <c r="X1010" s="35"/>
      <c r="Y1010" s="35"/>
      <c r="Z1010" s="35"/>
      <c r="AA1010" s="35"/>
      <c r="AB1010" s="35"/>
      <c r="AC1010" s="35"/>
      <c r="AD1010" s="35"/>
      <c r="AE1010" s="35"/>
      <c r="AF1010" s="35"/>
      <c r="AG1010" s="35"/>
      <c r="AH1010" s="35"/>
      <c r="AI1010" s="35"/>
      <c r="AJ1010" s="35"/>
      <c r="AK1010" s="35"/>
      <c r="AL1010" s="35"/>
      <c r="AM1010" s="35"/>
      <c r="AN1010" s="35"/>
      <c r="AO1010" s="35"/>
      <c r="AP1010" s="35"/>
      <c r="AQ1010" s="35"/>
      <c r="AR1010" s="35"/>
      <c r="AS1010" s="35"/>
      <c r="AT1010" s="35"/>
      <c r="AU1010" s="35"/>
      <c r="AV1010" s="35"/>
      <c r="AW1010" s="35"/>
      <c r="AX1010" s="35"/>
      <c r="AY1010" s="35"/>
    </row>
    <row r="1011">
      <c r="A1011" s="35"/>
      <c r="B1011" s="35"/>
      <c r="C1011" s="35"/>
      <c r="D1011" s="35"/>
      <c r="E1011" s="35"/>
      <c r="F1011" s="35"/>
      <c r="G1011" s="35"/>
      <c r="H1011" s="35"/>
      <c r="I1011" s="35"/>
      <c r="J1011" s="35"/>
      <c r="K1011" s="35"/>
      <c r="L1011" s="35"/>
      <c r="M1011" s="35"/>
      <c r="N1011" s="35"/>
      <c r="O1011" s="35"/>
      <c r="P1011" s="35"/>
      <c r="Q1011" s="35"/>
      <c r="R1011" s="35"/>
      <c r="S1011" s="35"/>
      <c r="T1011" s="35"/>
      <c r="U1011" s="35"/>
      <c r="V1011" s="35"/>
      <c r="W1011" s="35"/>
      <c r="X1011" s="35"/>
      <c r="Y1011" s="35"/>
      <c r="Z1011" s="35"/>
      <c r="AA1011" s="35"/>
      <c r="AB1011" s="35"/>
      <c r="AC1011" s="35"/>
      <c r="AD1011" s="35"/>
      <c r="AE1011" s="35"/>
      <c r="AF1011" s="35"/>
      <c r="AG1011" s="35"/>
      <c r="AH1011" s="35"/>
      <c r="AI1011" s="35"/>
      <c r="AJ1011" s="35"/>
      <c r="AK1011" s="35"/>
      <c r="AL1011" s="35"/>
      <c r="AM1011" s="35"/>
      <c r="AN1011" s="35"/>
      <c r="AO1011" s="35"/>
      <c r="AP1011" s="35"/>
      <c r="AQ1011" s="35"/>
      <c r="AR1011" s="35"/>
      <c r="AS1011" s="35"/>
      <c r="AT1011" s="35"/>
      <c r="AU1011" s="35"/>
      <c r="AV1011" s="35"/>
      <c r="AW1011" s="35"/>
      <c r="AX1011" s="35"/>
      <c r="AY1011" s="35"/>
    </row>
    <row r="1012">
      <c r="A1012" s="35"/>
      <c r="B1012" s="35"/>
      <c r="C1012" s="35"/>
      <c r="D1012" s="35"/>
      <c r="E1012" s="35"/>
      <c r="F1012" s="35"/>
      <c r="G1012" s="35"/>
      <c r="H1012" s="35"/>
      <c r="I1012" s="35"/>
      <c r="J1012" s="35"/>
      <c r="K1012" s="35"/>
      <c r="L1012" s="35"/>
      <c r="M1012" s="35"/>
      <c r="N1012" s="35"/>
      <c r="O1012" s="35"/>
      <c r="P1012" s="35"/>
      <c r="Q1012" s="35"/>
      <c r="R1012" s="35"/>
      <c r="S1012" s="35"/>
      <c r="T1012" s="35"/>
      <c r="U1012" s="35"/>
      <c r="V1012" s="35"/>
      <c r="W1012" s="35"/>
      <c r="X1012" s="35"/>
      <c r="Y1012" s="35"/>
      <c r="Z1012" s="35"/>
      <c r="AA1012" s="35"/>
      <c r="AB1012" s="35"/>
      <c r="AC1012" s="35"/>
      <c r="AD1012" s="35"/>
      <c r="AE1012" s="35"/>
      <c r="AF1012" s="35"/>
      <c r="AG1012" s="35"/>
      <c r="AH1012" s="35"/>
      <c r="AI1012" s="35"/>
      <c r="AJ1012" s="35"/>
      <c r="AK1012" s="35"/>
      <c r="AL1012" s="35"/>
      <c r="AM1012" s="35"/>
      <c r="AN1012" s="35"/>
      <c r="AO1012" s="35"/>
      <c r="AP1012" s="35"/>
      <c r="AQ1012" s="35"/>
      <c r="AR1012" s="35"/>
      <c r="AS1012" s="35"/>
      <c r="AT1012" s="35"/>
      <c r="AU1012" s="35"/>
      <c r="AV1012" s="35"/>
      <c r="AW1012" s="35"/>
      <c r="AX1012" s="35"/>
      <c r="AY1012" s="35"/>
    </row>
    <row r="1013">
      <c r="A1013" s="35"/>
      <c r="B1013" s="35"/>
      <c r="C1013" s="35"/>
      <c r="D1013" s="35"/>
      <c r="E1013" s="35"/>
      <c r="F1013" s="35"/>
      <c r="G1013" s="35"/>
      <c r="H1013" s="35"/>
      <c r="I1013" s="35"/>
      <c r="J1013" s="35"/>
      <c r="K1013" s="35"/>
      <c r="L1013" s="35"/>
      <c r="M1013" s="35"/>
      <c r="N1013" s="35"/>
      <c r="O1013" s="35"/>
      <c r="P1013" s="35"/>
      <c r="Q1013" s="35"/>
      <c r="R1013" s="35"/>
      <c r="S1013" s="35"/>
      <c r="T1013" s="35"/>
      <c r="U1013" s="35"/>
      <c r="V1013" s="35"/>
      <c r="W1013" s="35"/>
      <c r="X1013" s="35"/>
      <c r="Y1013" s="35"/>
      <c r="Z1013" s="35"/>
      <c r="AA1013" s="35"/>
      <c r="AB1013" s="35"/>
      <c r="AC1013" s="35"/>
      <c r="AD1013" s="35"/>
      <c r="AE1013" s="35"/>
      <c r="AF1013" s="35"/>
      <c r="AG1013" s="35"/>
      <c r="AH1013" s="35"/>
      <c r="AI1013" s="35"/>
      <c r="AJ1013" s="35"/>
      <c r="AK1013" s="35"/>
      <c r="AL1013" s="35"/>
      <c r="AM1013" s="35"/>
      <c r="AN1013" s="35"/>
      <c r="AO1013" s="35"/>
      <c r="AP1013" s="35"/>
      <c r="AQ1013" s="35"/>
      <c r="AR1013" s="35"/>
      <c r="AS1013" s="35"/>
      <c r="AT1013" s="35"/>
      <c r="AU1013" s="35"/>
      <c r="AV1013" s="35"/>
      <c r="AW1013" s="35"/>
      <c r="AX1013" s="35"/>
      <c r="AY1013" s="35"/>
    </row>
    <row r="1014">
      <c r="A1014" s="35"/>
      <c r="B1014" s="35"/>
      <c r="C1014" s="35"/>
      <c r="D1014" s="35"/>
      <c r="E1014" s="35"/>
      <c r="F1014" s="35"/>
      <c r="G1014" s="35"/>
      <c r="H1014" s="35"/>
      <c r="I1014" s="35"/>
      <c r="J1014" s="35"/>
      <c r="K1014" s="35"/>
      <c r="L1014" s="35"/>
      <c r="M1014" s="35"/>
      <c r="N1014" s="35"/>
      <c r="O1014" s="35"/>
      <c r="P1014" s="35"/>
      <c r="Q1014" s="35"/>
      <c r="R1014" s="35"/>
      <c r="S1014" s="35"/>
      <c r="T1014" s="35"/>
      <c r="U1014" s="35"/>
      <c r="V1014" s="35"/>
      <c r="W1014" s="35"/>
      <c r="X1014" s="35"/>
      <c r="Y1014" s="35"/>
      <c r="Z1014" s="35"/>
      <c r="AA1014" s="35"/>
      <c r="AB1014" s="35"/>
      <c r="AC1014" s="35"/>
      <c r="AD1014" s="35"/>
      <c r="AE1014" s="35"/>
      <c r="AF1014" s="35"/>
      <c r="AG1014" s="35"/>
      <c r="AH1014" s="35"/>
      <c r="AI1014" s="35"/>
      <c r="AJ1014" s="35"/>
      <c r="AK1014" s="35"/>
      <c r="AL1014" s="35"/>
      <c r="AM1014" s="35"/>
      <c r="AN1014" s="35"/>
      <c r="AO1014" s="35"/>
      <c r="AP1014" s="35"/>
      <c r="AQ1014" s="35"/>
      <c r="AR1014" s="35"/>
      <c r="AS1014" s="35"/>
      <c r="AT1014" s="35"/>
      <c r="AU1014" s="35"/>
      <c r="AV1014" s="35"/>
      <c r="AW1014" s="35"/>
      <c r="AX1014" s="35"/>
      <c r="AY1014" s="35"/>
    </row>
    <row r="1015">
      <c r="A1015" s="35"/>
      <c r="B1015" s="35"/>
      <c r="C1015" s="35"/>
      <c r="D1015" s="35"/>
      <c r="E1015" s="35"/>
      <c r="F1015" s="35"/>
      <c r="G1015" s="35"/>
      <c r="H1015" s="35"/>
      <c r="I1015" s="35"/>
      <c r="J1015" s="35"/>
      <c r="K1015" s="35"/>
      <c r="L1015" s="35"/>
      <c r="M1015" s="35"/>
      <c r="N1015" s="35"/>
      <c r="O1015" s="35"/>
      <c r="P1015" s="35"/>
      <c r="Q1015" s="35"/>
      <c r="R1015" s="35"/>
      <c r="S1015" s="35"/>
      <c r="T1015" s="35"/>
      <c r="U1015" s="35"/>
      <c r="V1015" s="35"/>
      <c r="W1015" s="35"/>
      <c r="X1015" s="35"/>
      <c r="Y1015" s="35"/>
      <c r="Z1015" s="35"/>
      <c r="AA1015" s="35"/>
      <c r="AB1015" s="35"/>
      <c r="AC1015" s="35"/>
      <c r="AD1015" s="35"/>
      <c r="AE1015" s="35"/>
      <c r="AF1015" s="35"/>
      <c r="AG1015" s="35"/>
      <c r="AH1015" s="35"/>
      <c r="AI1015" s="35"/>
      <c r="AJ1015" s="35"/>
      <c r="AK1015" s="35"/>
      <c r="AL1015" s="35"/>
      <c r="AM1015" s="35"/>
      <c r="AN1015" s="35"/>
      <c r="AO1015" s="35"/>
      <c r="AP1015" s="35"/>
      <c r="AQ1015" s="35"/>
      <c r="AR1015" s="35"/>
      <c r="AS1015" s="35"/>
      <c r="AT1015" s="35"/>
      <c r="AU1015" s="35"/>
      <c r="AV1015" s="35"/>
      <c r="AW1015" s="35"/>
      <c r="AX1015" s="35"/>
      <c r="AY1015" s="35"/>
    </row>
    <row r="1016">
      <c r="A1016" s="35"/>
      <c r="B1016" s="35"/>
      <c r="C1016" s="35"/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35"/>
      <c r="P1016" s="35"/>
      <c r="Q1016" s="35"/>
      <c r="R1016" s="35"/>
      <c r="S1016" s="35"/>
      <c r="T1016" s="35"/>
      <c r="U1016" s="35"/>
      <c r="V1016" s="35"/>
      <c r="W1016" s="35"/>
      <c r="X1016" s="35"/>
      <c r="Y1016" s="35"/>
      <c r="Z1016" s="35"/>
      <c r="AA1016" s="35"/>
      <c r="AB1016" s="35"/>
      <c r="AC1016" s="35"/>
      <c r="AD1016" s="35"/>
      <c r="AE1016" s="35"/>
      <c r="AF1016" s="35"/>
      <c r="AG1016" s="35"/>
      <c r="AH1016" s="35"/>
      <c r="AI1016" s="35"/>
      <c r="AJ1016" s="35"/>
      <c r="AK1016" s="35"/>
      <c r="AL1016" s="35"/>
      <c r="AM1016" s="35"/>
      <c r="AN1016" s="35"/>
      <c r="AO1016" s="35"/>
      <c r="AP1016" s="35"/>
      <c r="AQ1016" s="35"/>
      <c r="AR1016" s="35"/>
      <c r="AS1016" s="35"/>
      <c r="AT1016" s="35"/>
      <c r="AU1016" s="35"/>
      <c r="AV1016" s="35"/>
      <c r="AW1016" s="35"/>
      <c r="AX1016" s="35"/>
      <c r="AY1016" s="35"/>
    </row>
    <row r="1017">
      <c r="A1017" s="35"/>
      <c r="B1017" s="35"/>
      <c r="C1017" s="35"/>
      <c r="D1017" s="35"/>
      <c r="E1017" s="35"/>
      <c r="F1017" s="35"/>
      <c r="G1017" s="35"/>
      <c r="H1017" s="35"/>
      <c r="I1017" s="35"/>
      <c r="J1017" s="35"/>
      <c r="K1017" s="35"/>
      <c r="L1017" s="35"/>
      <c r="M1017" s="35"/>
      <c r="N1017" s="35"/>
      <c r="O1017" s="35"/>
      <c r="P1017" s="35"/>
      <c r="Q1017" s="35"/>
      <c r="R1017" s="35"/>
      <c r="S1017" s="35"/>
      <c r="T1017" s="35"/>
      <c r="U1017" s="35"/>
      <c r="V1017" s="35"/>
      <c r="W1017" s="35"/>
      <c r="X1017" s="35"/>
      <c r="Y1017" s="35"/>
      <c r="Z1017" s="35"/>
      <c r="AA1017" s="35"/>
      <c r="AB1017" s="35"/>
      <c r="AC1017" s="35"/>
      <c r="AD1017" s="35"/>
      <c r="AE1017" s="35"/>
      <c r="AF1017" s="35"/>
      <c r="AG1017" s="35"/>
      <c r="AH1017" s="35"/>
      <c r="AI1017" s="35"/>
      <c r="AJ1017" s="35"/>
      <c r="AK1017" s="35"/>
      <c r="AL1017" s="35"/>
      <c r="AM1017" s="35"/>
      <c r="AN1017" s="35"/>
      <c r="AO1017" s="35"/>
      <c r="AP1017" s="35"/>
      <c r="AQ1017" s="35"/>
      <c r="AR1017" s="35"/>
      <c r="AS1017" s="35"/>
      <c r="AT1017" s="35"/>
      <c r="AU1017" s="35"/>
      <c r="AV1017" s="35"/>
      <c r="AW1017" s="35"/>
      <c r="AX1017" s="35"/>
      <c r="AY1017" s="35"/>
    </row>
  </sheetData>
  <mergeCells count="17">
    <mergeCell ref="A1:W1"/>
    <mergeCell ref="B2:E2"/>
    <mergeCell ref="H2:L2"/>
    <mergeCell ref="N2:R2"/>
    <mergeCell ref="T2:W2"/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9.0"/>
    <col customWidth="1" min="3" max="3" width="8.63"/>
    <col customWidth="1" min="4" max="4" width="7.13"/>
    <col customWidth="1" min="5" max="7" width="8.13"/>
    <col customWidth="1" min="8" max="8" width="8.63"/>
    <col customWidth="1" min="9" max="9" width="7.88"/>
    <col customWidth="1" min="10" max="10" width="11.0"/>
    <col customWidth="1" min="11" max="11" width="8.5"/>
    <col customWidth="1" min="12" max="13" width="9.38"/>
    <col customWidth="1" min="14" max="14" width="8.63"/>
    <col customWidth="1" min="15" max="15" width="7.88"/>
    <col customWidth="1" min="16" max="16" width="9.25"/>
    <col customWidth="1" min="17" max="17" width="9.88"/>
    <col customWidth="1" min="18" max="18" width="9.38"/>
    <col customWidth="1" min="19" max="19" width="7.13"/>
    <col customWidth="1" min="20" max="20" width="10.13"/>
    <col customWidth="1" min="21" max="21" width="9.0"/>
    <col customWidth="1" min="22" max="22" width="11.38"/>
    <col customWidth="1" min="23" max="23" width="5.88"/>
    <col customWidth="1" min="24" max="24" width="7.13"/>
    <col customWidth="1" min="25" max="26" width="9.88"/>
    <col customWidth="1" min="27" max="27" width="7.75"/>
    <col customWidth="1" min="29" max="29" width="7.63"/>
    <col customWidth="1" min="30" max="30" width="4.5"/>
    <col customWidth="1" min="32" max="34" width="8.75"/>
    <col customWidth="1" min="35" max="35" width="10.5"/>
    <col customWidth="1" min="36" max="50" width="8.75"/>
  </cols>
  <sheetData>
    <row r="1">
      <c r="A1" s="4" t="s">
        <v>0</v>
      </c>
      <c r="AC1" s="7"/>
    </row>
    <row r="3">
      <c r="A3" s="8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0"/>
      <c r="X3" s="12"/>
      <c r="Y3" s="13"/>
      <c r="Z3" s="13"/>
      <c r="AA3" s="14"/>
      <c r="AB3" s="16"/>
      <c r="AC3" s="18" t="s">
        <v>2</v>
      </c>
      <c r="AD3" s="19" t="s">
        <v>3</v>
      </c>
    </row>
    <row r="4">
      <c r="A4" s="22"/>
      <c r="B4" s="28" t="s">
        <v>5</v>
      </c>
      <c r="C4" s="30"/>
      <c r="D4" s="30"/>
      <c r="E4" s="30"/>
      <c r="F4" s="32"/>
      <c r="G4" s="32" t="s">
        <v>16</v>
      </c>
      <c r="H4" s="30"/>
      <c r="I4" s="30"/>
      <c r="J4" s="30"/>
      <c r="K4" s="30"/>
      <c r="L4" s="32"/>
      <c r="M4" s="32" t="s">
        <v>17</v>
      </c>
      <c r="N4" s="30"/>
      <c r="O4" s="30"/>
      <c r="P4" s="30"/>
      <c r="Q4" s="30"/>
      <c r="R4" s="36"/>
      <c r="S4" s="38"/>
      <c r="T4" s="32" t="s">
        <v>13</v>
      </c>
      <c r="U4" s="30"/>
      <c r="V4" s="30"/>
      <c r="W4" s="42"/>
      <c r="X4" s="25"/>
      <c r="Y4" s="25"/>
      <c r="Z4" s="25"/>
      <c r="AB4" s="44"/>
      <c r="AD4" s="36"/>
    </row>
    <row r="5">
      <c r="A5" s="47"/>
      <c r="B5" s="49" t="s">
        <v>24</v>
      </c>
      <c r="C5" s="49" t="s">
        <v>25</v>
      </c>
      <c r="D5" s="49" t="s">
        <v>26</v>
      </c>
      <c r="E5" s="49" t="s">
        <v>27</v>
      </c>
      <c r="F5" s="49"/>
      <c r="G5" s="49" t="s">
        <v>24</v>
      </c>
      <c r="H5" s="51" t="s">
        <v>28</v>
      </c>
      <c r="I5" s="49" t="s">
        <v>25</v>
      </c>
      <c r="J5" s="49" t="s">
        <v>26</v>
      </c>
      <c r="K5" s="49" t="s">
        <v>27</v>
      </c>
      <c r="L5" s="49"/>
      <c r="M5" s="49" t="s">
        <v>24</v>
      </c>
      <c r="N5" s="51" t="s">
        <v>28</v>
      </c>
      <c r="O5" s="49" t="s">
        <v>25</v>
      </c>
      <c r="P5" s="49" t="s">
        <v>26</v>
      </c>
      <c r="Q5" s="49" t="s">
        <v>27</v>
      </c>
      <c r="R5" s="49"/>
      <c r="S5" s="49" t="s">
        <v>12</v>
      </c>
      <c r="T5" s="49" t="s">
        <v>24</v>
      </c>
      <c r="U5" s="49" t="s">
        <v>25</v>
      </c>
      <c r="V5" s="49" t="s">
        <v>26</v>
      </c>
      <c r="W5" s="56" t="s">
        <v>27</v>
      </c>
      <c r="X5" s="58" t="s">
        <v>31</v>
      </c>
      <c r="Y5" s="59" t="s">
        <v>33</v>
      </c>
      <c r="Z5" s="59" t="s">
        <v>34</v>
      </c>
      <c r="AA5" s="23" t="s">
        <v>14</v>
      </c>
      <c r="AB5" s="61" t="s">
        <v>35</v>
      </c>
      <c r="AD5" s="36"/>
    </row>
    <row r="6">
      <c r="A6" s="62" t="s">
        <v>36</v>
      </c>
      <c r="B6" s="48">
        <v>26.0</v>
      </c>
      <c r="C6" s="48"/>
      <c r="D6" s="70">
        <f t="shared" ref="D6:D9" si="1">SUM(B6:C6)</f>
        <v>26</v>
      </c>
      <c r="E6" s="72">
        <v>21.0</v>
      </c>
      <c r="F6" s="76">
        <f t="shared" ref="F6:F19" si="2">D6/E6</f>
        <v>1.238095238</v>
      </c>
      <c r="G6" s="48">
        <v>31.0</v>
      </c>
      <c r="H6" s="48"/>
      <c r="I6" s="48">
        <v>1.0</v>
      </c>
      <c r="J6" s="70">
        <f t="shared" ref="J6:J9" si="3">SUM(G6:I6)</f>
        <v>32</v>
      </c>
      <c r="K6" s="72">
        <v>27.0</v>
      </c>
      <c r="L6" s="76">
        <f t="shared" ref="L6:L19" si="4">J6/K6</f>
        <v>1.185185185</v>
      </c>
      <c r="M6" s="81">
        <v>42.0</v>
      </c>
      <c r="N6" s="81">
        <v>0.0</v>
      </c>
      <c r="O6" s="81">
        <v>1.0</v>
      </c>
      <c r="P6" s="70">
        <f t="shared" ref="P6:P9" si="5">SUM(M6:O6)</f>
        <v>43</v>
      </c>
      <c r="Q6" s="72">
        <v>48.0</v>
      </c>
      <c r="R6" s="76">
        <f t="shared" ref="R6:R19" si="6">P6/Q6</f>
        <v>0.8958333333</v>
      </c>
      <c r="S6" s="83"/>
      <c r="T6" s="84">
        <f t="shared" ref="T6:T9" si="7">M6+G6+B6+N6+H6</f>
        <v>99</v>
      </c>
      <c r="U6" s="84">
        <f t="shared" ref="U6:U9" si="8">O6+I6+C6</f>
        <v>2</v>
      </c>
      <c r="V6" s="70">
        <f t="shared" ref="V6:V9" si="9">sum(S6:U6)</f>
        <v>101</v>
      </c>
      <c r="W6" s="86">
        <f t="shared" ref="W6:W9" si="10">E6+K6+Q6</f>
        <v>96</v>
      </c>
      <c r="X6" s="88">
        <f t="shared" ref="X6:X9" si="11">W6-V6</f>
        <v>-5</v>
      </c>
      <c r="Y6" s="46">
        <f t="shared" ref="Y6:Y9" si="12">round(X6/$Y$26*7,0)</f>
        <v>0</v>
      </c>
      <c r="Z6" s="46">
        <f t="shared" ref="Z6:Z9" si="13">U6+T6</f>
        <v>101</v>
      </c>
      <c r="AA6" s="84">
        <f t="shared" ref="AA6:AA9" si="14">W6</f>
        <v>96</v>
      </c>
      <c r="AB6" s="96">
        <f t="shared" ref="AB6:AB9" si="15">(T6+U6)/W6</f>
        <v>1.052083333</v>
      </c>
      <c r="AC6" s="98">
        <v>46203.0</v>
      </c>
      <c r="AD6" s="99" t="s">
        <v>42</v>
      </c>
      <c r="AR6" s="36"/>
      <c r="AS6" s="36"/>
      <c r="AT6" s="36"/>
      <c r="AU6" s="36"/>
      <c r="AV6" s="36"/>
      <c r="AW6" s="36"/>
      <c r="AX6" s="36"/>
      <c r="AY6" s="36"/>
      <c r="AZ6" s="36"/>
    </row>
    <row r="7">
      <c r="A7" s="62" t="s">
        <v>40</v>
      </c>
      <c r="B7" s="48">
        <v>23.0</v>
      </c>
      <c r="C7" s="48"/>
      <c r="D7" s="70">
        <f t="shared" si="1"/>
        <v>23</v>
      </c>
      <c r="E7" s="72">
        <v>15.0</v>
      </c>
      <c r="F7" s="76">
        <f t="shared" si="2"/>
        <v>1.533333333</v>
      </c>
      <c r="G7" s="48">
        <v>27.0</v>
      </c>
      <c r="H7" s="48"/>
      <c r="I7" s="48">
        <v>1.0</v>
      </c>
      <c r="J7" s="70">
        <f t="shared" si="3"/>
        <v>28</v>
      </c>
      <c r="K7" s="72">
        <v>20.0</v>
      </c>
      <c r="L7" s="76">
        <f t="shared" si="4"/>
        <v>1.4</v>
      </c>
      <c r="M7" s="81">
        <v>25.0</v>
      </c>
      <c r="N7" s="104"/>
      <c r="O7" s="81">
        <v>1.0</v>
      </c>
      <c r="P7" s="70">
        <f t="shared" si="5"/>
        <v>26</v>
      </c>
      <c r="Q7" s="72">
        <v>36.0</v>
      </c>
      <c r="R7" s="76">
        <f t="shared" si="6"/>
        <v>0.7222222222</v>
      </c>
      <c r="S7" s="83"/>
      <c r="T7" s="84">
        <f t="shared" si="7"/>
        <v>75</v>
      </c>
      <c r="U7" s="84">
        <f t="shared" si="8"/>
        <v>2</v>
      </c>
      <c r="V7" s="70">
        <f t="shared" si="9"/>
        <v>77</v>
      </c>
      <c r="W7" s="86">
        <f t="shared" si="10"/>
        <v>71</v>
      </c>
      <c r="X7" s="88">
        <f t="shared" si="11"/>
        <v>-6</v>
      </c>
      <c r="Y7" s="46">
        <f t="shared" si="12"/>
        <v>0</v>
      </c>
      <c r="Z7" s="46">
        <f t="shared" si="13"/>
        <v>77</v>
      </c>
      <c r="AA7" s="84">
        <f t="shared" si="14"/>
        <v>71</v>
      </c>
      <c r="AB7" s="96">
        <f t="shared" si="15"/>
        <v>1.084507042</v>
      </c>
      <c r="AC7" s="98">
        <v>46203.0</v>
      </c>
      <c r="AD7" s="99" t="s">
        <v>42</v>
      </c>
      <c r="AR7" s="36"/>
      <c r="AS7" s="36"/>
      <c r="AT7" s="36"/>
      <c r="AU7" s="36"/>
      <c r="AV7" s="36"/>
      <c r="AW7" s="36"/>
      <c r="AX7" s="36"/>
      <c r="AY7" s="36"/>
      <c r="AZ7" s="36"/>
    </row>
    <row r="8">
      <c r="A8" s="62" t="s">
        <v>41</v>
      </c>
      <c r="B8" s="48">
        <v>22.0</v>
      </c>
      <c r="C8" s="107"/>
      <c r="D8" s="70">
        <f t="shared" si="1"/>
        <v>22</v>
      </c>
      <c r="E8" s="72">
        <v>17.0</v>
      </c>
      <c r="F8" s="76">
        <f t="shared" si="2"/>
        <v>1.294117647</v>
      </c>
      <c r="G8" s="48">
        <v>41.0</v>
      </c>
      <c r="H8" s="48"/>
      <c r="I8" s="48"/>
      <c r="J8" s="70">
        <f t="shared" si="3"/>
        <v>41</v>
      </c>
      <c r="K8" s="72">
        <v>23.0</v>
      </c>
      <c r="L8" s="76">
        <f t="shared" si="4"/>
        <v>1.782608696</v>
      </c>
      <c r="M8" s="74">
        <v>25.0</v>
      </c>
      <c r="N8" s="81">
        <v>2.0</v>
      </c>
      <c r="O8" s="104"/>
      <c r="P8" s="70">
        <f t="shared" si="5"/>
        <v>27</v>
      </c>
      <c r="Q8" s="72">
        <v>40.0</v>
      </c>
      <c r="R8" s="76">
        <f t="shared" si="6"/>
        <v>0.675</v>
      </c>
      <c r="S8" s="83"/>
      <c r="T8" s="84">
        <f t="shared" si="7"/>
        <v>90</v>
      </c>
      <c r="U8" s="84">
        <f t="shared" si="8"/>
        <v>0</v>
      </c>
      <c r="V8" s="70">
        <f t="shared" si="9"/>
        <v>90</v>
      </c>
      <c r="W8" s="86">
        <f t="shared" si="10"/>
        <v>80</v>
      </c>
      <c r="X8" s="88">
        <f t="shared" si="11"/>
        <v>-10</v>
      </c>
      <c r="Y8" s="46">
        <f t="shared" si="12"/>
        <v>1</v>
      </c>
      <c r="Z8" s="46">
        <f t="shared" si="13"/>
        <v>90</v>
      </c>
      <c r="AA8" s="84">
        <f t="shared" si="14"/>
        <v>80</v>
      </c>
      <c r="AB8" s="96">
        <f t="shared" si="15"/>
        <v>1.125</v>
      </c>
      <c r="AC8" s="98">
        <v>46203.0</v>
      </c>
      <c r="AD8" s="99" t="s">
        <v>42</v>
      </c>
      <c r="AR8" s="36"/>
      <c r="AS8" s="36"/>
      <c r="AT8" s="36"/>
      <c r="AU8" s="36"/>
      <c r="AV8" s="36"/>
      <c r="AW8" s="36"/>
      <c r="AX8" s="36"/>
      <c r="AY8" s="36"/>
      <c r="AZ8" s="36"/>
    </row>
    <row r="9">
      <c r="A9" s="62" t="s">
        <v>49</v>
      </c>
      <c r="B9" s="87">
        <v>43.0</v>
      </c>
      <c r="C9" s="111">
        <v>9.0</v>
      </c>
      <c r="D9" s="70">
        <f t="shared" si="1"/>
        <v>52</v>
      </c>
      <c r="E9" s="72">
        <v>29.0</v>
      </c>
      <c r="F9" s="76">
        <f t="shared" si="2"/>
        <v>1.793103448</v>
      </c>
      <c r="G9" s="48">
        <v>38.0</v>
      </c>
      <c r="H9" s="48">
        <v>0.0</v>
      </c>
      <c r="I9" s="48">
        <v>7.0</v>
      </c>
      <c r="J9" s="70">
        <f t="shared" si="3"/>
        <v>45</v>
      </c>
      <c r="K9" s="72">
        <v>37.0</v>
      </c>
      <c r="L9" s="76">
        <f t="shared" si="4"/>
        <v>1.216216216</v>
      </c>
      <c r="M9" s="74">
        <v>43.0</v>
      </c>
      <c r="N9" s="81">
        <v>1.0</v>
      </c>
      <c r="O9" s="74">
        <v>6.0</v>
      </c>
      <c r="P9" s="70">
        <f t="shared" si="5"/>
        <v>50</v>
      </c>
      <c r="Q9" s="72">
        <v>60.0</v>
      </c>
      <c r="R9" s="76">
        <f t="shared" si="6"/>
        <v>0.8333333333</v>
      </c>
      <c r="S9" s="83"/>
      <c r="T9" s="84">
        <f t="shared" si="7"/>
        <v>125</v>
      </c>
      <c r="U9" s="84">
        <f t="shared" si="8"/>
        <v>22</v>
      </c>
      <c r="V9" s="70">
        <f t="shared" si="9"/>
        <v>147</v>
      </c>
      <c r="W9" s="86">
        <f t="shared" si="10"/>
        <v>126</v>
      </c>
      <c r="X9" s="88">
        <f t="shared" si="11"/>
        <v>-21</v>
      </c>
      <c r="Y9" s="46">
        <f t="shared" si="12"/>
        <v>2</v>
      </c>
      <c r="Z9" s="46">
        <f t="shared" si="13"/>
        <v>147</v>
      </c>
      <c r="AA9" s="84">
        <f t="shared" si="14"/>
        <v>126</v>
      </c>
      <c r="AB9" s="96">
        <f t="shared" si="15"/>
        <v>1.166666667</v>
      </c>
      <c r="AC9" s="98">
        <v>46203.0</v>
      </c>
      <c r="AD9" s="99" t="s">
        <v>42</v>
      </c>
      <c r="AR9" s="36"/>
      <c r="AS9" s="36"/>
      <c r="AT9" s="36"/>
      <c r="AU9" s="36"/>
      <c r="AV9" s="36"/>
      <c r="AW9" s="36"/>
      <c r="AX9" s="36"/>
      <c r="AY9" s="36"/>
      <c r="AZ9" s="36"/>
    </row>
    <row r="10">
      <c r="A10" s="112" t="s">
        <v>44</v>
      </c>
      <c r="B10" s="95">
        <f t="shared" ref="B10:E10" si="16">sum(B6:B9)</f>
        <v>114</v>
      </c>
      <c r="C10" s="95">
        <f t="shared" si="16"/>
        <v>9</v>
      </c>
      <c r="D10" s="95">
        <f t="shared" si="16"/>
        <v>123</v>
      </c>
      <c r="E10" s="95">
        <f t="shared" si="16"/>
        <v>82</v>
      </c>
      <c r="F10" s="114">
        <f t="shared" si="2"/>
        <v>1.5</v>
      </c>
      <c r="G10" s="95">
        <f t="shared" ref="G10:K10" si="17">sum(G6:G9)</f>
        <v>137</v>
      </c>
      <c r="H10" s="95">
        <f t="shared" si="17"/>
        <v>0</v>
      </c>
      <c r="I10" s="95">
        <f t="shared" si="17"/>
        <v>9</v>
      </c>
      <c r="J10" s="95">
        <f t="shared" si="17"/>
        <v>146</v>
      </c>
      <c r="K10" s="95">
        <f t="shared" si="17"/>
        <v>107</v>
      </c>
      <c r="L10" s="114">
        <f t="shared" si="4"/>
        <v>1.364485981</v>
      </c>
      <c r="M10" s="95">
        <f t="shared" ref="M10:Q10" si="18">sum(M6:M9)</f>
        <v>135</v>
      </c>
      <c r="N10" s="95">
        <f t="shared" si="18"/>
        <v>3</v>
      </c>
      <c r="O10" s="95">
        <f t="shared" si="18"/>
        <v>8</v>
      </c>
      <c r="P10" s="95">
        <f t="shared" si="18"/>
        <v>146</v>
      </c>
      <c r="Q10" s="95">
        <f t="shared" si="18"/>
        <v>184</v>
      </c>
      <c r="R10" s="114">
        <f t="shared" si="6"/>
        <v>0.7934782609</v>
      </c>
      <c r="S10" s="95">
        <f t="shared" ref="S10:X10" si="19">sum(S6:S9)</f>
        <v>0</v>
      </c>
      <c r="T10" s="95">
        <f t="shared" si="19"/>
        <v>389</v>
      </c>
      <c r="U10" s="95">
        <f t="shared" si="19"/>
        <v>26</v>
      </c>
      <c r="V10" s="95">
        <f t="shared" si="19"/>
        <v>415</v>
      </c>
      <c r="W10" s="115">
        <f t="shared" si="19"/>
        <v>373</v>
      </c>
      <c r="X10" s="116">
        <f t="shared" si="19"/>
        <v>-42</v>
      </c>
      <c r="Y10" s="116">
        <f>round(X10/Y26*7,0)</f>
        <v>3</v>
      </c>
      <c r="Z10" s="116">
        <f t="shared" ref="Z10:AA10" si="20">sum(Z6:Z9)</f>
        <v>415</v>
      </c>
      <c r="AA10" s="95">
        <f t="shared" si="20"/>
        <v>373</v>
      </c>
      <c r="AB10" s="118">
        <f>Z10/AA10</f>
        <v>1.112600536</v>
      </c>
      <c r="AD10" s="99"/>
      <c r="AR10" s="36"/>
      <c r="AS10" s="36"/>
      <c r="AT10" s="36"/>
      <c r="AU10" s="36"/>
      <c r="AV10" s="36"/>
      <c r="AW10" s="36"/>
      <c r="AX10" s="36"/>
      <c r="AY10" s="36"/>
      <c r="AZ10" s="36"/>
    </row>
    <row r="11">
      <c r="A11" s="62" t="s">
        <v>52</v>
      </c>
      <c r="B11" s="84">
        <v>10.0</v>
      </c>
      <c r="C11" s="84"/>
      <c r="D11" s="70">
        <f t="shared" ref="D11:D14" si="21">SUM(B11:C11)</f>
        <v>10</v>
      </c>
      <c r="E11" s="72">
        <v>16.0</v>
      </c>
      <c r="F11" s="76">
        <f t="shared" si="2"/>
        <v>0.625</v>
      </c>
      <c r="G11" s="48">
        <v>31.0</v>
      </c>
      <c r="H11" s="48"/>
      <c r="I11" s="48"/>
      <c r="J11" s="70">
        <f t="shared" ref="J11:J14" si="22">SUM(G11:I11)</f>
        <v>31</v>
      </c>
      <c r="K11" s="72">
        <v>21.0</v>
      </c>
      <c r="L11" s="76">
        <f t="shared" si="4"/>
        <v>1.476190476</v>
      </c>
      <c r="M11" s="48">
        <v>32.0</v>
      </c>
      <c r="N11" s="48"/>
      <c r="O11" s="48"/>
      <c r="P11" s="70">
        <f t="shared" ref="P11:P14" si="23">SUM(M11:O11)</f>
        <v>32</v>
      </c>
      <c r="Q11" s="72">
        <v>36.0</v>
      </c>
      <c r="R11" s="76">
        <f t="shared" si="6"/>
        <v>0.8888888889</v>
      </c>
      <c r="S11" s="83"/>
      <c r="T11" s="84">
        <f t="shared" ref="T11:T14" si="24">M11+G11+B11+N11+H11</f>
        <v>73</v>
      </c>
      <c r="U11" s="84">
        <f t="shared" ref="U11:U14" si="25">O11+I11+C11</f>
        <v>0</v>
      </c>
      <c r="V11" s="70">
        <f t="shared" ref="V11:V14" si="26">sum(S11:U11)</f>
        <v>73</v>
      </c>
      <c r="W11" s="86">
        <f t="shared" ref="W11:W14" si="27">E11+K11+Q11</f>
        <v>73</v>
      </c>
      <c r="X11" s="88">
        <f t="shared" ref="X11:X14" si="28">W11-V11</f>
        <v>0</v>
      </c>
      <c r="Y11" s="46">
        <f t="shared" ref="Y11:Y14" si="29">round(X11/$Y$26*7,0)</f>
        <v>0</v>
      </c>
      <c r="Z11" s="46">
        <f t="shared" ref="Z11:Z14" si="30">U11+T11</f>
        <v>73</v>
      </c>
      <c r="AA11" s="84">
        <f t="shared" ref="AA11:AA14" si="31">W11</f>
        <v>73</v>
      </c>
      <c r="AB11" s="96">
        <f t="shared" ref="AB11:AB14" si="32">(T11+U11)/W11</f>
        <v>1</v>
      </c>
      <c r="AC11" s="98">
        <v>46204.0</v>
      </c>
      <c r="AD11" s="99" t="s">
        <v>56</v>
      </c>
      <c r="AR11" s="36"/>
      <c r="AS11" s="36"/>
      <c r="AT11" s="36"/>
      <c r="AU11" s="36"/>
      <c r="AV11" s="36"/>
      <c r="AW11" s="36"/>
      <c r="AX11" s="36"/>
      <c r="AY11" s="36"/>
      <c r="AZ11" s="36"/>
    </row>
    <row r="12">
      <c r="A12" s="62" t="s">
        <v>51</v>
      </c>
      <c r="B12" s="84">
        <v>27.0</v>
      </c>
      <c r="C12" s="84">
        <v>1.0</v>
      </c>
      <c r="D12" s="70">
        <f t="shared" si="21"/>
        <v>28</v>
      </c>
      <c r="E12" s="72">
        <v>17.0</v>
      </c>
      <c r="F12" s="76">
        <f t="shared" si="2"/>
        <v>1.647058824</v>
      </c>
      <c r="G12" s="48">
        <v>25.0</v>
      </c>
      <c r="H12" s="48"/>
      <c r="I12" s="48">
        <v>1.0</v>
      </c>
      <c r="J12" s="70">
        <f t="shared" si="22"/>
        <v>26</v>
      </c>
      <c r="K12" s="72">
        <v>24.0</v>
      </c>
      <c r="L12" s="76">
        <f t="shared" si="4"/>
        <v>1.083333333</v>
      </c>
      <c r="M12" s="48">
        <v>28.0</v>
      </c>
      <c r="N12" s="48"/>
      <c r="O12" s="48">
        <v>5.0</v>
      </c>
      <c r="P12" s="70">
        <f t="shared" si="23"/>
        <v>33</v>
      </c>
      <c r="Q12" s="72">
        <v>42.0</v>
      </c>
      <c r="R12" s="76">
        <f t="shared" si="6"/>
        <v>0.7857142857</v>
      </c>
      <c r="S12" s="83"/>
      <c r="T12" s="84">
        <f t="shared" si="24"/>
        <v>80</v>
      </c>
      <c r="U12" s="84">
        <f t="shared" si="25"/>
        <v>7</v>
      </c>
      <c r="V12" s="70">
        <f t="shared" si="26"/>
        <v>87</v>
      </c>
      <c r="W12" s="86">
        <f t="shared" si="27"/>
        <v>83</v>
      </c>
      <c r="X12" s="88">
        <f t="shared" si="28"/>
        <v>-4</v>
      </c>
      <c r="Y12" s="46">
        <f t="shared" si="29"/>
        <v>0</v>
      </c>
      <c r="Z12" s="46">
        <f t="shared" si="30"/>
        <v>87</v>
      </c>
      <c r="AA12" s="84">
        <f t="shared" si="31"/>
        <v>83</v>
      </c>
      <c r="AB12" s="96">
        <f t="shared" si="32"/>
        <v>1.048192771</v>
      </c>
      <c r="AC12" s="98">
        <v>46204.0</v>
      </c>
      <c r="AD12" s="99" t="s">
        <v>56</v>
      </c>
      <c r="AE12" s="37"/>
      <c r="AR12" s="36"/>
      <c r="AS12" s="36"/>
      <c r="AT12" s="36"/>
      <c r="AU12" s="36"/>
      <c r="AV12" s="36"/>
      <c r="AW12" s="36"/>
      <c r="AX12" s="36"/>
      <c r="AY12" s="36"/>
      <c r="AZ12" s="36"/>
    </row>
    <row r="13">
      <c r="A13" s="62" t="s">
        <v>47</v>
      </c>
      <c r="B13" s="84">
        <v>18.0</v>
      </c>
      <c r="C13" s="84"/>
      <c r="D13" s="70">
        <f t="shared" si="21"/>
        <v>18</v>
      </c>
      <c r="E13" s="72">
        <v>18.0</v>
      </c>
      <c r="F13" s="76">
        <f t="shared" si="2"/>
        <v>1</v>
      </c>
      <c r="G13" s="48">
        <v>26.0</v>
      </c>
      <c r="H13" s="48"/>
      <c r="I13" s="48"/>
      <c r="J13" s="70">
        <f t="shared" si="22"/>
        <v>26</v>
      </c>
      <c r="K13" s="72">
        <v>23.0</v>
      </c>
      <c r="L13" s="76">
        <f t="shared" si="4"/>
        <v>1.130434783</v>
      </c>
      <c r="M13" s="48">
        <v>39.0</v>
      </c>
      <c r="N13" s="48"/>
      <c r="O13" s="48"/>
      <c r="P13" s="70">
        <f t="shared" si="23"/>
        <v>39</v>
      </c>
      <c r="Q13" s="72">
        <v>40.0</v>
      </c>
      <c r="R13" s="76">
        <f t="shared" si="6"/>
        <v>0.975</v>
      </c>
      <c r="S13" s="83"/>
      <c r="T13" s="84">
        <f t="shared" si="24"/>
        <v>83</v>
      </c>
      <c r="U13" s="84">
        <f t="shared" si="25"/>
        <v>0</v>
      </c>
      <c r="V13" s="70">
        <f t="shared" si="26"/>
        <v>83</v>
      </c>
      <c r="W13" s="86">
        <f t="shared" si="27"/>
        <v>81</v>
      </c>
      <c r="X13" s="88">
        <f t="shared" si="28"/>
        <v>-2</v>
      </c>
      <c r="Y13" s="46">
        <f t="shared" si="29"/>
        <v>0</v>
      </c>
      <c r="Z13" s="46">
        <f t="shared" si="30"/>
        <v>83</v>
      </c>
      <c r="AA13" s="84">
        <f t="shared" si="31"/>
        <v>81</v>
      </c>
      <c r="AB13" s="96">
        <f t="shared" si="32"/>
        <v>1.024691358</v>
      </c>
      <c r="AC13" s="98">
        <v>46204.0</v>
      </c>
      <c r="AD13" s="99" t="s">
        <v>56</v>
      </c>
      <c r="AR13" s="36"/>
      <c r="AS13" s="36"/>
      <c r="AT13" s="36"/>
      <c r="AU13" s="36"/>
      <c r="AV13" s="36"/>
      <c r="AW13" s="36"/>
      <c r="AX13" s="36"/>
      <c r="AY13" s="36"/>
      <c r="AZ13" s="36"/>
    </row>
    <row r="14">
      <c r="A14" s="62" t="s">
        <v>53</v>
      </c>
      <c r="B14" s="84">
        <v>30.0</v>
      </c>
      <c r="C14" s="84"/>
      <c r="D14" s="70">
        <f t="shared" si="21"/>
        <v>30</v>
      </c>
      <c r="E14" s="72">
        <v>30.0</v>
      </c>
      <c r="F14" s="76">
        <f t="shared" si="2"/>
        <v>1</v>
      </c>
      <c r="G14" s="48">
        <v>40.0</v>
      </c>
      <c r="H14" s="48"/>
      <c r="I14" s="48"/>
      <c r="J14" s="70">
        <f t="shared" si="22"/>
        <v>40</v>
      </c>
      <c r="K14" s="72">
        <v>39.0</v>
      </c>
      <c r="L14" s="76">
        <f t="shared" si="4"/>
        <v>1.025641026</v>
      </c>
      <c r="M14" s="48">
        <v>62.0</v>
      </c>
      <c r="N14" s="48"/>
      <c r="O14" s="48"/>
      <c r="P14" s="70">
        <f t="shared" si="23"/>
        <v>62</v>
      </c>
      <c r="Q14" s="72">
        <v>66.0</v>
      </c>
      <c r="R14" s="76">
        <f t="shared" si="6"/>
        <v>0.9393939394</v>
      </c>
      <c r="S14" s="83"/>
      <c r="T14" s="84">
        <f t="shared" si="24"/>
        <v>132</v>
      </c>
      <c r="U14" s="84">
        <f t="shared" si="25"/>
        <v>0</v>
      </c>
      <c r="V14" s="70">
        <f t="shared" si="26"/>
        <v>132</v>
      </c>
      <c r="W14" s="86">
        <f t="shared" si="27"/>
        <v>135</v>
      </c>
      <c r="X14" s="88">
        <f t="shared" si="28"/>
        <v>3</v>
      </c>
      <c r="Y14" s="46">
        <f t="shared" si="29"/>
        <v>0</v>
      </c>
      <c r="Z14" s="46">
        <f t="shared" si="30"/>
        <v>132</v>
      </c>
      <c r="AA14" s="84">
        <f t="shared" si="31"/>
        <v>135</v>
      </c>
      <c r="AB14" s="96">
        <f t="shared" si="32"/>
        <v>0.9777777778</v>
      </c>
      <c r="AC14" s="98">
        <v>46204.0</v>
      </c>
      <c r="AD14" s="99" t="s">
        <v>56</v>
      </c>
      <c r="AR14" s="36"/>
      <c r="AS14" s="36"/>
      <c r="AT14" s="36"/>
      <c r="AU14" s="36"/>
      <c r="AV14" s="36"/>
      <c r="AW14" s="36"/>
      <c r="AX14" s="36"/>
      <c r="AY14" s="36"/>
      <c r="AZ14" s="36"/>
    </row>
    <row r="15">
      <c r="A15" s="112" t="s">
        <v>54</v>
      </c>
      <c r="B15" s="95">
        <f t="shared" ref="B15:E15" si="33">sum(B11:B14)</f>
        <v>85</v>
      </c>
      <c r="C15" s="95">
        <f t="shared" si="33"/>
        <v>1</v>
      </c>
      <c r="D15" s="95">
        <f t="shared" si="33"/>
        <v>86</v>
      </c>
      <c r="E15" s="95">
        <f t="shared" si="33"/>
        <v>81</v>
      </c>
      <c r="F15" s="114">
        <f t="shared" si="2"/>
        <v>1.061728395</v>
      </c>
      <c r="G15" s="95">
        <f t="shared" ref="G15:K15" si="34">sum(G11:G14)</f>
        <v>122</v>
      </c>
      <c r="H15" s="95">
        <f t="shared" si="34"/>
        <v>0</v>
      </c>
      <c r="I15" s="95">
        <f t="shared" si="34"/>
        <v>1</v>
      </c>
      <c r="J15" s="95">
        <f t="shared" si="34"/>
        <v>123</v>
      </c>
      <c r="K15" s="95">
        <f t="shared" si="34"/>
        <v>107</v>
      </c>
      <c r="L15" s="114">
        <f t="shared" si="4"/>
        <v>1.14953271</v>
      </c>
      <c r="M15" s="95">
        <f t="shared" ref="M15:Q15" si="35">sum(M11:M14)</f>
        <v>161</v>
      </c>
      <c r="N15" s="95">
        <f t="shared" si="35"/>
        <v>0</v>
      </c>
      <c r="O15" s="95">
        <f t="shared" si="35"/>
        <v>5</v>
      </c>
      <c r="P15" s="95">
        <f t="shared" si="35"/>
        <v>166</v>
      </c>
      <c r="Q15" s="95">
        <f t="shared" si="35"/>
        <v>184</v>
      </c>
      <c r="R15" s="114">
        <f t="shared" si="6"/>
        <v>0.902173913</v>
      </c>
      <c r="S15" s="95">
        <f t="shared" ref="S15:X15" si="36">sum(S11:S14)</f>
        <v>0</v>
      </c>
      <c r="T15" s="95">
        <f t="shared" si="36"/>
        <v>368</v>
      </c>
      <c r="U15" s="95">
        <f t="shared" si="36"/>
        <v>7</v>
      </c>
      <c r="V15" s="95">
        <f t="shared" si="36"/>
        <v>375</v>
      </c>
      <c r="W15" s="115">
        <f t="shared" si="36"/>
        <v>372</v>
      </c>
      <c r="X15" s="116">
        <f t="shared" si="36"/>
        <v>-3</v>
      </c>
      <c r="Y15" s="116">
        <f>round(X15/Y26*7,0)</f>
        <v>0</v>
      </c>
      <c r="Z15" s="116">
        <f t="shared" ref="Z15:AA15" si="37">sum(Z11:Z14)</f>
        <v>375</v>
      </c>
      <c r="AA15" s="95">
        <f t="shared" si="37"/>
        <v>372</v>
      </c>
      <c r="AB15" s="118">
        <f>Z15/AA15</f>
        <v>1.008064516</v>
      </c>
      <c r="AD15" s="99"/>
      <c r="AR15" s="36"/>
      <c r="AS15" s="36"/>
      <c r="AT15" s="36"/>
      <c r="AU15" s="36"/>
      <c r="AV15" s="36"/>
      <c r="AW15" s="36"/>
      <c r="AX15" s="36"/>
      <c r="AY15" s="36"/>
      <c r="AZ15" s="36"/>
    </row>
    <row r="16">
      <c r="A16" s="62" t="s">
        <v>55</v>
      </c>
      <c r="B16" s="84">
        <v>18.0</v>
      </c>
      <c r="C16" s="84">
        <v>4.0</v>
      </c>
      <c r="D16" s="70">
        <f t="shared" ref="D16:D18" si="38">SUM(B16:C16)</f>
        <v>22</v>
      </c>
      <c r="E16" s="72">
        <v>22.0</v>
      </c>
      <c r="F16" s="76">
        <f t="shared" si="2"/>
        <v>1</v>
      </c>
      <c r="G16" s="48">
        <v>21.0</v>
      </c>
      <c r="H16" s="48"/>
      <c r="I16" s="48">
        <v>6.0</v>
      </c>
      <c r="J16" s="70">
        <f t="shared" ref="J16:J18" si="39">SUM(G16:I16)</f>
        <v>27</v>
      </c>
      <c r="K16" s="72">
        <v>26.0</v>
      </c>
      <c r="L16" s="76">
        <f t="shared" si="4"/>
        <v>1.038461538</v>
      </c>
      <c r="M16" s="74">
        <v>23.0</v>
      </c>
      <c r="N16" s="74">
        <v>4.0</v>
      </c>
      <c r="O16" s="81">
        <v>3.0</v>
      </c>
      <c r="P16" s="70">
        <f t="shared" ref="P16:P18" si="40">SUM(M16:O16)</f>
        <v>30</v>
      </c>
      <c r="Q16" s="72">
        <v>44.0</v>
      </c>
      <c r="R16" s="76">
        <f t="shared" si="6"/>
        <v>0.6818181818</v>
      </c>
      <c r="S16" s="83"/>
      <c r="T16" s="84">
        <f t="shared" ref="T16:T18" si="41">M16+G16+B16+N16+H16</f>
        <v>66</v>
      </c>
      <c r="U16" s="84">
        <f t="shared" ref="U16:U18" si="42">O16+I16+C16</f>
        <v>13</v>
      </c>
      <c r="V16" s="70">
        <f t="shared" ref="V16:V18" si="43">sum(S16:U16)</f>
        <v>79</v>
      </c>
      <c r="W16" s="86">
        <f t="shared" ref="W16:W18" si="44">E16+K16+Q16</f>
        <v>92</v>
      </c>
      <c r="X16" s="88">
        <f t="shared" ref="X16:X18" si="45">W16-V16</f>
        <v>13</v>
      </c>
      <c r="Y16" s="46">
        <f t="shared" ref="Y16:Y18" si="46">round(X16/$Y$26*7,0)</f>
        <v>-1</v>
      </c>
      <c r="Z16" s="46">
        <f t="shared" ref="Z16:Z18" si="47">U16+T16</f>
        <v>79</v>
      </c>
      <c r="AA16" s="84">
        <f t="shared" ref="AA16:AA18" si="48">W16</f>
        <v>92</v>
      </c>
      <c r="AB16" s="96">
        <f t="shared" ref="AB16:AB18" si="49">(T16+U16)/W16</f>
        <v>0.8586956522</v>
      </c>
      <c r="AC16" s="98">
        <v>46203.0</v>
      </c>
      <c r="AD16" s="99" t="s">
        <v>42</v>
      </c>
      <c r="AR16" s="36"/>
      <c r="AS16" s="36"/>
      <c r="AT16" s="36"/>
      <c r="AU16" s="36"/>
      <c r="AV16" s="36"/>
      <c r="AW16" s="36"/>
      <c r="AX16" s="36"/>
      <c r="AY16" s="36"/>
      <c r="AZ16" s="36"/>
    </row>
    <row r="17">
      <c r="A17" s="62" t="s">
        <v>57</v>
      </c>
      <c r="B17" s="84">
        <v>19.0</v>
      </c>
      <c r="C17" s="84">
        <v>6.0</v>
      </c>
      <c r="D17" s="70">
        <f t="shared" si="38"/>
        <v>25</v>
      </c>
      <c r="E17" s="72">
        <v>21.0</v>
      </c>
      <c r="F17" s="76">
        <f t="shared" si="2"/>
        <v>1.19047619</v>
      </c>
      <c r="G17" s="48">
        <v>37.0</v>
      </c>
      <c r="H17" s="48">
        <v>1.0</v>
      </c>
      <c r="I17" s="48">
        <v>0.0</v>
      </c>
      <c r="J17" s="70">
        <f t="shared" si="39"/>
        <v>38</v>
      </c>
      <c r="K17" s="72">
        <v>27.0</v>
      </c>
      <c r="L17" s="76">
        <f t="shared" si="4"/>
        <v>1.407407407</v>
      </c>
      <c r="M17" s="81">
        <v>31.0</v>
      </c>
      <c r="N17" s="81">
        <v>1.0</v>
      </c>
      <c r="O17" s="81">
        <v>2.0</v>
      </c>
      <c r="P17" s="70">
        <f t="shared" si="40"/>
        <v>34</v>
      </c>
      <c r="Q17" s="72">
        <v>49.0</v>
      </c>
      <c r="R17" s="76">
        <f t="shared" si="6"/>
        <v>0.693877551</v>
      </c>
      <c r="S17" s="83"/>
      <c r="T17" s="84">
        <f t="shared" si="41"/>
        <v>89</v>
      </c>
      <c r="U17" s="84">
        <f t="shared" si="42"/>
        <v>8</v>
      </c>
      <c r="V17" s="70">
        <f t="shared" si="43"/>
        <v>97</v>
      </c>
      <c r="W17" s="86">
        <f t="shared" si="44"/>
        <v>97</v>
      </c>
      <c r="X17" s="88">
        <f t="shared" si="45"/>
        <v>0</v>
      </c>
      <c r="Y17" s="46">
        <f t="shared" si="46"/>
        <v>0</v>
      </c>
      <c r="Z17" s="46">
        <f t="shared" si="47"/>
        <v>97</v>
      </c>
      <c r="AA17" s="84">
        <f t="shared" si="48"/>
        <v>97</v>
      </c>
      <c r="AB17" s="96">
        <f t="shared" si="49"/>
        <v>1</v>
      </c>
      <c r="AC17" s="98">
        <v>46203.0</v>
      </c>
      <c r="AD17" s="99" t="s">
        <v>42</v>
      </c>
      <c r="AR17" s="36"/>
      <c r="AS17" s="36"/>
      <c r="AT17" s="36"/>
      <c r="AU17" s="36"/>
      <c r="AV17" s="36"/>
      <c r="AW17" s="36"/>
      <c r="AX17" s="36"/>
      <c r="AY17" s="36"/>
      <c r="AZ17" s="36"/>
    </row>
    <row r="18">
      <c r="A18" s="62" t="s">
        <v>58</v>
      </c>
      <c r="B18" s="84">
        <v>6.0</v>
      </c>
      <c r="C18" s="84"/>
      <c r="D18" s="70">
        <f t="shared" si="38"/>
        <v>6</v>
      </c>
      <c r="E18" s="72">
        <v>6.0</v>
      </c>
      <c r="F18" s="76">
        <f t="shared" si="2"/>
        <v>1</v>
      </c>
      <c r="G18" s="48">
        <v>7.0</v>
      </c>
      <c r="H18" s="48"/>
      <c r="I18" s="48"/>
      <c r="J18" s="70">
        <f t="shared" si="39"/>
        <v>7</v>
      </c>
      <c r="K18" s="72">
        <v>9.0</v>
      </c>
      <c r="L18" s="76">
        <f t="shared" si="4"/>
        <v>0.7777777778</v>
      </c>
      <c r="M18" s="74">
        <v>15.0</v>
      </c>
      <c r="N18" s="81">
        <v>2.0</v>
      </c>
      <c r="O18" s="104"/>
      <c r="P18" s="70">
        <f t="shared" si="40"/>
        <v>17</v>
      </c>
      <c r="Q18" s="72">
        <v>13.0</v>
      </c>
      <c r="R18" s="76">
        <f t="shared" si="6"/>
        <v>1.307692308</v>
      </c>
      <c r="S18" s="83"/>
      <c r="T18" s="84">
        <f t="shared" si="41"/>
        <v>30</v>
      </c>
      <c r="U18" s="84">
        <f t="shared" si="42"/>
        <v>0</v>
      </c>
      <c r="V18" s="70">
        <f t="shared" si="43"/>
        <v>30</v>
      </c>
      <c r="W18" s="86">
        <f t="shared" si="44"/>
        <v>28</v>
      </c>
      <c r="X18" s="88">
        <f t="shared" si="45"/>
        <v>-2</v>
      </c>
      <c r="Y18" s="46">
        <f t="shared" si="46"/>
        <v>0</v>
      </c>
      <c r="Z18" s="46">
        <f t="shared" si="47"/>
        <v>30</v>
      </c>
      <c r="AA18" s="84">
        <f t="shared" si="48"/>
        <v>28</v>
      </c>
      <c r="AB18" s="96">
        <f t="shared" si="49"/>
        <v>1.071428571</v>
      </c>
      <c r="AC18" s="98">
        <v>46203.0</v>
      </c>
      <c r="AD18" s="99" t="s">
        <v>42</v>
      </c>
      <c r="AR18" s="36"/>
      <c r="AS18" s="36"/>
      <c r="AT18" s="36"/>
      <c r="AU18" s="36"/>
      <c r="AV18" s="36"/>
      <c r="AW18" s="36"/>
      <c r="AX18" s="36"/>
      <c r="AY18" s="36"/>
      <c r="AZ18" s="36"/>
    </row>
    <row r="19">
      <c r="A19" s="112" t="s">
        <v>59</v>
      </c>
      <c r="B19" s="95">
        <f t="shared" ref="B19:E19" si="50">sum(B16:B18)</f>
        <v>43</v>
      </c>
      <c r="C19" s="95">
        <f t="shared" si="50"/>
        <v>10</v>
      </c>
      <c r="D19" s="95">
        <f t="shared" si="50"/>
        <v>53</v>
      </c>
      <c r="E19" s="95">
        <f t="shared" si="50"/>
        <v>49</v>
      </c>
      <c r="F19" s="114">
        <f t="shared" si="2"/>
        <v>1.081632653</v>
      </c>
      <c r="G19" s="95">
        <f t="shared" ref="G19:K19" si="51">sum(G16:G18)</f>
        <v>65</v>
      </c>
      <c r="H19" s="95">
        <f t="shared" si="51"/>
        <v>1</v>
      </c>
      <c r="I19" s="95">
        <f t="shared" si="51"/>
        <v>6</v>
      </c>
      <c r="J19" s="95">
        <f t="shared" si="51"/>
        <v>72</v>
      </c>
      <c r="K19" s="95">
        <f t="shared" si="51"/>
        <v>62</v>
      </c>
      <c r="L19" s="114">
        <f t="shared" si="4"/>
        <v>1.161290323</v>
      </c>
      <c r="M19" s="95">
        <f t="shared" ref="M19:Q19" si="52">sum(M16:M18)</f>
        <v>69</v>
      </c>
      <c r="N19" s="95">
        <f t="shared" si="52"/>
        <v>7</v>
      </c>
      <c r="O19" s="95">
        <f t="shared" si="52"/>
        <v>5</v>
      </c>
      <c r="P19" s="95">
        <f t="shared" si="52"/>
        <v>81</v>
      </c>
      <c r="Q19" s="95">
        <f t="shared" si="52"/>
        <v>106</v>
      </c>
      <c r="R19" s="114">
        <f t="shared" si="6"/>
        <v>0.7641509434</v>
      </c>
      <c r="S19" s="95">
        <f t="shared" ref="S19:X19" si="53">sum(S16:S18)</f>
        <v>0</v>
      </c>
      <c r="T19" s="95">
        <f t="shared" si="53"/>
        <v>185</v>
      </c>
      <c r="U19" s="95">
        <f t="shared" si="53"/>
        <v>21</v>
      </c>
      <c r="V19" s="95">
        <f t="shared" si="53"/>
        <v>206</v>
      </c>
      <c r="W19" s="115">
        <f t="shared" si="53"/>
        <v>217</v>
      </c>
      <c r="X19" s="116">
        <f t="shared" si="53"/>
        <v>11</v>
      </c>
      <c r="Y19" s="116">
        <f>round(X19/Y26*7,0)</f>
        <v>-1</v>
      </c>
      <c r="Z19" s="116">
        <f t="shared" ref="Z19:AA19" si="54">sum(Z16:Z18)</f>
        <v>206</v>
      </c>
      <c r="AA19" s="95">
        <f t="shared" si="54"/>
        <v>217</v>
      </c>
      <c r="AB19" s="118">
        <f>Z19/AA19</f>
        <v>0.9493087558</v>
      </c>
      <c r="AC19" s="119"/>
      <c r="AD19" s="99"/>
      <c r="AR19" s="36"/>
      <c r="AS19" s="36"/>
      <c r="AT19" s="36"/>
      <c r="AU19" s="36"/>
      <c r="AV19" s="36"/>
      <c r="AW19" s="36"/>
      <c r="AX19" s="36"/>
      <c r="AY19" s="36"/>
      <c r="AZ19" s="36"/>
    </row>
    <row r="20">
      <c r="A20" s="112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37"/>
      <c r="X20" s="121"/>
      <c r="Y20" s="138"/>
      <c r="Z20" s="138"/>
      <c r="AA20" s="139"/>
      <c r="AB20" s="140"/>
      <c r="AD20" s="36"/>
      <c r="AR20" s="36"/>
      <c r="AS20" s="36"/>
      <c r="AT20" s="36"/>
      <c r="AU20" s="36"/>
      <c r="AV20" s="36"/>
      <c r="AW20" s="36"/>
      <c r="AX20" s="36"/>
      <c r="AY20" s="36"/>
      <c r="AZ20" s="36"/>
    </row>
    <row r="21">
      <c r="A21" s="14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37"/>
      <c r="X21" s="121"/>
      <c r="Y21" s="138"/>
      <c r="Z21" s="138"/>
      <c r="AA21" s="139"/>
      <c r="AB21" s="140"/>
      <c r="AD21" s="36"/>
      <c r="AR21" s="36"/>
      <c r="AS21" s="36"/>
      <c r="AT21" s="36"/>
      <c r="AU21" s="36"/>
      <c r="AV21" s="36"/>
      <c r="AW21" s="36"/>
      <c r="AX21" s="36"/>
      <c r="AY21" s="36"/>
      <c r="AZ21" s="36"/>
    </row>
    <row r="22">
      <c r="A22" s="143" t="s">
        <v>13</v>
      </c>
      <c r="B22" s="144">
        <f t="shared" ref="B22:E22" si="55">B19+B15+B10</f>
        <v>242</v>
      </c>
      <c r="C22" s="144">
        <f t="shared" si="55"/>
        <v>20</v>
      </c>
      <c r="D22" s="144">
        <f t="shared" si="55"/>
        <v>262</v>
      </c>
      <c r="E22" s="144">
        <f t="shared" si="55"/>
        <v>212</v>
      </c>
      <c r="F22" s="146">
        <f>D22/E22</f>
        <v>1.235849057</v>
      </c>
      <c r="G22" s="144">
        <f t="shared" ref="G22:K22" si="56">G19+G15+G10</f>
        <v>324</v>
      </c>
      <c r="H22" s="144">
        <f t="shared" si="56"/>
        <v>1</v>
      </c>
      <c r="I22" s="144">
        <f t="shared" si="56"/>
        <v>16</v>
      </c>
      <c r="J22" s="144">
        <f t="shared" si="56"/>
        <v>341</v>
      </c>
      <c r="K22" s="144">
        <f t="shared" si="56"/>
        <v>276</v>
      </c>
      <c r="L22" s="146">
        <f>J22/K22</f>
        <v>1.235507246</v>
      </c>
      <c r="M22" s="144">
        <f t="shared" ref="M22:Q22" si="57">M19+M15+M10</f>
        <v>365</v>
      </c>
      <c r="N22" s="144">
        <f t="shared" si="57"/>
        <v>10</v>
      </c>
      <c r="O22" s="144">
        <f t="shared" si="57"/>
        <v>18</v>
      </c>
      <c r="P22" s="144">
        <f t="shared" si="57"/>
        <v>393</v>
      </c>
      <c r="Q22" s="144">
        <f t="shared" si="57"/>
        <v>474</v>
      </c>
      <c r="R22" s="146">
        <f>P22/Q22</f>
        <v>0.8291139241</v>
      </c>
      <c r="S22" s="144">
        <f t="shared" ref="S22:X22" si="58">S19+S15+S10</f>
        <v>0</v>
      </c>
      <c r="T22" s="144">
        <f t="shared" si="58"/>
        <v>942</v>
      </c>
      <c r="U22" s="144">
        <f t="shared" si="58"/>
        <v>54</v>
      </c>
      <c r="V22" s="144">
        <f t="shared" si="58"/>
        <v>996</v>
      </c>
      <c r="W22" s="150">
        <f t="shared" si="58"/>
        <v>962</v>
      </c>
      <c r="X22" s="153">
        <f t="shared" si="58"/>
        <v>-34</v>
      </c>
      <c r="Y22" s="155">
        <f>round(X22/Y26*7,0)</f>
        <v>3</v>
      </c>
      <c r="Z22" s="153">
        <f t="shared" ref="Z22:AA22" si="59">Z19+Z15+Z10</f>
        <v>996</v>
      </c>
      <c r="AA22" s="144">
        <f t="shared" si="59"/>
        <v>962</v>
      </c>
      <c r="AB22" s="157">
        <f>(T22+U22)/W22</f>
        <v>1.035343035</v>
      </c>
      <c r="AD22" s="36"/>
      <c r="AR22" s="36"/>
      <c r="AS22" s="36"/>
      <c r="AT22" s="36"/>
      <c r="AU22" s="36"/>
      <c r="AV22" s="36"/>
      <c r="AW22" s="36"/>
      <c r="AX22" s="36"/>
      <c r="AY22" s="36"/>
      <c r="AZ22" s="36"/>
    </row>
    <row r="23">
      <c r="AR23" s="36"/>
      <c r="AS23" s="36"/>
      <c r="AT23" s="36"/>
      <c r="AU23" s="36"/>
      <c r="AV23" s="36"/>
      <c r="AW23" s="36"/>
      <c r="AX23" s="36"/>
      <c r="AY23" s="36"/>
      <c r="AZ23" s="36"/>
    </row>
    <row r="24">
      <c r="Y24" s="1">
        <v>46203.0</v>
      </c>
      <c r="Z24" s="131"/>
      <c r="AA24" s="69">
        <f>AA22-Z22</f>
        <v>-34</v>
      </c>
      <c r="AR24" s="36"/>
      <c r="AS24" s="36"/>
      <c r="AT24" s="36"/>
      <c r="AU24" s="36"/>
      <c r="AV24" s="36"/>
      <c r="AW24" s="36"/>
      <c r="AX24" s="36"/>
      <c r="AY24" s="36"/>
      <c r="AZ24" s="36"/>
    </row>
    <row r="25">
      <c r="A25" s="149" t="s">
        <v>63</v>
      </c>
      <c r="B25" s="151"/>
      <c r="C25" s="151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2"/>
      <c r="S25" s="18" t="s">
        <v>2</v>
      </c>
      <c r="T25" s="160" t="s">
        <v>3</v>
      </c>
      <c r="Y25" s="162">
        <f>today()</f>
        <v>46295</v>
      </c>
    </row>
    <row r="26">
      <c r="A26" s="39"/>
      <c r="B26" s="28" t="s">
        <v>67</v>
      </c>
      <c r="C26" s="30"/>
      <c r="D26" s="30"/>
      <c r="E26" s="30"/>
      <c r="F26" s="28" t="s">
        <v>16</v>
      </c>
      <c r="G26" s="30"/>
      <c r="H26" s="30"/>
      <c r="I26" s="30"/>
      <c r="J26" s="28" t="s">
        <v>17</v>
      </c>
      <c r="K26" s="30"/>
      <c r="L26" s="30"/>
      <c r="M26" s="30"/>
      <c r="N26" s="28"/>
      <c r="O26" s="32" t="s">
        <v>13</v>
      </c>
      <c r="P26" s="30"/>
      <c r="Q26" s="30"/>
      <c r="R26" s="42"/>
      <c r="Y26" s="66">
        <f>Y24-Y25</f>
        <v>-92</v>
      </c>
    </row>
    <row r="27">
      <c r="A27" s="39"/>
      <c r="B27" s="49" t="s">
        <v>64</v>
      </c>
      <c r="C27" s="49" t="s">
        <v>65</v>
      </c>
      <c r="D27" s="49" t="s">
        <v>26</v>
      </c>
      <c r="E27" s="49" t="s">
        <v>66</v>
      </c>
      <c r="F27" s="49" t="s">
        <v>64</v>
      </c>
      <c r="G27" s="49" t="s">
        <v>65</v>
      </c>
      <c r="H27" s="49" t="s">
        <v>26</v>
      </c>
      <c r="I27" s="49" t="s">
        <v>66</v>
      </c>
      <c r="J27" s="49" t="s">
        <v>64</v>
      </c>
      <c r="K27" s="49" t="s">
        <v>65</v>
      </c>
      <c r="L27" s="49" t="s">
        <v>26</v>
      </c>
      <c r="M27" s="49" t="s">
        <v>66</v>
      </c>
      <c r="N27" s="49"/>
      <c r="O27" s="49" t="s">
        <v>64</v>
      </c>
      <c r="P27" s="49" t="s">
        <v>65</v>
      </c>
      <c r="Q27" s="49" t="s">
        <v>26</v>
      </c>
      <c r="R27" s="56" t="s">
        <v>66</v>
      </c>
      <c r="W27" s="36"/>
    </row>
    <row r="28">
      <c r="A28" s="156" t="s">
        <v>22</v>
      </c>
      <c r="B28" s="48">
        <v>198.0</v>
      </c>
      <c r="C28" s="48">
        <v>0.0</v>
      </c>
      <c r="D28" s="70">
        <f>SUM(B28:C28)</f>
        <v>198</v>
      </c>
      <c r="E28" s="72">
        <v>100.0</v>
      </c>
      <c r="F28" s="158">
        <v>128.0</v>
      </c>
      <c r="G28" s="48">
        <v>0.0</v>
      </c>
      <c r="H28" s="70">
        <f>SUM(F28:G28)</f>
        <v>128</v>
      </c>
      <c r="I28" s="72">
        <v>100.0</v>
      </c>
      <c r="J28" s="158">
        <v>328.0</v>
      </c>
      <c r="K28" s="158">
        <v>0.0</v>
      </c>
      <c r="L28" s="70">
        <v>0.0</v>
      </c>
      <c r="M28" s="72">
        <v>157.0</v>
      </c>
      <c r="N28" s="83"/>
      <c r="O28" s="84">
        <f t="shared" ref="O28:P28" si="60">J28+F28+B28</f>
        <v>654</v>
      </c>
      <c r="P28" s="84">
        <f t="shared" si="60"/>
        <v>0</v>
      </c>
      <c r="Q28" s="70">
        <f>P28+O28</f>
        <v>654</v>
      </c>
      <c r="R28" s="86">
        <f>M28+I28+E28</f>
        <v>357</v>
      </c>
      <c r="S28" s="119">
        <v>46203.0</v>
      </c>
      <c r="T28" s="37" t="s">
        <v>42</v>
      </c>
      <c r="W28" s="36"/>
      <c r="Z28" s="37" t="s">
        <v>69</v>
      </c>
    </row>
    <row r="29">
      <c r="A29" s="161" t="s">
        <v>44</v>
      </c>
      <c r="B29" s="95">
        <f t="shared" ref="B29:M29" si="61">sum(B28)</f>
        <v>198</v>
      </c>
      <c r="C29" s="95">
        <f t="shared" si="61"/>
        <v>0</v>
      </c>
      <c r="D29" s="95">
        <f t="shared" si="61"/>
        <v>198</v>
      </c>
      <c r="E29" s="95">
        <f t="shared" si="61"/>
        <v>100</v>
      </c>
      <c r="F29" s="95">
        <f t="shared" si="61"/>
        <v>128</v>
      </c>
      <c r="G29" s="95">
        <f t="shared" si="61"/>
        <v>0</v>
      </c>
      <c r="H29" s="95">
        <f t="shared" si="61"/>
        <v>128</v>
      </c>
      <c r="I29" s="95">
        <f t="shared" si="61"/>
        <v>100</v>
      </c>
      <c r="J29" s="95">
        <f t="shared" si="61"/>
        <v>328</v>
      </c>
      <c r="K29" s="95">
        <f t="shared" si="61"/>
        <v>0</v>
      </c>
      <c r="L29" s="95">
        <f t="shared" si="61"/>
        <v>0</v>
      </c>
      <c r="M29" s="95">
        <f t="shared" si="61"/>
        <v>157</v>
      </c>
      <c r="N29" s="83"/>
      <c r="O29" s="95">
        <f t="shared" ref="O29:R29" si="62">sum(O28)</f>
        <v>654</v>
      </c>
      <c r="P29" s="95">
        <f t="shared" si="62"/>
        <v>0</v>
      </c>
      <c r="Q29" s="95">
        <f t="shared" si="62"/>
        <v>654</v>
      </c>
      <c r="R29" s="115">
        <f t="shared" si="62"/>
        <v>357</v>
      </c>
      <c r="V29" s="119"/>
      <c r="W29" s="99"/>
    </row>
    <row r="30">
      <c r="A30" s="156" t="s">
        <v>51</v>
      </c>
      <c r="B30" s="48">
        <v>27.0</v>
      </c>
      <c r="C30" s="84"/>
      <c r="D30" s="70">
        <f>SUM(B30:C30)</f>
        <v>27</v>
      </c>
      <c r="E30" s="72">
        <v>20.0</v>
      </c>
      <c r="F30" s="158">
        <v>8.0</v>
      </c>
      <c r="G30" s="84">
        <v>0.0</v>
      </c>
      <c r="H30" s="70">
        <f>SUM(F30:G30)</f>
        <v>8</v>
      </c>
      <c r="I30" s="72">
        <v>20.0</v>
      </c>
      <c r="J30" s="158">
        <v>45.0</v>
      </c>
      <c r="K30" s="158">
        <v>0.0</v>
      </c>
      <c r="L30" s="70">
        <f>K30+J30</f>
        <v>45</v>
      </c>
      <c r="M30" s="72">
        <v>47.0</v>
      </c>
      <c r="N30" s="83"/>
      <c r="O30" s="84">
        <f>J30+F30+B30</f>
        <v>80</v>
      </c>
      <c r="P30" s="84">
        <f>C30+G30+K30</f>
        <v>0</v>
      </c>
      <c r="Q30" s="70">
        <f>P30+O30</f>
        <v>80</v>
      </c>
      <c r="R30" s="86">
        <f>M30+I30+E30</f>
        <v>87</v>
      </c>
      <c r="S30" s="119">
        <v>46204.0</v>
      </c>
      <c r="T30" s="37" t="s">
        <v>56</v>
      </c>
      <c r="W30" s="36"/>
    </row>
    <row r="31">
      <c r="A31" s="161" t="s">
        <v>54</v>
      </c>
      <c r="B31" s="95">
        <f t="shared" ref="B31:M31" si="63">sum(B30)</f>
        <v>27</v>
      </c>
      <c r="C31" s="95">
        <f t="shared" si="63"/>
        <v>0</v>
      </c>
      <c r="D31" s="95">
        <f t="shared" si="63"/>
        <v>27</v>
      </c>
      <c r="E31" s="95">
        <f t="shared" si="63"/>
        <v>20</v>
      </c>
      <c r="F31" s="95">
        <f t="shared" si="63"/>
        <v>8</v>
      </c>
      <c r="G31" s="95">
        <f t="shared" si="63"/>
        <v>0</v>
      </c>
      <c r="H31" s="95">
        <f t="shared" si="63"/>
        <v>8</v>
      </c>
      <c r="I31" s="95">
        <f t="shared" si="63"/>
        <v>20</v>
      </c>
      <c r="J31" s="95">
        <f t="shared" si="63"/>
        <v>45</v>
      </c>
      <c r="K31" s="95">
        <f t="shared" si="63"/>
        <v>0</v>
      </c>
      <c r="L31" s="95">
        <f t="shared" si="63"/>
        <v>45</v>
      </c>
      <c r="M31" s="95">
        <f t="shared" si="63"/>
        <v>47</v>
      </c>
      <c r="N31" s="83"/>
      <c r="O31" s="95">
        <f t="shared" ref="O31:R31" si="64">sum(O30)</f>
        <v>80</v>
      </c>
      <c r="P31" s="95">
        <f t="shared" si="64"/>
        <v>0</v>
      </c>
      <c r="Q31" s="95">
        <f t="shared" si="64"/>
        <v>80</v>
      </c>
      <c r="R31" s="115">
        <f t="shared" si="64"/>
        <v>87</v>
      </c>
      <c r="V31" s="119"/>
      <c r="W31" s="99"/>
      <c r="X31" s="37"/>
    </row>
    <row r="32">
      <c r="A32" s="156" t="s">
        <v>55</v>
      </c>
      <c r="B32" s="48">
        <v>13.0</v>
      </c>
      <c r="C32" s="84">
        <v>0.0</v>
      </c>
      <c r="D32" s="70">
        <f>SUM(B32:C32)</f>
        <v>13</v>
      </c>
      <c r="E32" s="72">
        <v>27.0</v>
      </c>
      <c r="F32" s="158">
        <v>237.0</v>
      </c>
      <c r="G32" s="84">
        <v>0.0</v>
      </c>
      <c r="H32" s="70">
        <f>SUM(F32:G32)</f>
        <v>237</v>
      </c>
      <c r="I32" s="72">
        <v>45.0</v>
      </c>
      <c r="J32" s="158">
        <v>34.0</v>
      </c>
      <c r="K32" s="158">
        <v>0.0</v>
      </c>
      <c r="L32" s="70">
        <f>K32+J32</f>
        <v>34</v>
      </c>
      <c r="M32" s="72">
        <v>57.0</v>
      </c>
      <c r="N32" s="83"/>
      <c r="O32" s="84">
        <f t="shared" ref="O32:P32" si="65">J32+F32+B32</f>
        <v>284</v>
      </c>
      <c r="P32" s="84">
        <f t="shared" si="65"/>
        <v>0</v>
      </c>
      <c r="Q32" s="70">
        <f>P32+O32</f>
        <v>284</v>
      </c>
      <c r="R32" s="86">
        <f>M32+I32+E32</f>
        <v>129</v>
      </c>
      <c r="S32" s="119">
        <v>46203.0</v>
      </c>
      <c r="T32" s="37" t="s">
        <v>42</v>
      </c>
      <c r="W32" s="36"/>
    </row>
    <row r="33">
      <c r="A33" s="161" t="s">
        <v>59</v>
      </c>
      <c r="B33" s="95">
        <f t="shared" ref="B33:M33" si="66">sum(B32)</f>
        <v>13</v>
      </c>
      <c r="C33" s="95">
        <f t="shared" si="66"/>
        <v>0</v>
      </c>
      <c r="D33" s="95">
        <f t="shared" si="66"/>
        <v>13</v>
      </c>
      <c r="E33" s="95">
        <f t="shared" si="66"/>
        <v>27</v>
      </c>
      <c r="F33" s="95">
        <f t="shared" si="66"/>
        <v>237</v>
      </c>
      <c r="G33" s="95">
        <f t="shared" si="66"/>
        <v>0</v>
      </c>
      <c r="H33" s="95">
        <f t="shared" si="66"/>
        <v>237</v>
      </c>
      <c r="I33" s="95">
        <f t="shared" si="66"/>
        <v>45</v>
      </c>
      <c r="J33" s="95">
        <f t="shared" si="66"/>
        <v>34</v>
      </c>
      <c r="K33" s="95">
        <f t="shared" si="66"/>
        <v>0</v>
      </c>
      <c r="L33" s="95">
        <f t="shared" si="66"/>
        <v>34</v>
      </c>
      <c r="M33" s="95">
        <f t="shared" si="66"/>
        <v>57</v>
      </c>
      <c r="N33" s="83"/>
      <c r="O33" s="95">
        <f t="shared" ref="O33:R33" si="67">sum(O32)</f>
        <v>284</v>
      </c>
      <c r="P33" s="95">
        <f t="shared" si="67"/>
        <v>0</v>
      </c>
      <c r="Q33" s="95">
        <f t="shared" si="67"/>
        <v>284</v>
      </c>
      <c r="R33" s="115">
        <f t="shared" si="67"/>
        <v>129</v>
      </c>
      <c r="W33" s="99"/>
    </row>
    <row r="34">
      <c r="A34" s="161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83"/>
      <c r="O34" s="120"/>
      <c r="P34" s="120"/>
      <c r="Q34" s="120"/>
      <c r="R34" s="137"/>
      <c r="V34" s="119"/>
      <c r="W34" s="99"/>
    </row>
    <row r="35">
      <c r="A35" s="39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37"/>
    </row>
    <row r="36">
      <c r="A36" s="165" t="s">
        <v>13</v>
      </c>
      <c r="B36" s="123">
        <f t="shared" ref="B36:M36" si="68">B33+B31+B29</f>
        <v>238</v>
      </c>
      <c r="C36" s="123">
        <f t="shared" si="68"/>
        <v>0</v>
      </c>
      <c r="D36" s="123">
        <f t="shared" si="68"/>
        <v>238</v>
      </c>
      <c r="E36" s="123">
        <f t="shared" si="68"/>
        <v>147</v>
      </c>
      <c r="F36" s="123">
        <f t="shared" si="68"/>
        <v>373</v>
      </c>
      <c r="G36" s="123">
        <f t="shared" si="68"/>
        <v>0</v>
      </c>
      <c r="H36" s="123">
        <f t="shared" si="68"/>
        <v>373</v>
      </c>
      <c r="I36" s="123">
        <f t="shared" si="68"/>
        <v>165</v>
      </c>
      <c r="J36" s="123">
        <f t="shared" si="68"/>
        <v>407</v>
      </c>
      <c r="K36" s="123">
        <f t="shared" si="68"/>
        <v>0</v>
      </c>
      <c r="L36" s="123">
        <f t="shared" si="68"/>
        <v>79</v>
      </c>
      <c r="M36" s="123">
        <f t="shared" si="68"/>
        <v>261</v>
      </c>
      <c r="N36" s="166"/>
      <c r="O36" s="123">
        <f t="shared" ref="O36:R36" si="69">O33+O31+O29</f>
        <v>1018</v>
      </c>
      <c r="P36" s="123">
        <f t="shared" si="69"/>
        <v>0</v>
      </c>
      <c r="Q36" s="123">
        <f t="shared" si="69"/>
        <v>1018</v>
      </c>
      <c r="R36" s="125">
        <f t="shared" si="69"/>
        <v>573</v>
      </c>
    </row>
    <row r="38">
      <c r="O38" s="18"/>
      <c r="P38" s="160"/>
      <c r="R38" s="167">
        <f>Q36/R36</f>
        <v>1.776614311</v>
      </c>
    </row>
    <row r="40">
      <c r="A40" s="168" t="s">
        <v>71</v>
      </c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70"/>
      <c r="M40" s="18" t="s">
        <v>2</v>
      </c>
      <c r="N40" s="160" t="s">
        <v>3</v>
      </c>
      <c r="P40" s="160"/>
    </row>
    <row r="41">
      <c r="A41" s="22"/>
      <c r="B41" s="171" t="s">
        <v>67</v>
      </c>
      <c r="D41" s="171"/>
      <c r="E41" s="38" t="s">
        <v>16</v>
      </c>
      <c r="H41" s="38" t="s">
        <v>17</v>
      </c>
      <c r="K41" s="38" t="s">
        <v>13</v>
      </c>
      <c r="L41" s="172"/>
      <c r="Q41" s="36"/>
    </row>
    <row r="42">
      <c r="A42" s="22"/>
      <c r="B42" s="49" t="s">
        <v>24</v>
      </c>
      <c r="C42" s="49" t="s">
        <v>27</v>
      </c>
      <c r="D42" s="49"/>
      <c r="E42" s="49" t="s">
        <v>24</v>
      </c>
      <c r="F42" s="49" t="s">
        <v>27</v>
      </c>
      <c r="G42" s="49"/>
      <c r="H42" s="49" t="s">
        <v>24</v>
      </c>
      <c r="I42" s="49" t="s">
        <v>27</v>
      </c>
      <c r="J42" s="49"/>
      <c r="K42" s="49" t="s">
        <v>24</v>
      </c>
      <c r="L42" s="56" t="s">
        <v>27</v>
      </c>
      <c r="Q42" s="36"/>
    </row>
    <row r="43">
      <c r="A43" s="62" t="s">
        <v>36</v>
      </c>
      <c r="B43" s="81">
        <v>68.0</v>
      </c>
      <c r="C43" s="72">
        <v>59.0</v>
      </c>
      <c r="D43" s="76">
        <f t="shared" ref="D43:D56" si="71">B43/C43</f>
        <v>1.152542373</v>
      </c>
      <c r="E43" s="81">
        <v>57.0</v>
      </c>
      <c r="F43" s="72">
        <v>59.0</v>
      </c>
      <c r="G43" s="76">
        <f t="shared" ref="G43:G56" si="72">E43/F43</f>
        <v>0.9661016949</v>
      </c>
      <c r="H43" s="74">
        <v>56.0</v>
      </c>
      <c r="I43" s="72">
        <v>62.0</v>
      </c>
      <c r="J43" s="76">
        <f t="shared" ref="J43:J56" si="73">H43/I43</f>
        <v>0.9032258065</v>
      </c>
      <c r="K43" s="84">
        <f t="shared" ref="K43:L43" si="70">H43+E43+B43</f>
        <v>181</v>
      </c>
      <c r="L43" s="86">
        <f t="shared" si="70"/>
        <v>180</v>
      </c>
      <c r="M43" s="98">
        <v>46203.0</v>
      </c>
      <c r="N43" s="37" t="s">
        <v>42</v>
      </c>
      <c r="Q43" s="99"/>
      <c r="R43" s="98"/>
    </row>
    <row r="44">
      <c r="A44" s="62" t="s">
        <v>40</v>
      </c>
      <c r="B44" s="81">
        <v>59.0</v>
      </c>
      <c r="C44" s="72">
        <v>51.0</v>
      </c>
      <c r="D44" s="76">
        <f t="shared" si="71"/>
        <v>1.156862745</v>
      </c>
      <c r="E44" s="81">
        <v>42.0</v>
      </c>
      <c r="F44" s="72">
        <v>51.0</v>
      </c>
      <c r="G44" s="76">
        <f t="shared" si="72"/>
        <v>0.8235294118</v>
      </c>
      <c r="H44" s="74">
        <v>42.0</v>
      </c>
      <c r="I44" s="72">
        <v>54.0</v>
      </c>
      <c r="J44" s="76">
        <f t="shared" si="73"/>
        <v>0.7777777778</v>
      </c>
      <c r="K44" s="84">
        <f t="shared" ref="K44:L44" si="74">H44+E44+B44</f>
        <v>143</v>
      </c>
      <c r="L44" s="86">
        <f t="shared" si="74"/>
        <v>156</v>
      </c>
      <c r="M44" s="98">
        <v>46203.0</v>
      </c>
      <c r="N44" s="37" t="s">
        <v>42</v>
      </c>
      <c r="Q44" s="99"/>
      <c r="R44" s="98"/>
    </row>
    <row r="45">
      <c r="A45" s="62" t="s">
        <v>41</v>
      </c>
      <c r="B45" s="81">
        <v>49.0</v>
      </c>
      <c r="C45" s="72">
        <v>47.0</v>
      </c>
      <c r="D45" s="76">
        <f t="shared" si="71"/>
        <v>1.042553191</v>
      </c>
      <c r="E45" s="81">
        <v>47.0</v>
      </c>
      <c r="F45" s="72">
        <v>47.0</v>
      </c>
      <c r="G45" s="76">
        <f t="shared" si="72"/>
        <v>1</v>
      </c>
      <c r="H45" s="74">
        <v>44.0</v>
      </c>
      <c r="I45" s="72">
        <v>50.0</v>
      </c>
      <c r="J45" s="76">
        <f t="shared" si="73"/>
        <v>0.88</v>
      </c>
      <c r="K45" s="84">
        <f t="shared" ref="K45:L45" si="75">H45+E45+B45</f>
        <v>140</v>
      </c>
      <c r="L45" s="86">
        <f t="shared" si="75"/>
        <v>144</v>
      </c>
      <c r="M45" s="98">
        <v>46203.0</v>
      </c>
      <c r="N45" s="37" t="s">
        <v>42</v>
      </c>
      <c r="Q45" s="99"/>
      <c r="R45" s="98"/>
    </row>
    <row r="46">
      <c r="A46" s="62" t="s">
        <v>49</v>
      </c>
      <c r="B46" s="105">
        <v>59.0</v>
      </c>
      <c r="C46" s="72">
        <v>56.0</v>
      </c>
      <c r="D46" s="76">
        <f t="shared" si="71"/>
        <v>1.053571429</v>
      </c>
      <c r="E46" s="81">
        <v>52.0</v>
      </c>
      <c r="F46" s="72">
        <v>56.0</v>
      </c>
      <c r="G46" s="76">
        <f t="shared" si="72"/>
        <v>0.9285714286</v>
      </c>
      <c r="H46" s="74">
        <v>49.0</v>
      </c>
      <c r="I46" s="72">
        <v>59.0</v>
      </c>
      <c r="J46" s="76">
        <f t="shared" si="73"/>
        <v>0.8305084746</v>
      </c>
      <c r="K46" s="84">
        <f t="shared" ref="K46:L46" si="76">H46+E46+B46</f>
        <v>160</v>
      </c>
      <c r="L46" s="86">
        <f t="shared" si="76"/>
        <v>171</v>
      </c>
      <c r="M46" s="98">
        <v>46203.0</v>
      </c>
      <c r="N46" s="37" t="s">
        <v>42</v>
      </c>
      <c r="O46" s="177">
        <f>K47/L47</f>
        <v>0.9585253456</v>
      </c>
      <c r="Q46" s="66">
        <f>K47-L47</f>
        <v>-27</v>
      </c>
    </row>
    <row r="47">
      <c r="A47" s="112" t="s">
        <v>44</v>
      </c>
      <c r="B47" s="95">
        <f t="shared" ref="B47:C47" si="77">sum(B43:B46)</f>
        <v>235</v>
      </c>
      <c r="C47" s="95">
        <f t="shared" si="77"/>
        <v>213</v>
      </c>
      <c r="D47" s="76">
        <f t="shared" si="71"/>
        <v>1.103286385</v>
      </c>
      <c r="E47" s="95">
        <f t="shared" ref="E47:F47" si="78">sum(E43:E46)</f>
        <v>198</v>
      </c>
      <c r="F47" s="95">
        <f t="shared" si="78"/>
        <v>213</v>
      </c>
      <c r="G47" s="76">
        <f t="shared" si="72"/>
        <v>0.9295774648</v>
      </c>
      <c r="H47" s="95">
        <f t="shared" ref="H47:I47" si="79">sum(H43:H46)</f>
        <v>191</v>
      </c>
      <c r="I47" s="95">
        <f t="shared" si="79"/>
        <v>225</v>
      </c>
      <c r="J47" s="76">
        <f t="shared" si="73"/>
        <v>0.8488888889</v>
      </c>
      <c r="K47" s="95">
        <f t="shared" ref="K47:L47" si="80">sum(K43:K46)</f>
        <v>624</v>
      </c>
      <c r="L47" s="115">
        <f t="shared" si="80"/>
        <v>651</v>
      </c>
      <c r="O47" s="99"/>
      <c r="P47" s="119"/>
    </row>
    <row r="48">
      <c r="A48" s="62" t="s">
        <v>52</v>
      </c>
      <c r="B48" s="84">
        <v>49.0</v>
      </c>
      <c r="C48" s="72">
        <v>47.0</v>
      </c>
      <c r="D48" s="76">
        <f t="shared" si="71"/>
        <v>1.042553191</v>
      </c>
      <c r="E48" s="48">
        <v>41.0</v>
      </c>
      <c r="F48" s="72">
        <v>47.0</v>
      </c>
      <c r="G48" s="76">
        <f t="shared" si="72"/>
        <v>0.8723404255</v>
      </c>
      <c r="H48" s="48">
        <v>48.0</v>
      </c>
      <c r="I48" s="72">
        <v>50.0</v>
      </c>
      <c r="J48" s="76">
        <f t="shared" si="73"/>
        <v>0.96</v>
      </c>
      <c r="K48" s="84">
        <f t="shared" ref="K48:L48" si="81">H48+E48+B48</f>
        <v>138</v>
      </c>
      <c r="L48" s="86">
        <f t="shared" si="81"/>
        <v>144</v>
      </c>
      <c r="M48" s="119">
        <v>46204.0</v>
      </c>
      <c r="N48" s="37" t="s">
        <v>56</v>
      </c>
      <c r="O48" s="99"/>
      <c r="P48" s="119"/>
    </row>
    <row r="49">
      <c r="A49" s="62" t="s">
        <v>51</v>
      </c>
      <c r="B49" s="84">
        <v>41.0</v>
      </c>
      <c r="C49" s="72">
        <v>42.0</v>
      </c>
      <c r="D49" s="76">
        <f t="shared" si="71"/>
        <v>0.9761904762</v>
      </c>
      <c r="E49" s="48">
        <v>42.0</v>
      </c>
      <c r="F49" s="72">
        <v>42.0</v>
      </c>
      <c r="G49" s="76">
        <f t="shared" si="72"/>
        <v>1</v>
      </c>
      <c r="H49" s="48">
        <v>39.0</v>
      </c>
      <c r="I49" s="72">
        <v>44.0</v>
      </c>
      <c r="J49" s="76">
        <f t="shared" si="73"/>
        <v>0.8863636364</v>
      </c>
      <c r="K49" s="84">
        <f t="shared" ref="K49:L49" si="82">H49+E49+B49</f>
        <v>122</v>
      </c>
      <c r="L49" s="86">
        <f t="shared" si="82"/>
        <v>128</v>
      </c>
      <c r="M49" s="119">
        <v>46204.0</v>
      </c>
      <c r="N49" s="37" t="s">
        <v>56</v>
      </c>
      <c r="O49" s="99"/>
      <c r="P49" s="119"/>
    </row>
    <row r="50">
      <c r="A50" s="62" t="s">
        <v>47</v>
      </c>
      <c r="B50" s="84">
        <v>44.0</v>
      </c>
      <c r="C50" s="72">
        <v>44.0</v>
      </c>
      <c r="D50" s="76">
        <f t="shared" si="71"/>
        <v>1</v>
      </c>
      <c r="E50" s="48">
        <v>44.0</v>
      </c>
      <c r="F50" s="72">
        <v>44.0</v>
      </c>
      <c r="G50" s="76">
        <f t="shared" si="72"/>
        <v>1</v>
      </c>
      <c r="H50" s="48">
        <v>49.0</v>
      </c>
      <c r="I50" s="72">
        <v>46.0</v>
      </c>
      <c r="J50" s="76">
        <f t="shared" si="73"/>
        <v>1.065217391</v>
      </c>
      <c r="K50" s="84">
        <f t="shared" ref="K50:L50" si="83">H50+E50+B50</f>
        <v>137</v>
      </c>
      <c r="L50" s="86">
        <f t="shared" si="83"/>
        <v>134</v>
      </c>
      <c r="M50" s="119">
        <v>46204.0</v>
      </c>
      <c r="N50" s="37" t="s">
        <v>56</v>
      </c>
      <c r="O50" s="99"/>
      <c r="P50" s="119"/>
    </row>
    <row r="51">
      <c r="A51" s="62" t="s">
        <v>53</v>
      </c>
      <c r="B51" s="84">
        <v>94.0</v>
      </c>
      <c r="C51" s="72">
        <v>85.0</v>
      </c>
      <c r="D51" s="76">
        <f t="shared" si="71"/>
        <v>1.105882353</v>
      </c>
      <c r="E51" s="48">
        <v>79.0</v>
      </c>
      <c r="F51" s="72">
        <v>85.0</v>
      </c>
      <c r="G51" s="76">
        <f t="shared" si="72"/>
        <v>0.9294117647</v>
      </c>
      <c r="H51" s="48">
        <v>98.0</v>
      </c>
      <c r="I51" s="72">
        <v>89.0</v>
      </c>
      <c r="J51" s="76">
        <f t="shared" si="73"/>
        <v>1.101123596</v>
      </c>
      <c r="K51" s="84">
        <f t="shared" ref="K51:L51" si="84">H51+E51+B51</f>
        <v>271</v>
      </c>
      <c r="L51" s="86">
        <f t="shared" si="84"/>
        <v>259</v>
      </c>
      <c r="M51" s="119">
        <v>46204.0</v>
      </c>
      <c r="N51" s="37" t="s">
        <v>56</v>
      </c>
      <c r="O51" s="177">
        <f>K52/L52</f>
        <v>1.004511278</v>
      </c>
      <c r="Q51" s="66">
        <f>K52-L52</f>
        <v>3</v>
      </c>
    </row>
    <row r="52">
      <c r="A52" s="112" t="s">
        <v>54</v>
      </c>
      <c r="B52" s="95">
        <f t="shared" ref="B52:C52" si="85">sum(B48:B51)</f>
        <v>228</v>
      </c>
      <c r="C52" s="95">
        <f t="shared" si="85"/>
        <v>218</v>
      </c>
      <c r="D52" s="76">
        <f t="shared" si="71"/>
        <v>1.04587156</v>
      </c>
      <c r="E52" s="95">
        <f t="shared" ref="E52:F52" si="86">sum(E48:E51)</f>
        <v>206</v>
      </c>
      <c r="F52" s="95">
        <f t="shared" si="86"/>
        <v>218</v>
      </c>
      <c r="G52" s="76">
        <f t="shared" si="72"/>
        <v>0.9449541284</v>
      </c>
      <c r="H52" s="95">
        <f t="shared" ref="H52:I52" si="87">sum(H48:H51)</f>
        <v>234</v>
      </c>
      <c r="I52" s="95">
        <f t="shared" si="87"/>
        <v>229</v>
      </c>
      <c r="J52" s="76">
        <f t="shared" si="73"/>
        <v>1.021834061</v>
      </c>
      <c r="K52" s="95">
        <f t="shared" ref="K52:L52" si="88">sum(K48:K51)</f>
        <v>668</v>
      </c>
      <c r="L52" s="115">
        <f t="shared" si="88"/>
        <v>665</v>
      </c>
      <c r="O52" s="99"/>
      <c r="P52" s="119"/>
    </row>
    <row r="53">
      <c r="A53" s="62" t="s">
        <v>55</v>
      </c>
      <c r="B53" s="81">
        <v>40.0</v>
      </c>
      <c r="C53" s="72">
        <v>34.0</v>
      </c>
      <c r="D53" s="76">
        <f t="shared" si="71"/>
        <v>1.176470588</v>
      </c>
      <c r="E53" s="81">
        <v>37.0</v>
      </c>
      <c r="F53" s="72">
        <v>34.0</v>
      </c>
      <c r="G53" s="76">
        <f t="shared" si="72"/>
        <v>1.088235294</v>
      </c>
      <c r="H53" s="74">
        <v>40.0</v>
      </c>
      <c r="I53" s="72">
        <v>36.0</v>
      </c>
      <c r="J53" s="76">
        <f t="shared" si="73"/>
        <v>1.111111111</v>
      </c>
      <c r="K53" s="84">
        <f t="shared" ref="K53:L53" si="89">H53+E53+B53</f>
        <v>117</v>
      </c>
      <c r="L53" s="86">
        <f t="shared" si="89"/>
        <v>104</v>
      </c>
      <c r="M53" s="98">
        <v>46203.0</v>
      </c>
      <c r="N53" s="37" t="s">
        <v>42</v>
      </c>
      <c r="O53" s="99"/>
      <c r="P53" s="119"/>
    </row>
    <row r="54">
      <c r="A54" s="62" t="s">
        <v>57</v>
      </c>
      <c r="B54" s="81">
        <v>32.0</v>
      </c>
      <c r="C54" s="72">
        <v>44.0</v>
      </c>
      <c r="D54" s="76">
        <f t="shared" si="71"/>
        <v>0.7272727273</v>
      </c>
      <c r="E54" s="81">
        <v>52.0</v>
      </c>
      <c r="F54" s="72">
        <v>44.0</v>
      </c>
      <c r="G54" s="76">
        <f t="shared" si="72"/>
        <v>1.181818182</v>
      </c>
      <c r="H54" s="74">
        <v>35.0</v>
      </c>
      <c r="I54" s="72">
        <v>46.0</v>
      </c>
      <c r="J54" s="76">
        <f t="shared" si="73"/>
        <v>0.7608695652</v>
      </c>
      <c r="K54" s="84">
        <f t="shared" ref="K54:L54" si="90">H54+E54+B54</f>
        <v>119</v>
      </c>
      <c r="L54" s="86">
        <f t="shared" si="90"/>
        <v>134</v>
      </c>
      <c r="M54" s="98">
        <v>46203.0</v>
      </c>
      <c r="N54" s="37" t="s">
        <v>42</v>
      </c>
      <c r="O54" s="99"/>
      <c r="P54" s="119"/>
    </row>
    <row r="55">
      <c r="A55" s="62" t="s">
        <v>58</v>
      </c>
      <c r="B55" s="81">
        <v>20.0</v>
      </c>
      <c r="C55" s="72">
        <v>20.0</v>
      </c>
      <c r="D55" s="76">
        <f t="shared" si="71"/>
        <v>1</v>
      </c>
      <c r="E55" s="81">
        <v>20.0</v>
      </c>
      <c r="F55" s="72">
        <v>20.0</v>
      </c>
      <c r="G55" s="76">
        <f t="shared" si="72"/>
        <v>1</v>
      </c>
      <c r="H55" s="74">
        <v>31.0</v>
      </c>
      <c r="I55" s="72">
        <v>21.0</v>
      </c>
      <c r="J55" s="76">
        <f t="shared" si="73"/>
        <v>1.476190476</v>
      </c>
      <c r="K55" s="84">
        <f t="shared" ref="K55:L55" si="91">H55+E55+B55</f>
        <v>71</v>
      </c>
      <c r="L55" s="86">
        <f t="shared" si="91"/>
        <v>61</v>
      </c>
      <c r="M55" s="98">
        <v>46203.0</v>
      </c>
      <c r="N55" s="37" t="s">
        <v>42</v>
      </c>
      <c r="O55" s="177">
        <f>K56/L56</f>
        <v>1.026755853</v>
      </c>
      <c r="Q55" s="66">
        <f>K56-L56</f>
        <v>8</v>
      </c>
    </row>
    <row r="56">
      <c r="A56" s="112" t="s">
        <v>59</v>
      </c>
      <c r="B56" s="95">
        <f t="shared" ref="B56:C56" si="92">sum(B53:B55)</f>
        <v>92</v>
      </c>
      <c r="C56" s="95">
        <f t="shared" si="92"/>
        <v>98</v>
      </c>
      <c r="D56" s="76">
        <f t="shared" si="71"/>
        <v>0.9387755102</v>
      </c>
      <c r="E56" s="95">
        <f t="shared" ref="E56:F56" si="93">sum(E53:E55)</f>
        <v>109</v>
      </c>
      <c r="F56" s="95">
        <f t="shared" si="93"/>
        <v>98</v>
      </c>
      <c r="G56" s="76">
        <f t="shared" si="72"/>
        <v>1.112244898</v>
      </c>
      <c r="H56" s="95">
        <f t="shared" ref="H56:I56" si="94">sum(H53:H55)</f>
        <v>106</v>
      </c>
      <c r="I56" s="95">
        <f t="shared" si="94"/>
        <v>103</v>
      </c>
      <c r="J56" s="76">
        <f t="shared" si="73"/>
        <v>1.029126214</v>
      </c>
      <c r="K56" s="95">
        <f t="shared" ref="K56:L56" si="95">sum(K53:K55)</f>
        <v>307</v>
      </c>
      <c r="L56" s="115">
        <f t="shared" si="95"/>
        <v>299</v>
      </c>
      <c r="O56" s="36"/>
    </row>
    <row r="57">
      <c r="A57" s="112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37"/>
    </row>
    <row r="58">
      <c r="A58" s="141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37"/>
      <c r="O58" s="177">
        <f>K59/L59</f>
        <v>0.9900928793</v>
      </c>
      <c r="Q58" s="69">
        <f>L59-K59</f>
        <v>16</v>
      </c>
      <c r="R58" s="66">
        <f>Q58/1.2</f>
        <v>13.33333333</v>
      </c>
    </row>
    <row r="59">
      <c r="A59" s="143" t="s">
        <v>13</v>
      </c>
      <c r="B59" s="144">
        <f t="shared" ref="B59:C59" si="96">B56+B52+B47</f>
        <v>555</v>
      </c>
      <c r="C59" s="144">
        <f t="shared" si="96"/>
        <v>529</v>
      </c>
      <c r="D59" s="146">
        <f>B59/C59</f>
        <v>1.049149338</v>
      </c>
      <c r="E59" s="144">
        <f t="shared" ref="E59:F59" si="97">E56+E52+E47</f>
        <v>513</v>
      </c>
      <c r="F59" s="144">
        <f t="shared" si="97"/>
        <v>529</v>
      </c>
      <c r="G59" s="146">
        <f>E59/F59</f>
        <v>0.9697542533</v>
      </c>
      <c r="H59" s="144">
        <f t="shared" ref="H59:I59" si="98">H56+H52+H47</f>
        <v>531</v>
      </c>
      <c r="I59" s="144">
        <f t="shared" si="98"/>
        <v>557</v>
      </c>
      <c r="J59" s="146">
        <f>H59/I59</f>
        <v>0.9533213645</v>
      </c>
      <c r="K59" s="144">
        <f t="shared" ref="K59:L59" si="99">K56+K52+K47</f>
        <v>1599</v>
      </c>
      <c r="L59" s="150">
        <f t="shared" si="99"/>
        <v>1615</v>
      </c>
    </row>
  </sheetData>
  <mergeCells count="14">
    <mergeCell ref="F26:I26"/>
    <mergeCell ref="J26:M26"/>
    <mergeCell ref="A40:L40"/>
    <mergeCell ref="B41:C41"/>
    <mergeCell ref="E41:G41"/>
    <mergeCell ref="H41:J41"/>
    <mergeCell ref="A3:W3"/>
    <mergeCell ref="B4:E4"/>
    <mergeCell ref="G4:K4"/>
    <mergeCell ref="M4:Q4"/>
    <mergeCell ref="T4:W4"/>
    <mergeCell ref="A25:R25"/>
    <mergeCell ref="B26:E26"/>
    <mergeCell ref="O26:R2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9.0"/>
    <col customWidth="1" min="3" max="3" width="8.63"/>
    <col customWidth="1" min="4" max="4" width="7.13"/>
    <col customWidth="1" min="5" max="7" width="8.13"/>
    <col customWidth="1" min="8" max="8" width="8.63"/>
    <col customWidth="1" min="9" max="9" width="7.88"/>
    <col customWidth="1" min="10" max="10" width="11.0"/>
    <col customWidth="1" min="11" max="11" width="8.5"/>
    <col customWidth="1" min="12" max="12" width="9.38"/>
    <col customWidth="1" min="13" max="13" width="8.63"/>
    <col customWidth="1" min="14" max="14" width="7.88"/>
    <col customWidth="1" min="15" max="15" width="9.25"/>
    <col customWidth="1" min="16" max="16" width="9.88"/>
    <col customWidth="1" min="17" max="17" width="9.38"/>
    <col customWidth="1" min="18" max="18" width="7.13"/>
    <col customWidth="1" min="19" max="19" width="10.13"/>
    <col customWidth="1" min="20" max="20" width="9.0"/>
    <col customWidth="1" min="21" max="21" width="11.38"/>
    <col customWidth="1" min="22" max="22" width="5.88"/>
    <col customWidth="1" min="23" max="23" width="7.13"/>
    <col customWidth="1" min="24" max="25" width="9.88"/>
    <col customWidth="1" min="26" max="26" width="7.75"/>
    <col customWidth="1" min="28" max="28" width="9.0"/>
    <col customWidth="1" min="29" max="29" width="10.25"/>
    <col customWidth="1" min="30" max="31" width="7.63"/>
    <col customWidth="1" min="32" max="32" width="3.0"/>
    <col customWidth="1" min="34" max="36" width="8.75"/>
    <col customWidth="1" min="37" max="37" width="10.5"/>
    <col customWidth="1" min="38" max="52" width="8.75"/>
  </cols>
  <sheetData>
    <row r="1">
      <c r="A1" s="4" t="s">
        <v>0</v>
      </c>
      <c r="AB1" s="7"/>
      <c r="AC1" s="7"/>
      <c r="AD1" s="7"/>
      <c r="AE1" s="7"/>
    </row>
    <row r="3">
      <c r="A3" s="175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0"/>
      <c r="W3" s="12"/>
      <c r="X3" s="13"/>
      <c r="Y3" s="13"/>
      <c r="Z3" s="14"/>
      <c r="AA3" s="16"/>
      <c r="AB3" s="18"/>
      <c r="AC3" s="18"/>
      <c r="AD3" s="18"/>
      <c r="AE3" s="18" t="s">
        <v>2</v>
      </c>
      <c r="AF3" s="160" t="s">
        <v>3</v>
      </c>
    </row>
    <row r="4">
      <c r="A4" s="22"/>
      <c r="B4" s="163" t="s">
        <v>72</v>
      </c>
      <c r="C4" s="30"/>
      <c r="D4" s="30"/>
      <c r="E4" s="30"/>
      <c r="F4" s="164"/>
      <c r="G4" s="164" t="s">
        <v>73</v>
      </c>
      <c r="H4" s="30"/>
      <c r="I4" s="30"/>
      <c r="J4" s="30"/>
      <c r="K4" s="30"/>
      <c r="L4" s="164" t="s">
        <v>74</v>
      </c>
      <c r="M4" s="30"/>
      <c r="N4" s="30"/>
      <c r="O4" s="30"/>
      <c r="P4" s="30"/>
      <c r="Q4" s="36"/>
      <c r="R4" s="178"/>
      <c r="S4" s="164" t="s">
        <v>13</v>
      </c>
      <c r="T4" s="30"/>
      <c r="U4" s="30"/>
      <c r="V4" s="42"/>
      <c r="W4" s="25"/>
      <c r="X4" s="25"/>
      <c r="Y4" s="25"/>
      <c r="AA4" s="44"/>
      <c r="AF4" s="36"/>
    </row>
    <row r="5">
      <c r="A5" s="47"/>
      <c r="B5" s="179" t="s">
        <v>24</v>
      </c>
      <c r="C5" s="179" t="s">
        <v>25</v>
      </c>
      <c r="D5" s="179" t="s">
        <v>26</v>
      </c>
      <c r="E5" s="179" t="s">
        <v>27</v>
      </c>
      <c r="F5" s="179"/>
      <c r="G5" s="179" t="s">
        <v>24</v>
      </c>
      <c r="H5" s="180" t="s">
        <v>28</v>
      </c>
      <c r="I5" s="179" t="s">
        <v>25</v>
      </c>
      <c r="J5" s="179" t="s">
        <v>26</v>
      </c>
      <c r="K5" s="179" t="s">
        <v>27</v>
      </c>
      <c r="L5" s="179" t="s">
        <v>24</v>
      </c>
      <c r="M5" s="180" t="s">
        <v>28</v>
      </c>
      <c r="N5" s="179" t="s">
        <v>25</v>
      </c>
      <c r="O5" s="179" t="s">
        <v>26</v>
      </c>
      <c r="P5" s="179" t="s">
        <v>27</v>
      </c>
      <c r="Q5" s="179"/>
      <c r="R5" s="179" t="s">
        <v>12</v>
      </c>
      <c r="S5" s="179" t="s">
        <v>24</v>
      </c>
      <c r="T5" s="179" t="s">
        <v>25</v>
      </c>
      <c r="U5" s="179" t="s">
        <v>26</v>
      </c>
      <c r="V5" s="181" t="s">
        <v>27</v>
      </c>
      <c r="W5" s="183" t="s">
        <v>31</v>
      </c>
      <c r="X5" s="59" t="s">
        <v>33</v>
      </c>
      <c r="Y5" s="59" t="s">
        <v>34</v>
      </c>
      <c r="Z5" s="23" t="s">
        <v>14</v>
      </c>
      <c r="AA5" s="61" t="s">
        <v>35</v>
      </c>
      <c r="AB5" s="65" t="s">
        <v>37</v>
      </c>
      <c r="AC5" s="65" t="s">
        <v>38</v>
      </c>
      <c r="AD5" s="67" t="s">
        <v>39</v>
      </c>
      <c r="AF5" s="36"/>
    </row>
    <row r="6">
      <c r="A6" s="62" t="s">
        <v>36</v>
      </c>
      <c r="B6" s="48">
        <v>25.0</v>
      </c>
      <c r="C6" s="48"/>
      <c r="D6" s="70">
        <f t="shared" ref="D6:D9" si="1">SUM(B6:C6)</f>
        <v>25</v>
      </c>
      <c r="E6" s="72">
        <v>22.0</v>
      </c>
      <c r="F6" s="76">
        <f t="shared" ref="F6:F19" si="2">D6/E6</f>
        <v>1.136363636</v>
      </c>
      <c r="G6" s="48">
        <v>10.0</v>
      </c>
      <c r="H6" s="48"/>
      <c r="I6" s="48"/>
      <c r="J6" s="70">
        <f t="shared" ref="J6:J9" si="3">SUM(G6:I6)</f>
        <v>10</v>
      </c>
      <c r="K6" s="72">
        <v>11.0</v>
      </c>
      <c r="L6" s="48">
        <v>80.0</v>
      </c>
      <c r="M6" s="48"/>
      <c r="N6" s="48"/>
      <c r="O6" s="70">
        <f t="shared" ref="O6:O9" si="4">SUM(L6:N6)</f>
        <v>80</v>
      </c>
      <c r="P6" s="72">
        <v>90.0</v>
      </c>
      <c r="Q6" s="76">
        <f t="shared" ref="Q6:Q19" si="5">O6/P6</f>
        <v>0.8888888889</v>
      </c>
      <c r="R6" s="83"/>
      <c r="S6" s="84">
        <f t="shared" ref="S6:S9" si="6">L6+G6+B6+M6+H6</f>
        <v>115</v>
      </c>
      <c r="T6" s="84">
        <f t="shared" ref="T6:T9" si="7">N6+I6+C6</f>
        <v>0</v>
      </c>
      <c r="U6" s="70">
        <f t="shared" ref="U6:U9" si="8">sum(R6:T6)</f>
        <v>115</v>
      </c>
      <c r="V6" s="86">
        <f t="shared" ref="V6:V9" si="9">E6+K6+P6</f>
        <v>123</v>
      </c>
      <c r="W6" s="88">
        <f t="shared" ref="W6:W9" si="10">V6-U6</f>
        <v>8</v>
      </c>
      <c r="X6" s="46">
        <f t="shared" ref="X6:X9" si="11">round(W6/$X$26*7,0)</f>
        <v>0</v>
      </c>
      <c r="Y6" s="46">
        <f t="shared" ref="Y6:Y9" si="12">T6+S6</f>
        <v>115</v>
      </c>
      <c r="Z6" s="84">
        <f t="shared" ref="Z6:Z9" si="13">V6</f>
        <v>123</v>
      </c>
      <c r="AA6" s="96">
        <f t="shared" ref="AA6:AA9" si="14">(S6+T6)/V6</f>
        <v>0.9349593496</v>
      </c>
      <c r="AB6" s="84">
        <v>20.0</v>
      </c>
      <c r="AC6" s="84">
        <v>17.0</v>
      </c>
      <c r="AD6" s="93">
        <f t="shared" ref="AD6:AD9" si="15">AB6-AC6</f>
        <v>3</v>
      </c>
      <c r="AE6" s="98">
        <v>46112.0</v>
      </c>
      <c r="AF6" s="99" t="s">
        <v>46</v>
      </c>
      <c r="AG6" s="37" t="s">
        <v>75</v>
      </c>
      <c r="AT6" s="36"/>
      <c r="AU6" s="36"/>
      <c r="AV6" s="36"/>
      <c r="AW6" s="36"/>
      <c r="AX6" s="36"/>
      <c r="AY6" s="36"/>
      <c r="AZ6" s="36"/>
      <c r="BA6" s="36"/>
      <c r="BB6" s="36"/>
    </row>
    <row r="7">
      <c r="A7" s="62" t="s">
        <v>40</v>
      </c>
      <c r="B7" s="48">
        <v>17.0</v>
      </c>
      <c r="C7" s="48"/>
      <c r="D7" s="70">
        <f t="shared" si="1"/>
        <v>17</v>
      </c>
      <c r="E7" s="72">
        <v>15.0</v>
      </c>
      <c r="F7" s="76">
        <f t="shared" si="2"/>
        <v>1.133333333</v>
      </c>
      <c r="G7" s="48">
        <v>7.0</v>
      </c>
      <c r="H7" s="48"/>
      <c r="I7" s="48"/>
      <c r="J7" s="70">
        <f t="shared" si="3"/>
        <v>7</v>
      </c>
      <c r="K7" s="72">
        <v>9.0</v>
      </c>
      <c r="L7" s="48">
        <v>71.0</v>
      </c>
      <c r="M7" s="48"/>
      <c r="N7" s="48"/>
      <c r="O7" s="70">
        <f t="shared" si="4"/>
        <v>71</v>
      </c>
      <c r="P7" s="72">
        <v>64.0</v>
      </c>
      <c r="Q7" s="76">
        <f t="shared" si="5"/>
        <v>1.109375</v>
      </c>
      <c r="R7" s="83"/>
      <c r="S7" s="84">
        <f t="shared" si="6"/>
        <v>95</v>
      </c>
      <c r="T7" s="84">
        <f t="shared" si="7"/>
        <v>0</v>
      </c>
      <c r="U7" s="70">
        <f t="shared" si="8"/>
        <v>95</v>
      </c>
      <c r="V7" s="86">
        <f t="shared" si="9"/>
        <v>88</v>
      </c>
      <c r="W7" s="88">
        <f t="shared" si="10"/>
        <v>-7</v>
      </c>
      <c r="X7" s="46">
        <f t="shared" si="11"/>
        <v>0</v>
      </c>
      <c r="Y7" s="46">
        <f t="shared" si="12"/>
        <v>95</v>
      </c>
      <c r="Z7" s="84">
        <f t="shared" si="13"/>
        <v>88</v>
      </c>
      <c r="AA7" s="96">
        <f t="shared" si="14"/>
        <v>1.079545455</v>
      </c>
      <c r="AB7" s="84">
        <v>15.0</v>
      </c>
      <c r="AC7" s="84">
        <v>15.0</v>
      </c>
      <c r="AD7" s="93">
        <f t="shared" si="15"/>
        <v>0</v>
      </c>
      <c r="AE7" s="98">
        <v>46112.0</v>
      </c>
      <c r="AF7" s="99" t="s">
        <v>46</v>
      </c>
      <c r="AG7" s="37" t="s">
        <v>75</v>
      </c>
      <c r="AT7" s="36"/>
      <c r="AU7" s="36"/>
      <c r="AV7" s="36"/>
      <c r="AW7" s="36"/>
      <c r="AX7" s="36"/>
      <c r="AY7" s="36"/>
      <c r="AZ7" s="36"/>
      <c r="BA7" s="36"/>
      <c r="BB7" s="36"/>
    </row>
    <row r="8">
      <c r="A8" s="62" t="s">
        <v>41</v>
      </c>
      <c r="B8" s="48">
        <v>28.0</v>
      </c>
      <c r="C8" s="107"/>
      <c r="D8" s="70">
        <f t="shared" si="1"/>
        <v>28</v>
      </c>
      <c r="E8" s="72">
        <v>16.0</v>
      </c>
      <c r="F8" s="76">
        <f t="shared" si="2"/>
        <v>1.75</v>
      </c>
      <c r="G8" s="48">
        <v>6.0</v>
      </c>
      <c r="H8" s="48"/>
      <c r="I8" s="48"/>
      <c r="J8" s="70">
        <f t="shared" si="3"/>
        <v>6</v>
      </c>
      <c r="K8" s="72">
        <v>9.0</v>
      </c>
      <c r="L8" s="48">
        <v>83.0</v>
      </c>
      <c r="M8" s="48"/>
      <c r="N8" s="48"/>
      <c r="O8" s="70">
        <f t="shared" si="4"/>
        <v>83</v>
      </c>
      <c r="P8" s="72">
        <v>74.0</v>
      </c>
      <c r="Q8" s="76">
        <f t="shared" si="5"/>
        <v>1.121621622</v>
      </c>
      <c r="R8" s="83"/>
      <c r="S8" s="84">
        <f t="shared" si="6"/>
        <v>117</v>
      </c>
      <c r="T8" s="84">
        <f t="shared" si="7"/>
        <v>0</v>
      </c>
      <c r="U8" s="70">
        <f t="shared" si="8"/>
        <v>117</v>
      </c>
      <c r="V8" s="86">
        <f t="shared" si="9"/>
        <v>99</v>
      </c>
      <c r="W8" s="88">
        <f t="shared" si="10"/>
        <v>-18</v>
      </c>
      <c r="X8" s="46">
        <f t="shared" si="11"/>
        <v>1</v>
      </c>
      <c r="Y8" s="46">
        <f t="shared" si="12"/>
        <v>117</v>
      </c>
      <c r="Z8" s="84">
        <f t="shared" si="13"/>
        <v>99</v>
      </c>
      <c r="AA8" s="96">
        <f t="shared" si="14"/>
        <v>1.181818182</v>
      </c>
      <c r="AB8" s="84">
        <v>20.0</v>
      </c>
      <c r="AC8" s="84">
        <v>20.0</v>
      </c>
      <c r="AD8" s="93">
        <f t="shared" si="15"/>
        <v>0</v>
      </c>
      <c r="AE8" s="98">
        <v>46112.0</v>
      </c>
      <c r="AF8" s="99" t="s">
        <v>46</v>
      </c>
      <c r="AG8" s="37" t="s">
        <v>75</v>
      </c>
      <c r="AT8" s="36"/>
      <c r="AU8" s="36"/>
      <c r="AV8" s="36"/>
      <c r="AW8" s="36"/>
      <c r="AX8" s="36"/>
      <c r="AY8" s="36"/>
      <c r="AZ8" s="36"/>
      <c r="BA8" s="36"/>
      <c r="BB8" s="36"/>
    </row>
    <row r="9">
      <c r="A9" s="62" t="s">
        <v>49</v>
      </c>
      <c r="B9" s="87">
        <v>30.0</v>
      </c>
      <c r="C9" s="111">
        <v>9.0</v>
      </c>
      <c r="D9" s="70">
        <f t="shared" si="1"/>
        <v>39</v>
      </c>
      <c r="E9" s="72">
        <v>31.0</v>
      </c>
      <c r="F9" s="76">
        <f t="shared" si="2"/>
        <v>1.258064516</v>
      </c>
      <c r="G9" s="48">
        <v>25.0</v>
      </c>
      <c r="H9" s="48"/>
      <c r="I9" s="48">
        <v>2.0</v>
      </c>
      <c r="J9" s="70">
        <f t="shared" si="3"/>
        <v>27</v>
      </c>
      <c r="K9" s="72">
        <v>15.0</v>
      </c>
      <c r="L9" s="48">
        <v>75.0</v>
      </c>
      <c r="M9" s="48"/>
      <c r="N9" s="48">
        <v>7.0</v>
      </c>
      <c r="O9" s="70">
        <f t="shared" si="4"/>
        <v>82</v>
      </c>
      <c r="P9" s="72">
        <v>109.0</v>
      </c>
      <c r="Q9" s="76">
        <f t="shared" si="5"/>
        <v>0.752293578</v>
      </c>
      <c r="R9" s="83"/>
      <c r="S9" s="84">
        <f t="shared" si="6"/>
        <v>130</v>
      </c>
      <c r="T9" s="84">
        <f t="shared" si="7"/>
        <v>18</v>
      </c>
      <c r="U9" s="70">
        <f t="shared" si="8"/>
        <v>148</v>
      </c>
      <c r="V9" s="86">
        <f t="shared" si="9"/>
        <v>155</v>
      </c>
      <c r="W9" s="88">
        <f t="shared" si="10"/>
        <v>7</v>
      </c>
      <c r="X9" s="46">
        <f t="shared" si="11"/>
        <v>0</v>
      </c>
      <c r="Y9" s="46">
        <f t="shared" si="12"/>
        <v>148</v>
      </c>
      <c r="Z9" s="84">
        <f t="shared" si="13"/>
        <v>155</v>
      </c>
      <c r="AA9" s="96">
        <f t="shared" si="14"/>
        <v>0.9548387097</v>
      </c>
      <c r="AB9" s="84">
        <v>30.0</v>
      </c>
      <c r="AC9" s="84">
        <v>30.0</v>
      </c>
      <c r="AD9" s="93">
        <f t="shared" si="15"/>
        <v>0</v>
      </c>
      <c r="AE9" s="98">
        <v>46112.0</v>
      </c>
      <c r="AF9" s="99" t="s">
        <v>46</v>
      </c>
      <c r="AG9" s="37" t="s">
        <v>75</v>
      </c>
      <c r="AT9" s="36"/>
      <c r="AU9" s="36"/>
      <c r="AV9" s="36"/>
      <c r="AW9" s="36"/>
      <c r="AX9" s="36"/>
      <c r="AY9" s="36"/>
      <c r="AZ9" s="36"/>
      <c r="BA9" s="36"/>
      <c r="BB9" s="36"/>
    </row>
    <row r="10">
      <c r="A10" s="112" t="s">
        <v>44</v>
      </c>
      <c r="B10" s="95">
        <f t="shared" ref="B10:E10" si="16">sum(B6:B9)</f>
        <v>100</v>
      </c>
      <c r="C10" s="95">
        <f t="shared" si="16"/>
        <v>9</v>
      </c>
      <c r="D10" s="95">
        <f t="shared" si="16"/>
        <v>109</v>
      </c>
      <c r="E10" s="95">
        <f t="shared" si="16"/>
        <v>84</v>
      </c>
      <c r="F10" s="114">
        <f t="shared" si="2"/>
        <v>1.297619048</v>
      </c>
      <c r="G10" s="95">
        <f t="shared" ref="G10:P10" si="17">sum(G6:G9)</f>
        <v>48</v>
      </c>
      <c r="H10" s="95">
        <f t="shared" si="17"/>
        <v>0</v>
      </c>
      <c r="I10" s="95">
        <f t="shared" si="17"/>
        <v>2</v>
      </c>
      <c r="J10" s="95">
        <f t="shared" si="17"/>
        <v>50</v>
      </c>
      <c r="K10" s="95">
        <f t="shared" si="17"/>
        <v>44</v>
      </c>
      <c r="L10" s="95">
        <f t="shared" si="17"/>
        <v>309</v>
      </c>
      <c r="M10" s="95">
        <f t="shared" si="17"/>
        <v>0</v>
      </c>
      <c r="N10" s="95">
        <f t="shared" si="17"/>
        <v>7</v>
      </c>
      <c r="O10" s="95">
        <f t="shared" si="17"/>
        <v>316</v>
      </c>
      <c r="P10" s="95">
        <f t="shared" si="17"/>
        <v>337</v>
      </c>
      <c r="Q10" s="114">
        <f t="shared" si="5"/>
        <v>0.9376854599</v>
      </c>
      <c r="R10" s="95">
        <f t="shared" ref="R10:W10" si="18">sum(R6:R9)</f>
        <v>0</v>
      </c>
      <c r="S10" s="95">
        <f t="shared" si="18"/>
        <v>457</v>
      </c>
      <c r="T10" s="95">
        <f t="shared" si="18"/>
        <v>18</v>
      </c>
      <c r="U10" s="95">
        <f t="shared" si="18"/>
        <v>475</v>
      </c>
      <c r="V10" s="115">
        <f t="shared" si="18"/>
        <v>465</v>
      </c>
      <c r="W10" s="116">
        <f t="shared" si="18"/>
        <v>-10</v>
      </c>
      <c r="X10" s="116">
        <f>round(W10/X26*7,0)</f>
        <v>0</v>
      </c>
      <c r="Y10" s="116">
        <f t="shared" ref="Y10:Z10" si="19">sum(Y6:Y9)</f>
        <v>475</v>
      </c>
      <c r="Z10" s="95">
        <f t="shared" si="19"/>
        <v>465</v>
      </c>
      <c r="AA10" s="118">
        <f>Y10/Z10</f>
        <v>1.021505376</v>
      </c>
      <c r="AB10" s="95">
        <f t="shared" ref="AB10:AD10" si="20">sum(AB6:AB9)</f>
        <v>85</v>
      </c>
      <c r="AC10" s="95">
        <f t="shared" si="20"/>
        <v>82</v>
      </c>
      <c r="AD10" s="95">
        <f t="shared" si="20"/>
        <v>3</v>
      </c>
      <c r="AF10" s="99"/>
      <c r="AT10" s="36"/>
      <c r="AU10" s="36"/>
      <c r="AV10" s="36"/>
      <c r="AW10" s="36"/>
      <c r="AX10" s="36"/>
      <c r="AY10" s="36"/>
      <c r="AZ10" s="36"/>
      <c r="BA10" s="36"/>
      <c r="BB10" s="36"/>
    </row>
    <row r="11">
      <c r="A11" s="62" t="s">
        <v>52</v>
      </c>
      <c r="B11" s="84">
        <v>20.0</v>
      </c>
      <c r="C11" s="84"/>
      <c r="D11" s="70">
        <f t="shared" ref="D11:D14" si="21">SUM(B11:C11)</f>
        <v>20</v>
      </c>
      <c r="E11" s="72">
        <v>16.0</v>
      </c>
      <c r="F11" s="76">
        <f t="shared" si="2"/>
        <v>1.25</v>
      </c>
      <c r="G11" s="48">
        <v>14.0</v>
      </c>
      <c r="H11" s="48"/>
      <c r="I11" s="48"/>
      <c r="J11" s="70">
        <f t="shared" ref="J11:J14" si="22">SUM(G11:I11)</f>
        <v>14</v>
      </c>
      <c r="K11" s="72">
        <v>9.0</v>
      </c>
      <c r="L11" s="48">
        <v>58.0</v>
      </c>
      <c r="M11" s="48"/>
      <c r="N11" s="48">
        <v>1.0</v>
      </c>
      <c r="O11" s="70">
        <f t="shared" ref="O11:O14" si="23">SUM(L11:N11)</f>
        <v>59</v>
      </c>
      <c r="P11" s="72">
        <v>68.0</v>
      </c>
      <c r="Q11" s="76">
        <f t="shared" si="5"/>
        <v>0.8676470588</v>
      </c>
      <c r="R11" s="83"/>
      <c r="S11" s="84">
        <f t="shared" ref="S11:S12" si="24">L11+G11+B11+M11+H11</f>
        <v>92</v>
      </c>
      <c r="T11" s="84">
        <f t="shared" ref="T11:T14" si="25">N11+I11+C11</f>
        <v>1</v>
      </c>
      <c r="U11" s="70">
        <f t="shared" ref="U11:U14" si="26">sum(R11:T11)</f>
        <v>93</v>
      </c>
      <c r="V11" s="86">
        <f t="shared" ref="V11:V14" si="27">E11+K11+P11</f>
        <v>93</v>
      </c>
      <c r="W11" s="88">
        <f t="shared" ref="W11:W14" si="28">V11-U11</f>
        <v>0</v>
      </c>
      <c r="X11" s="46">
        <f t="shared" ref="X11:X14" si="29">round(W11/$X$26*7,0)</f>
        <v>0</v>
      </c>
      <c r="Y11" s="46">
        <f t="shared" ref="Y11:Y14" si="30">T11+S11</f>
        <v>93</v>
      </c>
      <c r="Z11" s="84">
        <f t="shared" ref="Z11:Z14" si="31">V11</f>
        <v>93</v>
      </c>
      <c r="AA11" s="96">
        <f t="shared" ref="AA11:AA14" si="32">(S11+T11)/V11</f>
        <v>1</v>
      </c>
      <c r="AB11" s="84">
        <v>15.0</v>
      </c>
      <c r="AC11" s="84">
        <v>15.0</v>
      </c>
      <c r="AD11" s="93">
        <f t="shared" ref="AD11:AD14" si="33">AB11-AC11</f>
        <v>0</v>
      </c>
      <c r="AE11" s="98">
        <v>46112.0</v>
      </c>
      <c r="AF11" s="99" t="s">
        <v>56</v>
      </c>
      <c r="AG11" s="37" t="s">
        <v>75</v>
      </c>
      <c r="AT11" s="36"/>
      <c r="AU11" s="36"/>
      <c r="AV11" s="36"/>
      <c r="AW11" s="36"/>
      <c r="AX11" s="36"/>
      <c r="AY11" s="36"/>
      <c r="AZ11" s="36"/>
      <c r="BA11" s="36"/>
      <c r="BB11" s="36"/>
    </row>
    <row r="12">
      <c r="A12" s="62" t="s">
        <v>51</v>
      </c>
      <c r="B12" s="84">
        <v>21.0</v>
      </c>
      <c r="C12" s="84">
        <v>2.0</v>
      </c>
      <c r="D12" s="70">
        <f t="shared" si="21"/>
        <v>23</v>
      </c>
      <c r="E12" s="72">
        <v>17.0</v>
      </c>
      <c r="F12" s="76">
        <f t="shared" si="2"/>
        <v>1.352941176</v>
      </c>
      <c r="G12" s="48">
        <v>16.0</v>
      </c>
      <c r="H12" s="48"/>
      <c r="I12" s="48">
        <v>0.0</v>
      </c>
      <c r="J12" s="70">
        <f t="shared" si="22"/>
        <v>16</v>
      </c>
      <c r="K12" s="72">
        <v>9.0</v>
      </c>
      <c r="L12" s="48">
        <v>60.0</v>
      </c>
      <c r="M12" s="48"/>
      <c r="N12" s="48">
        <v>3.0</v>
      </c>
      <c r="O12" s="70">
        <f t="shared" si="23"/>
        <v>63</v>
      </c>
      <c r="P12" s="72">
        <v>76.0</v>
      </c>
      <c r="Q12" s="76">
        <f t="shared" si="5"/>
        <v>0.8289473684</v>
      </c>
      <c r="R12" s="83"/>
      <c r="S12" s="84">
        <f t="shared" si="24"/>
        <v>97</v>
      </c>
      <c r="T12" s="84">
        <f t="shared" si="25"/>
        <v>5</v>
      </c>
      <c r="U12" s="70">
        <f t="shared" si="26"/>
        <v>102</v>
      </c>
      <c r="V12" s="86">
        <f t="shared" si="27"/>
        <v>102</v>
      </c>
      <c r="W12" s="88">
        <f t="shared" si="28"/>
        <v>0</v>
      </c>
      <c r="X12" s="46">
        <f t="shared" si="29"/>
        <v>0</v>
      </c>
      <c r="Y12" s="46">
        <f t="shared" si="30"/>
        <v>102</v>
      </c>
      <c r="Z12" s="84">
        <f t="shared" si="31"/>
        <v>102</v>
      </c>
      <c r="AA12" s="96">
        <f t="shared" si="32"/>
        <v>1</v>
      </c>
      <c r="AB12" s="84">
        <v>20.0</v>
      </c>
      <c r="AC12" s="84">
        <v>20.0</v>
      </c>
      <c r="AD12" s="93">
        <f t="shared" si="33"/>
        <v>0</v>
      </c>
      <c r="AE12" s="98">
        <v>46112.0</v>
      </c>
      <c r="AF12" s="99" t="s">
        <v>56</v>
      </c>
      <c r="AG12" s="191" t="s">
        <v>75</v>
      </c>
      <c r="AT12" s="36"/>
      <c r="AU12" s="36"/>
      <c r="AV12" s="36"/>
      <c r="AW12" s="36"/>
      <c r="AX12" s="36"/>
      <c r="AY12" s="36"/>
      <c r="AZ12" s="36"/>
      <c r="BA12" s="36"/>
      <c r="BB12" s="36"/>
    </row>
    <row r="13">
      <c r="A13" s="62" t="s">
        <v>47</v>
      </c>
      <c r="B13" s="84">
        <v>19.0</v>
      </c>
      <c r="C13" s="84"/>
      <c r="D13" s="70">
        <f t="shared" si="21"/>
        <v>19</v>
      </c>
      <c r="E13" s="72">
        <v>18.0</v>
      </c>
      <c r="F13" s="76">
        <f t="shared" si="2"/>
        <v>1.055555556</v>
      </c>
      <c r="G13" s="48">
        <v>11.0</v>
      </c>
      <c r="H13" s="48"/>
      <c r="I13" s="48"/>
      <c r="J13" s="70">
        <f t="shared" si="22"/>
        <v>11</v>
      </c>
      <c r="K13" s="72">
        <v>9.0</v>
      </c>
      <c r="L13" s="48">
        <v>89.0</v>
      </c>
      <c r="M13" s="48"/>
      <c r="N13" s="48"/>
      <c r="O13" s="70">
        <f t="shared" si="23"/>
        <v>89</v>
      </c>
      <c r="P13" s="72">
        <v>75.0</v>
      </c>
      <c r="Q13" s="76">
        <f t="shared" si="5"/>
        <v>1.186666667</v>
      </c>
      <c r="R13" s="83"/>
      <c r="S13" s="84">
        <v>119.0</v>
      </c>
      <c r="T13" s="84">
        <f t="shared" si="25"/>
        <v>0</v>
      </c>
      <c r="U13" s="70">
        <f t="shared" si="26"/>
        <v>119</v>
      </c>
      <c r="V13" s="86">
        <f t="shared" si="27"/>
        <v>102</v>
      </c>
      <c r="W13" s="88">
        <f t="shared" si="28"/>
        <v>-17</v>
      </c>
      <c r="X13" s="46">
        <f t="shared" si="29"/>
        <v>1</v>
      </c>
      <c r="Y13" s="46">
        <f t="shared" si="30"/>
        <v>119</v>
      </c>
      <c r="Z13" s="84">
        <f t="shared" si="31"/>
        <v>102</v>
      </c>
      <c r="AA13" s="96">
        <f t="shared" si="32"/>
        <v>1.166666667</v>
      </c>
      <c r="AB13" s="84">
        <v>20.0</v>
      </c>
      <c r="AC13" s="84">
        <v>20.0</v>
      </c>
      <c r="AD13" s="93">
        <f t="shared" si="33"/>
        <v>0</v>
      </c>
      <c r="AE13" s="98">
        <v>46112.0</v>
      </c>
      <c r="AF13" s="99" t="s">
        <v>56</v>
      </c>
      <c r="AG13" s="37" t="s">
        <v>75</v>
      </c>
      <c r="AT13" s="36"/>
      <c r="AU13" s="36"/>
      <c r="AV13" s="36"/>
      <c r="AW13" s="36"/>
      <c r="AX13" s="36"/>
      <c r="AY13" s="36"/>
      <c r="AZ13" s="36"/>
      <c r="BA13" s="36"/>
      <c r="BB13" s="36"/>
    </row>
    <row r="14">
      <c r="A14" s="62" t="s">
        <v>53</v>
      </c>
      <c r="B14" s="84">
        <v>46.0</v>
      </c>
      <c r="C14" s="84"/>
      <c r="D14" s="70">
        <f t="shared" si="21"/>
        <v>46</v>
      </c>
      <c r="E14" s="72">
        <v>31.0</v>
      </c>
      <c r="F14" s="76">
        <f t="shared" si="2"/>
        <v>1.483870968</v>
      </c>
      <c r="G14" s="48">
        <v>8.0</v>
      </c>
      <c r="H14" s="48"/>
      <c r="I14" s="48"/>
      <c r="J14" s="70">
        <f t="shared" si="22"/>
        <v>8</v>
      </c>
      <c r="K14" s="72">
        <v>15.0</v>
      </c>
      <c r="L14" s="48">
        <v>103.0</v>
      </c>
      <c r="M14" s="48"/>
      <c r="N14" s="48"/>
      <c r="O14" s="70">
        <f t="shared" si="23"/>
        <v>103</v>
      </c>
      <c r="P14" s="72">
        <v>117.0</v>
      </c>
      <c r="Q14" s="76">
        <f t="shared" si="5"/>
        <v>0.8803418803</v>
      </c>
      <c r="R14" s="83"/>
      <c r="S14" s="84">
        <f>L14+G14+B14+M14+H14</f>
        <v>157</v>
      </c>
      <c r="T14" s="84">
        <f t="shared" si="25"/>
        <v>0</v>
      </c>
      <c r="U14" s="70">
        <f t="shared" si="26"/>
        <v>157</v>
      </c>
      <c r="V14" s="86">
        <f t="shared" si="27"/>
        <v>163</v>
      </c>
      <c r="W14" s="88">
        <f t="shared" si="28"/>
        <v>6</v>
      </c>
      <c r="X14" s="46">
        <f t="shared" si="29"/>
        <v>0</v>
      </c>
      <c r="Y14" s="46">
        <f t="shared" si="30"/>
        <v>157</v>
      </c>
      <c r="Z14" s="84">
        <f t="shared" si="31"/>
        <v>163</v>
      </c>
      <c r="AA14" s="96">
        <f t="shared" si="32"/>
        <v>0.963190184</v>
      </c>
      <c r="AB14" s="84">
        <v>30.0</v>
      </c>
      <c r="AC14" s="84">
        <v>30.0</v>
      </c>
      <c r="AD14" s="93">
        <f t="shared" si="33"/>
        <v>0</v>
      </c>
      <c r="AE14" s="98">
        <v>46112.0</v>
      </c>
      <c r="AF14" s="99" t="s">
        <v>56</v>
      </c>
      <c r="AG14" s="37" t="s">
        <v>75</v>
      </c>
      <c r="AT14" s="36"/>
      <c r="AU14" s="36"/>
      <c r="AV14" s="36"/>
      <c r="AW14" s="36"/>
      <c r="AX14" s="36"/>
      <c r="AY14" s="36"/>
      <c r="AZ14" s="36"/>
      <c r="BA14" s="36"/>
      <c r="BB14" s="36"/>
    </row>
    <row r="15">
      <c r="A15" s="112" t="s">
        <v>54</v>
      </c>
      <c r="B15" s="95">
        <f t="shared" ref="B15:E15" si="34">sum(B11:B14)</f>
        <v>106</v>
      </c>
      <c r="C15" s="95">
        <f t="shared" si="34"/>
        <v>2</v>
      </c>
      <c r="D15" s="95">
        <f t="shared" si="34"/>
        <v>108</v>
      </c>
      <c r="E15" s="95">
        <f t="shared" si="34"/>
        <v>82</v>
      </c>
      <c r="F15" s="114">
        <f t="shared" si="2"/>
        <v>1.317073171</v>
      </c>
      <c r="G15" s="95">
        <f t="shared" ref="G15:P15" si="35">sum(G11:G14)</f>
        <v>49</v>
      </c>
      <c r="H15" s="95">
        <f t="shared" si="35"/>
        <v>0</v>
      </c>
      <c r="I15" s="95">
        <f t="shared" si="35"/>
        <v>0</v>
      </c>
      <c r="J15" s="95">
        <f t="shared" si="35"/>
        <v>49</v>
      </c>
      <c r="K15" s="95">
        <f t="shared" si="35"/>
        <v>42</v>
      </c>
      <c r="L15" s="95">
        <f t="shared" si="35"/>
        <v>310</v>
      </c>
      <c r="M15" s="95">
        <f t="shared" si="35"/>
        <v>0</v>
      </c>
      <c r="N15" s="95">
        <f t="shared" si="35"/>
        <v>4</v>
      </c>
      <c r="O15" s="95">
        <f t="shared" si="35"/>
        <v>314</v>
      </c>
      <c r="P15" s="95">
        <f t="shared" si="35"/>
        <v>336</v>
      </c>
      <c r="Q15" s="114">
        <f t="shared" si="5"/>
        <v>0.9345238095</v>
      </c>
      <c r="R15" s="95">
        <f t="shared" ref="R15:W15" si="36">sum(R11:R14)</f>
        <v>0</v>
      </c>
      <c r="S15" s="95">
        <f t="shared" si="36"/>
        <v>465</v>
      </c>
      <c r="T15" s="95">
        <f t="shared" si="36"/>
        <v>6</v>
      </c>
      <c r="U15" s="95">
        <f t="shared" si="36"/>
        <v>471</v>
      </c>
      <c r="V15" s="115">
        <f t="shared" si="36"/>
        <v>460</v>
      </c>
      <c r="W15" s="116">
        <f t="shared" si="36"/>
        <v>-11</v>
      </c>
      <c r="X15" s="116">
        <f>round(W15/X26*7,0)</f>
        <v>0</v>
      </c>
      <c r="Y15" s="116">
        <f t="shared" ref="Y15:Z15" si="37">sum(Y11:Y14)</f>
        <v>471</v>
      </c>
      <c r="Z15" s="95">
        <f t="shared" si="37"/>
        <v>460</v>
      </c>
      <c r="AA15" s="118">
        <f>Y15/Z15</f>
        <v>1.023913043</v>
      </c>
      <c r="AB15" s="95">
        <f t="shared" ref="AB15:AD15" si="38">sum(AB11:AB14)</f>
        <v>85</v>
      </c>
      <c r="AC15" s="95">
        <f t="shared" si="38"/>
        <v>85</v>
      </c>
      <c r="AD15" s="95">
        <f t="shared" si="38"/>
        <v>0</v>
      </c>
      <c r="AF15" s="99"/>
      <c r="AT15" s="36"/>
      <c r="AU15" s="36"/>
      <c r="AV15" s="36"/>
      <c r="AW15" s="36"/>
      <c r="AX15" s="36"/>
      <c r="AY15" s="36"/>
      <c r="AZ15" s="36"/>
      <c r="BA15" s="36"/>
      <c r="BB15" s="36"/>
    </row>
    <row r="16">
      <c r="A16" s="62" t="s">
        <v>55</v>
      </c>
      <c r="B16" s="84">
        <v>13.0</v>
      </c>
      <c r="C16" s="84">
        <v>4.0</v>
      </c>
      <c r="D16" s="70">
        <f t="shared" ref="D16:D18" si="39">SUM(B16:C16)</f>
        <v>17</v>
      </c>
      <c r="E16" s="72">
        <v>22.0</v>
      </c>
      <c r="F16" s="76">
        <f t="shared" si="2"/>
        <v>0.7727272727</v>
      </c>
      <c r="G16" s="48">
        <v>9.0</v>
      </c>
      <c r="H16" s="48"/>
      <c r="I16" s="48">
        <v>2.0</v>
      </c>
      <c r="J16" s="70">
        <f t="shared" ref="J16:J18" si="40">SUM(G16:I16)</f>
        <v>11</v>
      </c>
      <c r="K16" s="72">
        <v>9.0</v>
      </c>
      <c r="L16" s="48">
        <v>55.0</v>
      </c>
      <c r="M16" s="48"/>
      <c r="N16" s="48">
        <v>9.0</v>
      </c>
      <c r="O16" s="70">
        <f t="shared" ref="O16:O18" si="41">SUM(L16:N16)</f>
        <v>64</v>
      </c>
      <c r="P16" s="72">
        <v>82.0</v>
      </c>
      <c r="Q16" s="76">
        <f t="shared" si="5"/>
        <v>0.7804878049</v>
      </c>
      <c r="R16" s="83"/>
      <c r="S16" s="84">
        <f t="shared" ref="S16:S18" si="42">L16+G16+B16+M16+H16</f>
        <v>77</v>
      </c>
      <c r="T16" s="84">
        <f t="shared" ref="T16:T18" si="43">N16+I16+C16</f>
        <v>15</v>
      </c>
      <c r="U16" s="70">
        <f t="shared" ref="U16:U18" si="44">sum(R16:T16)</f>
        <v>92</v>
      </c>
      <c r="V16" s="86">
        <f t="shared" ref="V16:V18" si="45">E16+K16+P16</f>
        <v>113</v>
      </c>
      <c r="W16" s="88">
        <f t="shared" ref="W16:W18" si="46">V16-U16</f>
        <v>21</v>
      </c>
      <c r="X16" s="46">
        <f t="shared" ref="X16:X18" si="47">round(W16/$X$26*7,0)</f>
        <v>-1</v>
      </c>
      <c r="Y16" s="46">
        <f t="shared" ref="Y16:Y18" si="48">T16+S16</f>
        <v>92</v>
      </c>
      <c r="Z16" s="84">
        <f t="shared" ref="Z16:Z18" si="49">V16</f>
        <v>113</v>
      </c>
      <c r="AA16" s="96">
        <f t="shared" ref="AA16:AA18" si="50">(S16+T16)/V16</f>
        <v>0.814159292</v>
      </c>
      <c r="AB16" s="84">
        <v>20.0</v>
      </c>
      <c r="AC16" s="84">
        <v>20.0</v>
      </c>
      <c r="AD16" s="93"/>
      <c r="AE16" s="119">
        <v>46112.0</v>
      </c>
      <c r="AF16" s="99" t="s">
        <v>81</v>
      </c>
      <c r="AG16" s="37" t="s">
        <v>75</v>
      </c>
      <c r="AT16" s="36"/>
      <c r="AU16" s="36"/>
      <c r="AV16" s="36"/>
      <c r="AW16" s="36"/>
      <c r="AX16" s="36"/>
      <c r="AY16" s="36"/>
      <c r="AZ16" s="36"/>
      <c r="BA16" s="36"/>
      <c r="BB16" s="36"/>
    </row>
    <row r="17">
      <c r="A17" s="62" t="s">
        <v>57</v>
      </c>
      <c r="B17" s="84">
        <v>23.0</v>
      </c>
      <c r="C17" s="84">
        <v>1.0</v>
      </c>
      <c r="D17" s="70">
        <f t="shared" si="39"/>
        <v>24</v>
      </c>
      <c r="E17" s="72">
        <v>21.0</v>
      </c>
      <c r="F17" s="76">
        <f t="shared" si="2"/>
        <v>1.142857143</v>
      </c>
      <c r="G17" s="48">
        <v>8.0</v>
      </c>
      <c r="H17" s="48"/>
      <c r="I17" s="48">
        <v>1.0</v>
      </c>
      <c r="J17" s="70">
        <f t="shared" si="40"/>
        <v>9</v>
      </c>
      <c r="K17" s="72">
        <v>11.0</v>
      </c>
      <c r="L17" s="48">
        <v>86.0</v>
      </c>
      <c r="M17" s="48"/>
      <c r="N17" s="48">
        <v>1.0</v>
      </c>
      <c r="O17" s="70">
        <f t="shared" si="41"/>
        <v>87</v>
      </c>
      <c r="P17" s="72">
        <v>86.0</v>
      </c>
      <c r="Q17" s="76">
        <f t="shared" si="5"/>
        <v>1.011627907</v>
      </c>
      <c r="R17" s="83"/>
      <c r="S17" s="84">
        <f t="shared" si="42"/>
        <v>117</v>
      </c>
      <c r="T17" s="84">
        <f t="shared" si="43"/>
        <v>3</v>
      </c>
      <c r="U17" s="70">
        <f t="shared" si="44"/>
        <v>120</v>
      </c>
      <c r="V17" s="86">
        <f t="shared" si="45"/>
        <v>118</v>
      </c>
      <c r="W17" s="88">
        <f t="shared" si="46"/>
        <v>-2</v>
      </c>
      <c r="X17" s="46">
        <f t="shared" si="47"/>
        <v>0</v>
      </c>
      <c r="Y17" s="46">
        <f t="shared" si="48"/>
        <v>120</v>
      </c>
      <c r="Z17" s="84">
        <f t="shared" si="49"/>
        <v>118</v>
      </c>
      <c r="AA17" s="96">
        <f t="shared" si="50"/>
        <v>1.016949153</v>
      </c>
      <c r="AB17" s="84">
        <v>20.0</v>
      </c>
      <c r="AC17" s="84">
        <v>20.0</v>
      </c>
      <c r="AD17" s="93">
        <f t="shared" ref="AD17:AD18" si="51">AB17-AC17</f>
        <v>0</v>
      </c>
      <c r="AE17" s="119">
        <v>46112.0</v>
      </c>
      <c r="AF17" s="99" t="s">
        <v>81</v>
      </c>
      <c r="AG17" s="37" t="s">
        <v>75</v>
      </c>
      <c r="AT17" s="36"/>
      <c r="AU17" s="36"/>
      <c r="AV17" s="36"/>
      <c r="AW17" s="36"/>
      <c r="AX17" s="36"/>
      <c r="AY17" s="36"/>
      <c r="AZ17" s="36"/>
      <c r="BA17" s="36"/>
      <c r="BB17" s="36"/>
    </row>
    <row r="18">
      <c r="A18" s="62" t="s">
        <v>58</v>
      </c>
      <c r="B18" s="84">
        <v>15.0</v>
      </c>
      <c r="C18" s="84"/>
      <c r="D18" s="70">
        <f t="shared" si="39"/>
        <v>15</v>
      </c>
      <c r="E18" s="72">
        <v>9.0</v>
      </c>
      <c r="F18" s="76">
        <f t="shared" si="2"/>
        <v>1.666666667</v>
      </c>
      <c r="G18" s="48">
        <v>13.0</v>
      </c>
      <c r="H18" s="48"/>
      <c r="I18" s="48"/>
      <c r="J18" s="70">
        <f t="shared" si="40"/>
        <v>13</v>
      </c>
      <c r="K18" s="72">
        <v>3.0</v>
      </c>
      <c r="L18" s="48">
        <v>26.0</v>
      </c>
      <c r="M18" s="48"/>
      <c r="N18" s="48"/>
      <c r="O18" s="70">
        <f t="shared" si="41"/>
        <v>26</v>
      </c>
      <c r="P18" s="72">
        <v>31.0</v>
      </c>
      <c r="Q18" s="76">
        <f t="shared" si="5"/>
        <v>0.8387096774</v>
      </c>
      <c r="R18" s="83"/>
      <c r="S18" s="84">
        <f t="shared" si="42"/>
        <v>54</v>
      </c>
      <c r="T18" s="84">
        <f t="shared" si="43"/>
        <v>0</v>
      </c>
      <c r="U18" s="70">
        <f t="shared" si="44"/>
        <v>54</v>
      </c>
      <c r="V18" s="86">
        <f t="shared" si="45"/>
        <v>43</v>
      </c>
      <c r="W18" s="88">
        <f t="shared" si="46"/>
        <v>-11</v>
      </c>
      <c r="X18" s="46">
        <f t="shared" si="47"/>
        <v>0</v>
      </c>
      <c r="Y18" s="46">
        <f t="shared" si="48"/>
        <v>54</v>
      </c>
      <c r="Z18" s="84">
        <f t="shared" si="49"/>
        <v>43</v>
      </c>
      <c r="AA18" s="96">
        <f t="shared" si="50"/>
        <v>1.255813953</v>
      </c>
      <c r="AB18" s="84">
        <v>5.0</v>
      </c>
      <c r="AC18" s="84">
        <v>5.0</v>
      </c>
      <c r="AD18" s="93">
        <f t="shared" si="51"/>
        <v>0</v>
      </c>
      <c r="AE18" s="119">
        <v>46112.0</v>
      </c>
      <c r="AF18" s="99" t="s">
        <v>81</v>
      </c>
      <c r="AG18" s="37" t="s">
        <v>75</v>
      </c>
      <c r="AT18" s="36"/>
      <c r="AU18" s="36"/>
      <c r="AV18" s="36"/>
      <c r="AW18" s="36"/>
      <c r="AX18" s="36"/>
      <c r="AY18" s="36"/>
      <c r="AZ18" s="36"/>
      <c r="BA18" s="36"/>
      <c r="BB18" s="36"/>
    </row>
    <row r="19">
      <c r="A19" s="112" t="s">
        <v>59</v>
      </c>
      <c r="B19" s="95">
        <f t="shared" ref="B19:E19" si="52">sum(B16:B18)</f>
        <v>51</v>
      </c>
      <c r="C19" s="95">
        <f t="shared" si="52"/>
        <v>5</v>
      </c>
      <c r="D19" s="95">
        <f t="shared" si="52"/>
        <v>56</v>
      </c>
      <c r="E19" s="95">
        <f t="shared" si="52"/>
        <v>52</v>
      </c>
      <c r="F19" s="114">
        <f t="shared" si="2"/>
        <v>1.076923077</v>
      </c>
      <c r="G19" s="95">
        <f t="shared" ref="G19:P19" si="53">sum(G16:G18)</f>
        <v>30</v>
      </c>
      <c r="H19" s="95">
        <f t="shared" si="53"/>
        <v>0</v>
      </c>
      <c r="I19" s="95">
        <f t="shared" si="53"/>
        <v>3</v>
      </c>
      <c r="J19" s="95">
        <f t="shared" si="53"/>
        <v>33</v>
      </c>
      <c r="K19" s="95">
        <f t="shared" si="53"/>
        <v>23</v>
      </c>
      <c r="L19" s="95">
        <f t="shared" si="53"/>
        <v>167</v>
      </c>
      <c r="M19" s="95">
        <f t="shared" si="53"/>
        <v>0</v>
      </c>
      <c r="N19" s="95">
        <f t="shared" si="53"/>
        <v>10</v>
      </c>
      <c r="O19" s="95">
        <f t="shared" si="53"/>
        <v>177</v>
      </c>
      <c r="P19" s="95">
        <f t="shared" si="53"/>
        <v>199</v>
      </c>
      <c r="Q19" s="114">
        <f t="shared" si="5"/>
        <v>0.8894472362</v>
      </c>
      <c r="R19" s="95">
        <f t="shared" ref="R19:W19" si="54">sum(R16:R18)</f>
        <v>0</v>
      </c>
      <c r="S19" s="95">
        <f t="shared" si="54"/>
        <v>248</v>
      </c>
      <c r="T19" s="95">
        <f t="shared" si="54"/>
        <v>18</v>
      </c>
      <c r="U19" s="95">
        <f t="shared" si="54"/>
        <v>266</v>
      </c>
      <c r="V19" s="115">
        <f t="shared" si="54"/>
        <v>274</v>
      </c>
      <c r="W19" s="116">
        <f t="shared" si="54"/>
        <v>8</v>
      </c>
      <c r="X19" s="116">
        <f>round(W19/X26*7,0)</f>
        <v>0</v>
      </c>
      <c r="Y19" s="116">
        <f t="shared" ref="Y19:Z19" si="55">sum(Y16:Y18)</f>
        <v>266</v>
      </c>
      <c r="Z19" s="95">
        <f t="shared" si="55"/>
        <v>274</v>
      </c>
      <c r="AA19" s="118">
        <f>Y19/Z19</f>
        <v>0.9708029197</v>
      </c>
      <c r="AB19" s="95">
        <f t="shared" ref="AB19:AD19" si="56">sum(AB16:AB18)</f>
        <v>45</v>
      </c>
      <c r="AC19" s="95">
        <f t="shared" si="56"/>
        <v>45</v>
      </c>
      <c r="AD19" s="95">
        <f t="shared" si="56"/>
        <v>0</v>
      </c>
      <c r="AE19" s="119"/>
      <c r="AF19" s="99"/>
      <c r="AT19" s="36"/>
      <c r="AU19" s="36"/>
      <c r="AV19" s="36"/>
      <c r="AW19" s="36"/>
      <c r="AX19" s="36"/>
      <c r="AY19" s="36"/>
      <c r="AZ19" s="36"/>
      <c r="BA19" s="36"/>
      <c r="BB19" s="36"/>
    </row>
    <row r="20">
      <c r="A20" s="112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37"/>
      <c r="W20" s="121"/>
      <c r="X20" s="138"/>
      <c r="Y20" s="138"/>
      <c r="Z20" s="139"/>
      <c r="AA20" s="140"/>
      <c r="AB20" s="120"/>
      <c r="AC20" s="120"/>
      <c r="AD20" s="93">
        <f t="shared" ref="AD20:AD21" si="57">AB20-AC20</f>
        <v>0</v>
      </c>
      <c r="AF20" s="36"/>
      <c r="AT20" s="36"/>
      <c r="AU20" s="36"/>
      <c r="AV20" s="36"/>
      <c r="AW20" s="36"/>
      <c r="AX20" s="36"/>
      <c r="AY20" s="36"/>
      <c r="AZ20" s="36"/>
      <c r="BA20" s="36"/>
      <c r="BB20" s="36"/>
    </row>
    <row r="21">
      <c r="A21" s="14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37"/>
      <c r="W21" s="121"/>
      <c r="X21" s="138"/>
      <c r="Y21" s="138"/>
      <c r="Z21" s="139"/>
      <c r="AA21" s="140"/>
      <c r="AB21" s="120"/>
      <c r="AC21" s="120"/>
      <c r="AD21" s="93">
        <f t="shared" si="57"/>
        <v>0</v>
      </c>
      <c r="AF21" s="36"/>
      <c r="AT21" s="36"/>
      <c r="AU21" s="36"/>
      <c r="AV21" s="36"/>
      <c r="AW21" s="36"/>
      <c r="AX21" s="36"/>
      <c r="AY21" s="36"/>
      <c r="AZ21" s="36"/>
      <c r="BA21" s="36"/>
      <c r="BB21" s="36"/>
    </row>
    <row r="22">
      <c r="A22" s="143" t="s">
        <v>13</v>
      </c>
      <c r="B22" s="144">
        <f t="shared" ref="B22:E22" si="58">B19+B15+B10</f>
        <v>257</v>
      </c>
      <c r="C22" s="144">
        <f t="shared" si="58"/>
        <v>16</v>
      </c>
      <c r="D22" s="144">
        <f t="shared" si="58"/>
        <v>273</v>
      </c>
      <c r="E22" s="144">
        <f t="shared" si="58"/>
        <v>218</v>
      </c>
      <c r="F22" s="146">
        <f>D22/E22</f>
        <v>1.252293578</v>
      </c>
      <c r="G22" s="144">
        <f t="shared" ref="G22:P22" si="59">G19+G15+G10</f>
        <v>127</v>
      </c>
      <c r="H22" s="144">
        <f t="shared" si="59"/>
        <v>0</v>
      </c>
      <c r="I22" s="144">
        <f t="shared" si="59"/>
        <v>5</v>
      </c>
      <c r="J22" s="144">
        <f t="shared" si="59"/>
        <v>132</v>
      </c>
      <c r="K22" s="144">
        <f t="shared" si="59"/>
        <v>109</v>
      </c>
      <c r="L22" s="144">
        <f t="shared" si="59"/>
        <v>786</v>
      </c>
      <c r="M22" s="144">
        <f t="shared" si="59"/>
        <v>0</v>
      </c>
      <c r="N22" s="144">
        <f t="shared" si="59"/>
        <v>21</v>
      </c>
      <c r="O22" s="144">
        <f t="shared" si="59"/>
        <v>807</v>
      </c>
      <c r="P22" s="144">
        <f t="shared" si="59"/>
        <v>872</v>
      </c>
      <c r="Q22" s="146">
        <f>O22/P22</f>
        <v>0.9254587156</v>
      </c>
      <c r="R22" s="144">
        <f t="shared" ref="R22:W22" si="60">R19+R15+R10</f>
        <v>0</v>
      </c>
      <c r="S22" s="144">
        <f t="shared" si="60"/>
        <v>1170</v>
      </c>
      <c r="T22" s="144">
        <f t="shared" si="60"/>
        <v>42</v>
      </c>
      <c r="U22" s="144">
        <f t="shared" si="60"/>
        <v>1212</v>
      </c>
      <c r="V22" s="150">
        <f t="shared" si="60"/>
        <v>1199</v>
      </c>
      <c r="W22" s="153">
        <f t="shared" si="60"/>
        <v>-13</v>
      </c>
      <c r="X22" s="155">
        <f>round(W22/X26*7,0)</f>
        <v>0</v>
      </c>
      <c r="Y22" s="153">
        <f t="shared" ref="Y22:Z22" si="61">Y19+Y15+Y10</f>
        <v>1212</v>
      </c>
      <c r="Z22" s="144">
        <f t="shared" si="61"/>
        <v>1199</v>
      </c>
      <c r="AA22" s="157">
        <f>(S22+T22)/V22</f>
        <v>1.010842369</v>
      </c>
      <c r="AB22" s="144">
        <f t="shared" ref="AB22:AD22" si="62">AB19+AB15+AB10</f>
        <v>215</v>
      </c>
      <c r="AC22" s="144">
        <f t="shared" si="62"/>
        <v>212</v>
      </c>
      <c r="AD22" s="144">
        <f t="shared" si="62"/>
        <v>3</v>
      </c>
      <c r="AF22" s="36"/>
      <c r="AT22" s="36"/>
      <c r="AU22" s="36"/>
      <c r="AV22" s="36"/>
      <c r="AW22" s="36"/>
      <c r="AX22" s="36"/>
      <c r="AY22" s="36"/>
      <c r="AZ22" s="36"/>
      <c r="BA22" s="36"/>
      <c r="BB22" s="36"/>
    </row>
    <row r="23">
      <c r="AB23" s="66">
        <f t="shared" ref="AB23:AD23" si="63">AB22*250</f>
        <v>53750</v>
      </c>
      <c r="AC23" s="66">
        <f t="shared" si="63"/>
        <v>53000</v>
      </c>
      <c r="AD23" s="66">
        <f t="shared" si="63"/>
        <v>750</v>
      </c>
      <c r="AT23" s="36"/>
      <c r="AU23" s="36"/>
      <c r="AV23" s="36"/>
      <c r="AW23" s="36"/>
      <c r="AX23" s="36"/>
      <c r="AY23" s="36"/>
      <c r="AZ23" s="36"/>
      <c r="BA23" s="36"/>
      <c r="BB23" s="36"/>
    </row>
    <row r="24">
      <c r="X24" s="1">
        <v>46112.0</v>
      </c>
      <c r="Y24" s="131"/>
      <c r="Z24" s="69">
        <f>Z22-Y22</f>
        <v>-13</v>
      </c>
      <c r="AT24" s="36"/>
      <c r="AU24" s="36"/>
      <c r="AV24" s="36"/>
      <c r="AW24" s="36"/>
      <c r="AX24" s="36"/>
      <c r="AY24" s="36"/>
      <c r="AZ24" s="36"/>
      <c r="BA24" s="36"/>
      <c r="BB24" s="36"/>
    </row>
    <row r="25">
      <c r="X25" s="162">
        <f>today()</f>
        <v>46295</v>
      </c>
    </row>
    <row r="26">
      <c r="A26" s="196" t="s">
        <v>63</v>
      </c>
      <c r="B26" s="151"/>
      <c r="C26" s="151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2"/>
      <c r="U26" s="18" t="s">
        <v>2</v>
      </c>
      <c r="V26" s="160" t="s">
        <v>3</v>
      </c>
      <c r="X26" s="66">
        <f>X24-X25</f>
        <v>-183</v>
      </c>
    </row>
    <row r="27">
      <c r="A27" s="39"/>
      <c r="B27" s="163" t="str">
        <f>'2026 - Q1'!B4</f>
        <v>JAN</v>
      </c>
      <c r="C27" s="30"/>
      <c r="D27" s="30"/>
      <c r="E27" s="30"/>
      <c r="F27" s="163" t="str">
        <f>'2026 - Q1'!G4</f>
        <v>FEB</v>
      </c>
      <c r="G27" s="30"/>
      <c r="H27" s="30"/>
      <c r="I27" s="30"/>
      <c r="J27" s="163" t="str">
        <f>'2026 - Q1'!L4</f>
        <v>MAR</v>
      </c>
      <c r="K27" s="30"/>
      <c r="L27" s="30"/>
      <c r="M27" s="30"/>
      <c r="N27" s="163"/>
      <c r="O27" s="164" t="s">
        <v>13</v>
      </c>
      <c r="P27" s="30"/>
      <c r="Q27" s="30"/>
      <c r="R27" s="42"/>
      <c r="V27" s="36"/>
    </row>
    <row r="28">
      <c r="A28" s="43"/>
      <c r="B28" s="179" t="s">
        <v>64</v>
      </c>
      <c r="C28" s="179" t="s">
        <v>65</v>
      </c>
      <c r="D28" s="179" t="s">
        <v>26</v>
      </c>
      <c r="E28" s="179" t="s">
        <v>66</v>
      </c>
      <c r="F28" s="179" t="s">
        <v>64</v>
      </c>
      <c r="G28" s="179" t="s">
        <v>65</v>
      </c>
      <c r="H28" s="179" t="s">
        <v>26</v>
      </c>
      <c r="I28" s="179" t="s">
        <v>66</v>
      </c>
      <c r="J28" s="179" t="s">
        <v>64</v>
      </c>
      <c r="K28" s="179" t="s">
        <v>65</v>
      </c>
      <c r="L28" s="179" t="s">
        <v>26</v>
      </c>
      <c r="M28" s="179" t="s">
        <v>66</v>
      </c>
      <c r="N28" s="179"/>
      <c r="O28" s="179" t="s">
        <v>64</v>
      </c>
      <c r="P28" s="179" t="s">
        <v>65</v>
      </c>
      <c r="Q28" s="179" t="s">
        <v>26</v>
      </c>
      <c r="R28" s="181" t="s">
        <v>66</v>
      </c>
      <c r="V28" s="36"/>
      <c r="Y28" s="37" t="s">
        <v>69</v>
      </c>
    </row>
    <row r="29">
      <c r="A29" s="156" t="s">
        <v>22</v>
      </c>
      <c r="B29" s="48">
        <v>124.0</v>
      </c>
      <c r="C29" s="48">
        <v>0.0</v>
      </c>
      <c r="D29" s="70">
        <f>SUM(B29:C29)</f>
        <v>124</v>
      </c>
      <c r="E29" s="72">
        <v>134.0</v>
      </c>
      <c r="F29" s="158">
        <v>55.0</v>
      </c>
      <c r="G29" s="48">
        <v>0.0</v>
      </c>
      <c r="H29" s="70">
        <f>SUM(F29:G29)</f>
        <v>55</v>
      </c>
      <c r="I29" s="72">
        <v>78.0</v>
      </c>
      <c r="J29" s="158">
        <v>230.0</v>
      </c>
      <c r="K29" s="158">
        <v>0.0</v>
      </c>
      <c r="L29" s="70">
        <v>0.0</v>
      </c>
      <c r="M29" s="72">
        <v>315.0</v>
      </c>
      <c r="N29" s="83"/>
      <c r="O29" s="84">
        <f t="shared" ref="O29:P29" si="64">J29+F29+B29</f>
        <v>409</v>
      </c>
      <c r="P29" s="84">
        <f t="shared" si="64"/>
        <v>0</v>
      </c>
      <c r="Q29" s="70">
        <f>P29+O29</f>
        <v>409</v>
      </c>
      <c r="R29" s="86">
        <f>M29+I29+E29</f>
        <v>527</v>
      </c>
      <c r="S29" s="119"/>
      <c r="U29" s="119">
        <v>46112.0</v>
      </c>
      <c r="V29" s="99" t="s">
        <v>46</v>
      </c>
      <c r="W29" s="37" t="s">
        <v>75</v>
      </c>
    </row>
    <row r="30">
      <c r="A30" s="161" t="s">
        <v>44</v>
      </c>
      <c r="B30" s="95">
        <f t="shared" ref="B30:M30" si="65">sum(B29)</f>
        <v>124</v>
      </c>
      <c r="C30" s="95">
        <f t="shared" si="65"/>
        <v>0</v>
      </c>
      <c r="D30" s="95">
        <f t="shared" si="65"/>
        <v>124</v>
      </c>
      <c r="E30" s="95">
        <f t="shared" si="65"/>
        <v>134</v>
      </c>
      <c r="F30" s="95">
        <f t="shared" si="65"/>
        <v>55</v>
      </c>
      <c r="G30" s="95">
        <f t="shared" si="65"/>
        <v>0</v>
      </c>
      <c r="H30" s="95">
        <f t="shared" si="65"/>
        <v>55</v>
      </c>
      <c r="I30" s="95">
        <f t="shared" si="65"/>
        <v>78</v>
      </c>
      <c r="J30" s="95">
        <f t="shared" si="65"/>
        <v>230</v>
      </c>
      <c r="K30" s="95">
        <f t="shared" si="65"/>
        <v>0</v>
      </c>
      <c r="L30" s="95">
        <f t="shared" si="65"/>
        <v>0</v>
      </c>
      <c r="M30" s="95">
        <f t="shared" si="65"/>
        <v>315</v>
      </c>
      <c r="N30" s="83"/>
      <c r="O30" s="95">
        <f t="shared" ref="O30:R30" si="66">sum(O29)</f>
        <v>409</v>
      </c>
      <c r="P30" s="95">
        <f t="shared" si="66"/>
        <v>0</v>
      </c>
      <c r="Q30" s="95">
        <f t="shared" si="66"/>
        <v>409</v>
      </c>
      <c r="R30" s="115">
        <f t="shared" si="66"/>
        <v>527</v>
      </c>
      <c r="V30" s="36"/>
    </row>
    <row r="31">
      <c r="A31" s="156" t="s">
        <v>51</v>
      </c>
      <c r="B31" s="48">
        <v>29.0</v>
      </c>
      <c r="C31" s="84">
        <v>0.0</v>
      </c>
      <c r="D31" s="70">
        <f>SUM(B31:C31)</f>
        <v>29</v>
      </c>
      <c r="E31" s="72">
        <v>26.0</v>
      </c>
      <c r="F31" s="158">
        <v>16.0</v>
      </c>
      <c r="G31" s="84"/>
      <c r="H31" s="70">
        <v>20.0</v>
      </c>
      <c r="I31" s="72">
        <v>15.0</v>
      </c>
      <c r="J31" s="158">
        <v>42.0</v>
      </c>
      <c r="K31" s="158">
        <v>0.0</v>
      </c>
      <c r="L31" s="70">
        <f>K31+J31</f>
        <v>42</v>
      </c>
      <c r="M31" s="72">
        <v>72.0</v>
      </c>
      <c r="N31" s="83"/>
      <c r="O31" s="84">
        <f>J31+F31+B31</f>
        <v>87</v>
      </c>
      <c r="P31" s="84">
        <f>C31+G31+K31</f>
        <v>0</v>
      </c>
      <c r="Q31" s="70">
        <f>P31+O31</f>
        <v>87</v>
      </c>
      <c r="R31" s="86">
        <f>M31+I31+E31</f>
        <v>113</v>
      </c>
      <c r="S31" s="119"/>
      <c r="U31" s="119">
        <v>46112.0</v>
      </c>
      <c r="V31" s="99" t="s">
        <v>56</v>
      </c>
      <c r="W31" s="191" t="s">
        <v>75</v>
      </c>
      <c r="X31" s="197"/>
    </row>
    <row r="32">
      <c r="A32" s="161" t="s">
        <v>54</v>
      </c>
      <c r="B32" s="95">
        <f t="shared" ref="B32:M32" si="67">sum(B31)</f>
        <v>29</v>
      </c>
      <c r="C32" s="95">
        <f t="shared" si="67"/>
        <v>0</v>
      </c>
      <c r="D32" s="95">
        <f t="shared" si="67"/>
        <v>29</v>
      </c>
      <c r="E32" s="95">
        <f t="shared" si="67"/>
        <v>26</v>
      </c>
      <c r="F32" s="95">
        <f t="shared" si="67"/>
        <v>16</v>
      </c>
      <c r="G32" s="95">
        <f t="shared" si="67"/>
        <v>0</v>
      </c>
      <c r="H32" s="95">
        <f t="shared" si="67"/>
        <v>20</v>
      </c>
      <c r="I32" s="95">
        <f t="shared" si="67"/>
        <v>15</v>
      </c>
      <c r="J32" s="95">
        <f t="shared" si="67"/>
        <v>42</v>
      </c>
      <c r="K32" s="95">
        <f t="shared" si="67"/>
        <v>0</v>
      </c>
      <c r="L32" s="95">
        <f t="shared" si="67"/>
        <v>42</v>
      </c>
      <c r="M32" s="95">
        <f t="shared" si="67"/>
        <v>72</v>
      </c>
      <c r="N32" s="83"/>
      <c r="O32" s="95">
        <f t="shared" ref="O32:R32" si="68">sum(O31)</f>
        <v>87</v>
      </c>
      <c r="P32" s="95">
        <f t="shared" si="68"/>
        <v>0</v>
      </c>
      <c r="Q32" s="95">
        <f t="shared" si="68"/>
        <v>87</v>
      </c>
      <c r="R32" s="115">
        <f t="shared" si="68"/>
        <v>113</v>
      </c>
      <c r="V32" s="36"/>
    </row>
    <row r="33">
      <c r="A33" s="156" t="s">
        <v>55</v>
      </c>
      <c r="B33" s="48">
        <v>34.0</v>
      </c>
      <c r="C33" s="84">
        <v>0.0</v>
      </c>
      <c r="D33" s="70">
        <f>SUM(B33:C33)</f>
        <v>34</v>
      </c>
      <c r="E33" s="72">
        <v>20.0</v>
      </c>
      <c r="F33" s="158">
        <v>89.0</v>
      </c>
      <c r="G33" s="84">
        <v>0.0</v>
      </c>
      <c r="H33" s="70">
        <f>SUM(F33:G33)</f>
        <v>89</v>
      </c>
      <c r="I33" s="72">
        <v>12.0</v>
      </c>
      <c r="J33" s="158">
        <v>110.0</v>
      </c>
      <c r="K33" s="158">
        <v>0.0</v>
      </c>
      <c r="L33" s="70">
        <f>K33+J33</f>
        <v>110</v>
      </c>
      <c r="M33" s="72">
        <v>79.0</v>
      </c>
      <c r="N33" s="83"/>
      <c r="O33" s="84">
        <f t="shared" ref="O33:P33" si="69">J33+F33+B33</f>
        <v>233</v>
      </c>
      <c r="P33" s="84">
        <f t="shared" si="69"/>
        <v>0</v>
      </c>
      <c r="Q33" s="70">
        <f>P33+O33</f>
        <v>233</v>
      </c>
      <c r="R33" s="86">
        <f>M33+I33+E33</f>
        <v>111</v>
      </c>
      <c r="S33" s="119"/>
      <c r="U33" s="37" t="s">
        <v>83</v>
      </c>
      <c r="V33" s="99" t="s">
        <v>81</v>
      </c>
      <c r="W33" s="37" t="s">
        <v>75</v>
      </c>
    </row>
    <row r="34">
      <c r="A34" s="161" t="s">
        <v>59</v>
      </c>
      <c r="B34" s="95">
        <f t="shared" ref="B34:M34" si="70">sum(B33)</f>
        <v>34</v>
      </c>
      <c r="C34" s="95">
        <f t="shared" si="70"/>
        <v>0</v>
      </c>
      <c r="D34" s="95">
        <f t="shared" si="70"/>
        <v>34</v>
      </c>
      <c r="E34" s="95">
        <f t="shared" si="70"/>
        <v>20</v>
      </c>
      <c r="F34" s="95">
        <f t="shared" si="70"/>
        <v>89</v>
      </c>
      <c r="G34" s="95">
        <f t="shared" si="70"/>
        <v>0</v>
      </c>
      <c r="H34" s="95">
        <f t="shared" si="70"/>
        <v>89</v>
      </c>
      <c r="I34" s="95">
        <f t="shared" si="70"/>
        <v>12</v>
      </c>
      <c r="J34" s="95">
        <f t="shared" si="70"/>
        <v>110</v>
      </c>
      <c r="K34" s="95">
        <f t="shared" si="70"/>
        <v>0</v>
      </c>
      <c r="L34" s="95">
        <f t="shared" si="70"/>
        <v>110</v>
      </c>
      <c r="M34" s="95">
        <f t="shared" si="70"/>
        <v>79</v>
      </c>
      <c r="N34" s="83"/>
      <c r="O34" s="95">
        <f t="shared" ref="O34:R34" si="71">sum(O33)</f>
        <v>233</v>
      </c>
      <c r="P34" s="95">
        <f t="shared" si="71"/>
        <v>0</v>
      </c>
      <c r="Q34" s="95">
        <f t="shared" si="71"/>
        <v>233</v>
      </c>
      <c r="R34" s="115">
        <f t="shared" si="71"/>
        <v>111</v>
      </c>
      <c r="U34" s="119"/>
      <c r="V34" s="99"/>
    </row>
    <row r="35">
      <c r="A35" s="161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83"/>
      <c r="O35" s="120"/>
      <c r="P35" s="120"/>
      <c r="Q35" s="120"/>
      <c r="R35" s="137"/>
    </row>
    <row r="36">
      <c r="A36" s="39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37"/>
    </row>
    <row r="37">
      <c r="A37" s="165" t="s">
        <v>13</v>
      </c>
      <c r="B37" s="123">
        <f t="shared" ref="B37:M37" si="72">B34+B32+B30</f>
        <v>187</v>
      </c>
      <c r="C37" s="123">
        <f t="shared" si="72"/>
        <v>0</v>
      </c>
      <c r="D37" s="123">
        <f t="shared" si="72"/>
        <v>187</v>
      </c>
      <c r="E37" s="123">
        <f t="shared" si="72"/>
        <v>180</v>
      </c>
      <c r="F37" s="123">
        <f t="shared" si="72"/>
        <v>160</v>
      </c>
      <c r="G37" s="123">
        <f t="shared" si="72"/>
        <v>0</v>
      </c>
      <c r="H37" s="123">
        <f t="shared" si="72"/>
        <v>164</v>
      </c>
      <c r="I37" s="123">
        <f t="shared" si="72"/>
        <v>105</v>
      </c>
      <c r="J37" s="123">
        <f t="shared" si="72"/>
        <v>382</v>
      </c>
      <c r="K37" s="123">
        <f t="shared" si="72"/>
        <v>0</v>
      </c>
      <c r="L37" s="123">
        <f t="shared" si="72"/>
        <v>152</v>
      </c>
      <c r="M37" s="123">
        <f t="shared" si="72"/>
        <v>466</v>
      </c>
      <c r="N37" s="166"/>
      <c r="O37" s="123">
        <f t="shared" ref="O37:R37" si="73">O34+O32+O30</f>
        <v>729</v>
      </c>
      <c r="P37" s="123">
        <f t="shared" si="73"/>
        <v>0</v>
      </c>
      <c r="Q37" s="123">
        <f t="shared" si="73"/>
        <v>729</v>
      </c>
      <c r="R37" s="125">
        <f t="shared" si="73"/>
        <v>751</v>
      </c>
    </row>
    <row r="39">
      <c r="O39" s="18"/>
      <c r="P39" s="160"/>
    </row>
    <row r="41">
      <c r="A41" s="198" t="s">
        <v>71</v>
      </c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70"/>
      <c r="N41" s="160" t="s">
        <v>3</v>
      </c>
    </row>
    <row r="42">
      <c r="A42" s="22"/>
      <c r="B42" s="194"/>
      <c r="D42" s="194"/>
      <c r="E42" s="178" t="str">
        <f>'2026 - Q1'!F27</f>
        <v>FEB</v>
      </c>
      <c r="H42" s="178"/>
      <c r="I42" s="178" t="str">
        <f>'2026 - Q1'!J27</f>
        <v>MAR</v>
      </c>
      <c r="L42" s="178" t="s">
        <v>13</v>
      </c>
      <c r="M42" s="199"/>
      <c r="N42" s="36"/>
    </row>
    <row r="43">
      <c r="A43" s="47"/>
      <c r="B43" s="179" t="s">
        <v>24</v>
      </c>
      <c r="C43" s="179" t="s">
        <v>27</v>
      </c>
      <c r="D43" s="179"/>
      <c r="E43" s="179" t="s">
        <v>24</v>
      </c>
      <c r="F43" s="179" t="s">
        <v>27</v>
      </c>
      <c r="G43" s="179"/>
      <c r="H43" s="179"/>
      <c r="I43" s="179" t="s">
        <v>24</v>
      </c>
      <c r="J43" s="179" t="s">
        <v>27</v>
      </c>
      <c r="K43" s="179"/>
      <c r="L43" s="179" t="s">
        <v>24</v>
      </c>
      <c r="M43" s="181" t="s">
        <v>27</v>
      </c>
      <c r="N43" s="36"/>
    </row>
    <row r="44">
      <c r="A44" s="62" t="s">
        <v>36</v>
      </c>
      <c r="B44" s="48">
        <v>53.0</v>
      </c>
      <c r="C44" s="72">
        <v>66.0</v>
      </c>
      <c r="D44" s="76">
        <f t="shared" ref="D44:D57" si="75">B44/C44</f>
        <v>0.803030303</v>
      </c>
      <c r="E44" s="48">
        <v>67.0</v>
      </c>
      <c r="F44" s="72">
        <v>61.0</v>
      </c>
      <c r="G44" s="76">
        <f t="shared" ref="G44:G57" si="76">E44/F44</f>
        <v>1.098360656</v>
      </c>
      <c r="H44" s="48"/>
      <c r="I44" s="48">
        <v>58.0</v>
      </c>
      <c r="J44" s="72">
        <v>64.0</v>
      </c>
      <c r="K44" s="76">
        <f t="shared" ref="K44:K57" si="77">I44/J44</f>
        <v>0.90625</v>
      </c>
      <c r="L44" s="84">
        <f t="shared" ref="L44:M44" si="74">I44+E44+B44</f>
        <v>178</v>
      </c>
      <c r="M44" s="86">
        <f t="shared" si="74"/>
        <v>191</v>
      </c>
      <c r="N44" s="99" t="s">
        <v>46</v>
      </c>
      <c r="O44" s="98">
        <v>46112.0</v>
      </c>
    </row>
    <row r="45">
      <c r="A45" s="62" t="s">
        <v>40</v>
      </c>
      <c r="B45" s="48">
        <v>40.0</v>
      </c>
      <c r="C45" s="72">
        <v>57.0</v>
      </c>
      <c r="D45" s="76">
        <f t="shared" si="75"/>
        <v>0.701754386</v>
      </c>
      <c r="E45" s="48">
        <v>39.0</v>
      </c>
      <c r="F45" s="72">
        <v>53.0</v>
      </c>
      <c r="G45" s="76">
        <f t="shared" si="76"/>
        <v>0.7358490566</v>
      </c>
      <c r="H45" s="48"/>
      <c r="I45" s="48">
        <v>47.0</v>
      </c>
      <c r="J45" s="72">
        <v>56.0</v>
      </c>
      <c r="K45" s="76">
        <f t="shared" si="77"/>
        <v>0.8392857143</v>
      </c>
      <c r="L45" s="84">
        <f t="shared" ref="L45:M45" si="78">I45+E45+B45</f>
        <v>126</v>
      </c>
      <c r="M45" s="86">
        <f t="shared" si="78"/>
        <v>166</v>
      </c>
      <c r="N45" s="99" t="s">
        <v>46</v>
      </c>
      <c r="O45" s="98">
        <v>46112.0</v>
      </c>
    </row>
    <row r="46">
      <c r="A46" s="62" t="s">
        <v>41</v>
      </c>
      <c r="B46" s="48">
        <v>48.0</v>
      </c>
      <c r="C46" s="72">
        <v>53.0</v>
      </c>
      <c r="D46" s="76">
        <f t="shared" si="75"/>
        <v>0.9056603774</v>
      </c>
      <c r="E46" s="48">
        <v>56.0</v>
      </c>
      <c r="F46" s="72">
        <v>50.0</v>
      </c>
      <c r="G46" s="76">
        <f t="shared" si="76"/>
        <v>1.12</v>
      </c>
      <c r="H46" s="48"/>
      <c r="I46" s="48">
        <v>54.0</v>
      </c>
      <c r="J46" s="72">
        <v>51.0</v>
      </c>
      <c r="K46" s="76">
        <f t="shared" si="77"/>
        <v>1.058823529</v>
      </c>
      <c r="L46" s="84">
        <f t="shared" ref="L46:M46" si="79">I46+E46+B46</f>
        <v>158</v>
      </c>
      <c r="M46" s="86">
        <f t="shared" si="79"/>
        <v>154</v>
      </c>
      <c r="N46" s="99" t="s">
        <v>46</v>
      </c>
      <c r="O46" s="98">
        <v>46112.0</v>
      </c>
    </row>
    <row r="47">
      <c r="A47" s="62" t="s">
        <v>49</v>
      </c>
      <c r="B47" s="87">
        <v>55.0</v>
      </c>
      <c r="C47" s="72">
        <v>63.0</v>
      </c>
      <c r="D47" s="76">
        <f t="shared" si="75"/>
        <v>0.873015873</v>
      </c>
      <c r="E47" s="48">
        <v>46.0</v>
      </c>
      <c r="F47" s="72">
        <v>59.0</v>
      </c>
      <c r="G47" s="76">
        <f t="shared" si="76"/>
        <v>0.7796610169</v>
      </c>
      <c r="H47" s="48"/>
      <c r="I47" s="48">
        <v>61.0</v>
      </c>
      <c r="J47" s="72">
        <v>61.0</v>
      </c>
      <c r="K47" s="76">
        <f t="shared" si="77"/>
        <v>1</v>
      </c>
      <c r="L47" s="84">
        <f t="shared" ref="L47:M47" si="80">I47+E47+B47</f>
        <v>162</v>
      </c>
      <c r="M47" s="86">
        <f t="shared" si="80"/>
        <v>183</v>
      </c>
      <c r="N47" s="99" t="s">
        <v>46</v>
      </c>
      <c r="O47" s="98">
        <v>46112.0</v>
      </c>
    </row>
    <row r="48">
      <c r="A48" s="112" t="s">
        <v>44</v>
      </c>
      <c r="B48" s="95">
        <f t="shared" ref="B48:C48" si="81">sum(B44:B47)</f>
        <v>196</v>
      </c>
      <c r="C48" s="95">
        <f t="shared" si="81"/>
        <v>239</v>
      </c>
      <c r="D48" s="76">
        <f t="shared" si="75"/>
        <v>0.820083682</v>
      </c>
      <c r="E48" s="95">
        <f t="shared" ref="E48:F48" si="82">sum(E44:E47)</f>
        <v>208</v>
      </c>
      <c r="F48" s="95">
        <f t="shared" si="82"/>
        <v>223</v>
      </c>
      <c r="G48" s="76">
        <f t="shared" si="76"/>
        <v>0.932735426</v>
      </c>
      <c r="H48" s="200"/>
      <c r="I48" s="95">
        <f t="shared" ref="I48:J48" si="83">sum(I44:I47)</f>
        <v>220</v>
      </c>
      <c r="J48" s="95">
        <f t="shared" si="83"/>
        <v>232</v>
      </c>
      <c r="K48" s="76">
        <f t="shared" si="77"/>
        <v>0.9482758621</v>
      </c>
      <c r="L48" s="95">
        <f t="shared" ref="L48:M48" si="84">sum(L44:L47)</f>
        <v>624</v>
      </c>
      <c r="M48" s="115">
        <f t="shared" si="84"/>
        <v>694</v>
      </c>
      <c r="N48" s="177">
        <f>L48/M48</f>
        <v>0.8991354467</v>
      </c>
      <c r="P48" s="66">
        <f>L48-M48</f>
        <v>-70</v>
      </c>
    </row>
    <row r="49">
      <c r="A49" s="62" t="s">
        <v>52</v>
      </c>
      <c r="B49" s="84">
        <v>49.0</v>
      </c>
      <c r="C49" s="72">
        <v>53.0</v>
      </c>
      <c r="D49" s="76">
        <f t="shared" si="75"/>
        <v>0.9245283019</v>
      </c>
      <c r="E49" s="48">
        <v>35.0</v>
      </c>
      <c r="F49" s="72">
        <v>50.0</v>
      </c>
      <c r="G49" s="76">
        <f t="shared" si="76"/>
        <v>0.7</v>
      </c>
      <c r="H49" s="48"/>
      <c r="I49" s="48">
        <v>49.0</v>
      </c>
      <c r="J49" s="72">
        <v>51.0</v>
      </c>
      <c r="K49" s="76">
        <f t="shared" si="77"/>
        <v>0.9607843137</v>
      </c>
      <c r="L49" s="84">
        <f t="shared" ref="L49:M49" si="85">I49+E49+B49</f>
        <v>133</v>
      </c>
      <c r="M49" s="86">
        <f t="shared" si="85"/>
        <v>154</v>
      </c>
      <c r="N49" s="99" t="s">
        <v>56</v>
      </c>
      <c r="O49" s="119">
        <v>46112.0</v>
      </c>
    </row>
    <row r="50">
      <c r="A50" s="62" t="s">
        <v>51</v>
      </c>
      <c r="B50" s="84">
        <v>33.0</v>
      </c>
      <c r="C50" s="72">
        <v>47.0</v>
      </c>
      <c r="D50" s="76">
        <f t="shared" si="75"/>
        <v>0.7021276596</v>
      </c>
      <c r="E50" s="48">
        <v>36.0</v>
      </c>
      <c r="F50" s="72">
        <v>44.0</v>
      </c>
      <c r="G50" s="76">
        <f t="shared" si="76"/>
        <v>0.8181818182</v>
      </c>
      <c r="H50" s="48"/>
      <c r="I50" s="48">
        <v>35.0</v>
      </c>
      <c r="J50" s="72">
        <v>45.0</v>
      </c>
      <c r="K50" s="76">
        <f t="shared" si="77"/>
        <v>0.7777777778</v>
      </c>
      <c r="L50" s="84">
        <f t="shared" ref="L50:M50" si="86">I50+E50+B50</f>
        <v>104</v>
      </c>
      <c r="M50" s="86">
        <f t="shared" si="86"/>
        <v>136</v>
      </c>
      <c r="N50" s="99" t="s">
        <v>56</v>
      </c>
      <c r="O50" s="119">
        <v>46112.0</v>
      </c>
    </row>
    <row r="51">
      <c r="A51" s="62" t="s">
        <v>47</v>
      </c>
      <c r="B51" s="84">
        <v>60.0</v>
      </c>
      <c r="C51" s="72">
        <v>49.0</v>
      </c>
      <c r="D51" s="76">
        <f t="shared" si="75"/>
        <v>1.224489796</v>
      </c>
      <c r="E51" s="48">
        <v>35.0</v>
      </c>
      <c r="F51" s="72">
        <v>46.0</v>
      </c>
      <c r="G51" s="76">
        <f t="shared" si="76"/>
        <v>0.7608695652</v>
      </c>
      <c r="H51" s="48"/>
      <c r="I51" s="48">
        <v>56.0</v>
      </c>
      <c r="J51" s="72">
        <v>48.0</v>
      </c>
      <c r="K51" s="76">
        <f t="shared" si="77"/>
        <v>1.166666667</v>
      </c>
      <c r="L51" s="84">
        <f t="shared" ref="L51:M51" si="87">I51+E51+B51</f>
        <v>151</v>
      </c>
      <c r="M51" s="86">
        <f t="shared" si="87"/>
        <v>143</v>
      </c>
      <c r="N51" s="99" t="s">
        <v>56</v>
      </c>
      <c r="O51" s="119">
        <v>46112.0</v>
      </c>
    </row>
    <row r="52">
      <c r="A52" s="62" t="s">
        <v>53</v>
      </c>
      <c r="B52" s="84">
        <v>64.0</v>
      </c>
      <c r="C52" s="72">
        <v>95.0</v>
      </c>
      <c r="D52" s="76">
        <f t="shared" si="75"/>
        <v>0.6736842105</v>
      </c>
      <c r="E52" s="48">
        <v>71.0</v>
      </c>
      <c r="F52" s="72">
        <v>89.0</v>
      </c>
      <c r="G52" s="76">
        <f t="shared" si="76"/>
        <v>0.797752809</v>
      </c>
      <c r="H52" s="48"/>
      <c r="I52" s="48">
        <v>100.0</v>
      </c>
      <c r="J52" s="72">
        <v>92.0</v>
      </c>
      <c r="K52" s="76">
        <f t="shared" si="77"/>
        <v>1.086956522</v>
      </c>
      <c r="L52" s="84">
        <f t="shared" ref="L52:M52" si="88">I52+E52+B52</f>
        <v>235</v>
      </c>
      <c r="M52" s="86">
        <f t="shared" si="88"/>
        <v>276</v>
      </c>
      <c r="N52" s="99" t="s">
        <v>56</v>
      </c>
      <c r="O52" s="119">
        <v>46112.0</v>
      </c>
    </row>
    <row r="53">
      <c r="A53" s="112" t="s">
        <v>54</v>
      </c>
      <c r="B53" s="95">
        <f t="shared" ref="B53:C53" si="89">sum(B49:B52)</f>
        <v>206</v>
      </c>
      <c r="C53" s="95">
        <f t="shared" si="89"/>
        <v>244</v>
      </c>
      <c r="D53" s="76">
        <f t="shared" si="75"/>
        <v>0.8442622951</v>
      </c>
      <c r="E53" s="95">
        <f t="shared" ref="E53:F53" si="90">sum(E49:E52)</f>
        <v>177</v>
      </c>
      <c r="F53" s="95">
        <f t="shared" si="90"/>
        <v>229</v>
      </c>
      <c r="G53" s="76">
        <f t="shared" si="76"/>
        <v>0.7729257642</v>
      </c>
      <c r="H53" s="200"/>
      <c r="I53" s="95">
        <f t="shared" ref="I53:J53" si="91">sum(I49:I52)</f>
        <v>240</v>
      </c>
      <c r="J53" s="95">
        <f t="shared" si="91"/>
        <v>236</v>
      </c>
      <c r="K53" s="76">
        <f t="shared" si="77"/>
        <v>1.016949153</v>
      </c>
      <c r="L53" s="95">
        <f t="shared" ref="L53:M53" si="92">sum(L49:L52)</f>
        <v>623</v>
      </c>
      <c r="M53" s="115">
        <f t="shared" si="92"/>
        <v>709</v>
      </c>
      <c r="N53" s="177">
        <f>L53/M53</f>
        <v>0.8787023977</v>
      </c>
      <c r="P53" s="66">
        <f>L53-M53</f>
        <v>-86</v>
      </c>
    </row>
    <row r="54">
      <c r="A54" s="62" t="s">
        <v>55</v>
      </c>
      <c r="B54" s="84">
        <v>27.0</v>
      </c>
      <c r="C54" s="72">
        <v>38.0</v>
      </c>
      <c r="D54" s="76">
        <f t="shared" si="75"/>
        <v>0.7105263158</v>
      </c>
      <c r="E54" s="48">
        <v>31.0</v>
      </c>
      <c r="F54" s="72">
        <v>35.0</v>
      </c>
      <c r="G54" s="76">
        <f t="shared" si="76"/>
        <v>0.8857142857</v>
      </c>
      <c r="H54" s="48"/>
      <c r="I54" s="48">
        <v>30.0</v>
      </c>
      <c r="J54" s="72">
        <v>36.0</v>
      </c>
      <c r="K54" s="76">
        <f t="shared" si="77"/>
        <v>0.8333333333</v>
      </c>
      <c r="L54" s="84">
        <f t="shared" ref="L54:M54" si="93">I54+E54+B54</f>
        <v>88</v>
      </c>
      <c r="M54" s="86">
        <f t="shared" si="93"/>
        <v>109</v>
      </c>
      <c r="N54" s="99" t="s">
        <v>81</v>
      </c>
      <c r="O54" s="119">
        <v>46112.0</v>
      </c>
    </row>
    <row r="55">
      <c r="A55" s="62" t="s">
        <v>57</v>
      </c>
      <c r="B55" s="84">
        <v>38.0</v>
      </c>
      <c r="C55" s="72">
        <v>50.0</v>
      </c>
      <c r="D55" s="76">
        <f t="shared" si="75"/>
        <v>0.76</v>
      </c>
      <c r="E55" s="48">
        <v>43.0</v>
      </c>
      <c r="F55" s="72">
        <v>46.0</v>
      </c>
      <c r="G55" s="76">
        <f t="shared" si="76"/>
        <v>0.9347826087</v>
      </c>
      <c r="H55" s="48"/>
      <c r="I55" s="48">
        <v>41.0</v>
      </c>
      <c r="J55" s="72">
        <v>48.0</v>
      </c>
      <c r="K55" s="76">
        <f t="shared" si="77"/>
        <v>0.8541666667</v>
      </c>
      <c r="L55" s="84">
        <f t="shared" ref="L55:M55" si="94">I55+E55+B55</f>
        <v>122</v>
      </c>
      <c r="M55" s="86">
        <f t="shared" si="94"/>
        <v>144</v>
      </c>
      <c r="N55" s="99" t="s">
        <v>81</v>
      </c>
      <c r="O55" s="119">
        <v>46112.0</v>
      </c>
    </row>
    <row r="56">
      <c r="A56" s="62" t="s">
        <v>58</v>
      </c>
      <c r="B56" s="84">
        <v>27.0</v>
      </c>
      <c r="C56" s="72">
        <v>23.0</v>
      </c>
      <c r="D56" s="76">
        <f t="shared" si="75"/>
        <v>1.173913043</v>
      </c>
      <c r="E56" s="48">
        <v>25.0</v>
      </c>
      <c r="F56" s="72">
        <v>21.0</v>
      </c>
      <c r="G56" s="76">
        <f t="shared" si="76"/>
        <v>1.19047619</v>
      </c>
      <c r="H56" s="48"/>
      <c r="I56" s="48">
        <v>28.0</v>
      </c>
      <c r="J56" s="72">
        <v>22.0</v>
      </c>
      <c r="K56" s="76">
        <f t="shared" si="77"/>
        <v>1.272727273</v>
      </c>
      <c r="L56" s="84">
        <f t="shared" ref="L56:M56" si="95">I56+E56+B56</f>
        <v>80</v>
      </c>
      <c r="M56" s="86">
        <f t="shared" si="95"/>
        <v>66</v>
      </c>
      <c r="N56" s="99" t="s">
        <v>81</v>
      </c>
      <c r="O56" s="119">
        <v>46112.0</v>
      </c>
    </row>
    <row r="57">
      <c r="A57" s="112" t="s">
        <v>59</v>
      </c>
      <c r="B57" s="95">
        <f t="shared" ref="B57:C57" si="96">sum(B54:B56)</f>
        <v>92</v>
      </c>
      <c r="C57" s="95">
        <f t="shared" si="96"/>
        <v>111</v>
      </c>
      <c r="D57" s="76">
        <f t="shared" si="75"/>
        <v>0.8288288288</v>
      </c>
      <c r="E57" s="95">
        <f t="shared" ref="E57:F57" si="97">sum(E54:E56)</f>
        <v>99</v>
      </c>
      <c r="F57" s="95">
        <f t="shared" si="97"/>
        <v>102</v>
      </c>
      <c r="G57" s="76">
        <f t="shared" si="76"/>
        <v>0.9705882353</v>
      </c>
      <c r="H57" s="200"/>
      <c r="I57" s="95">
        <f t="shared" ref="I57:J57" si="98">sum(I54:I56)</f>
        <v>99</v>
      </c>
      <c r="J57" s="95">
        <f t="shared" si="98"/>
        <v>106</v>
      </c>
      <c r="K57" s="76">
        <f t="shared" si="77"/>
        <v>0.9339622642</v>
      </c>
      <c r="L57" s="95">
        <f t="shared" ref="L57:M57" si="99">sum(L54:L56)</f>
        <v>290</v>
      </c>
      <c r="M57" s="115">
        <f t="shared" si="99"/>
        <v>319</v>
      </c>
      <c r="N57" s="177">
        <f>L57/M57</f>
        <v>0.9090909091</v>
      </c>
      <c r="P57" s="66">
        <f>L57-M57</f>
        <v>-29</v>
      </c>
    </row>
    <row r="58">
      <c r="A58" s="112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37"/>
      <c r="N58" s="36"/>
    </row>
    <row r="59">
      <c r="A59" s="141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37"/>
    </row>
    <row r="60">
      <c r="A60" s="143" t="s">
        <v>13</v>
      </c>
      <c r="B60" s="144">
        <f t="shared" ref="B60:C60" si="100">B57+B53+B48</f>
        <v>494</v>
      </c>
      <c r="C60" s="144">
        <f t="shared" si="100"/>
        <v>594</v>
      </c>
      <c r="D60" s="146">
        <f>B60/C60</f>
        <v>0.8316498316</v>
      </c>
      <c r="E60" s="144">
        <f t="shared" ref="E60:F60" si="101">E57+E53+E48</f>
        <v>484</v>
      </c>
      <c r="F60" s="144">
        <f t="shared" si="101"/>
        <v>554</v>
      </c>
      <c r="G60" s="146">
        <f>E60/F60</f>
        <v>0.8736462094</v>
      </c>
      <c r="H60" s="201"/>
      <c r="I60" s="144">
        <f t="shared" ref="I60:J60" si="102">I57+I53+I48</f>
        <v>559</v>
      </c>
      <c r="J60" s="144">
        <f t="shared" si="102"/>
        <v>574</v>
      </c>
      <c r="K60" s="146">
        <f>I60/J60</f>
        <v>0.9738675958</v>
      </c>
      <c r="L60" s="144">
        <f t="shared" ref="L60:M60" si="103">L57+L53+L48</f>
        <v>1537</v>
      </c>
      <c r="M60" s="150">
        <f t="shared" si="103"/>
        <v>1722</v>
      </c>
      <c r="N60" s="177">
        <f>L60/M60</f>
        <v>0.8925667828</v>
      </c>
      <c r="P60" s="69">
        <f>M60-L60</f>
        <v>185</v>
      </c>
      <c r="Q60" s="66">
        <f>P60/1.2</f>
        <v>154.1666667</v>
      </c>
    </row>
  </sheetData>
  <mergeCells count="14">
    <mergeCell ref="F27:I27"/>
    <mergeCell ref="J27:M27"/>
    <mergeCell ref="A41:M41"/>
    <mergeCell ref="B42:C42"/>
    <mergeCell ref="E42:G42"/>
    <mergeCell ref="I42:K42"/>
    <mergeCell ref="A3:V3"/>
    <mergeCell ref="B4:E4"/>
    <mergeCell ref="G4:K4"/>
    <mergeCell ref="L4:P4"/>
    <mergeCell ref="S4:V4"/>
    <mergeCell ref="A26:R26"/>
    <mergeCell ref="B27:E27"/>
    <mergeCell ref="O27:R27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10" width="11.38"/>
    <col customWidth="1" min="11" max="11" width="11.0"/>
    <col customWidth="1" min="12" max="13" width="8.5"/>
    <col customWidth="1" min="14" max="14" width="9.38"/>
    <col customWidth="1" min="15" max="17" width="9.75"/>
    <col customWidth="1" min="18" max="18" width="9.25"/>
    <col customWidth="1" min="19" max="19" width="9.88"/>
    <col customWidth="1" min="20" max="20" width="9.38"/>
    <col customWidth="1" min="21" max="21" width="7.13"/>
    <col customWidth="1" min="22" max="22" width="10.13"/>
    <col customWidth="1" min="23" max="23" width="9.0"/>
    <col customWidth="1" min="24" max="24" width="11.38"/>
    <col customWidth="1" min="25" max="25" width="5.88"/>
    <col customWidth="1" min="26" max="26" width="7.13"/>
    <col customWidth="1" min="27" max="27" width="9.88"/>
    <col customWidth="1" hidden="1" min="28" max="28" width="9.88"/>
    <col customWidth="1" hidden="1" min="29" max="29" width="7.75"/>
    <col customWidth="1" min="34" max="36" width="8.75"/>
    <col customWidth="1" min="37" max="37" width="10.5"/>
    <col customWidth="1" min="38" max="52" width="8.75"/>
  </cols>
  <sheetData>
    <row r="1">
      <c r="A1" s="4" t="s">
        <v>0</v>
      </c>
      <c r="AE1" s="7"/>
    </row>
    <row r="3">
      <c r="A3" s="175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10"/>
      <c r="Z3" s="12"/>
      <c r="AA3" s="13"/>
      <c r="AB3" s="13"/>
      <c r="AC3" s="14"/>
      <c r="AD3" s="16"/>
      <c r="AE3" s="18" t="s">
        <v>2</v>
      </c>
      <c r="AF3" s="160" t="s">
        <v>3</v>
      </c>
    </row>
    <row r="4">
      <c r="A4" s="22"/>
      <c r="B4" s="194"/>
      <c r="C4" s="163" t="s">
        <v>29</v>
      </c>
      <c r="D4" s="30"/>
      <c r="E4" s="30"/>
      <c r="F4" s="30"/>
      <c r="G4" s="164"/>
      <c r="H4" s="164" t="s">
        <v>30</v>
      </c>
      <c r="I4" s="30"/>
      <c r="J4" s="30"/>
      <c r="K4" s="30"/>
      <c r="L4" s="30"/>
      <c r="M4" s="164"/>
      <c r="N4" s="164" t="s">
        <v>32</v>
      </c>
      <c r="O4" s="30"/>
      <c r="P4" s="30"/>
      <c r="Q4" s="30"/>
      <c r="R4" s="30"/>
      <c r="S4" s="30"/>
      <c r="T4" s="36"/>
      <c r="U4" s="178"/>
      <c r="V4" s="164" t="s">
        <v>13</v>
      </c>
      <c r="W4" s="30"/>
      <c r="X4" s="30"/>
      <c r="Y4" s="42"/>
      <c r="Z4" s="25"/>
      <c r="AA4" s="25"/>
      <c r="AB4" s="25"/>
      <c r="AD4" s="44"/>
      <c r="AF4" s="36"/>
    </row>
    <row r="5">
      <c r="A5" s="47"/>
      <c r="B5" s="179" t="s">
        <v>12</v>
      </c>
      <c r="C5" s="179" t="s">
        <v>24</v>
      </c>
      <c r="D5" s="179" t="s">
        <v>25</v>
      </c>
      <c r="E5" s="179" t="s">
        <v>26</v>
      </c>
      <c r="F5" s="179" t="s">
        <v>27</v>
      </c>
      <c r="G5" s="179"/>
      <c r="H5" s="179" t="s">
        <v>24</v>
      </c>
      <c r="I5" s="180" t="s">
        <v>28</v>
      </c>
      <c r="J5" s="179" t="s">
        <v>25</v>
      </c>
      <c r="K5" s="179" t="s">
        <v>26</v>
      </c>
      <c r="L5" s="179" t="s">
        <v>27</v>
      </c>
      <c r="M5" s="179"/>
      <c r="N5" s="179" t="s">
        <v>24</v>
      </c>
      <c r="O5" s="180" t="s">
        <v>28</v>
      </c>
      <c r="P5" s="179" t="s">
        <v>82</v>
      </c>
      <c r="Q5" s="179" t="s">
        <v>25</v>
      </c>
      <c r="R5" s="179" t="s">
        <v>26</v>
      </c>
      <c r="S5" s="179" t="s">
        <v>27</v>
      </c>
      <c r="T5" s="179"/>
      <c r="U5" s="179" t="s">
        <v>12</v>
      </c>
      <c r="V5" s="179" t="s">
        <v>24</v>
      </c>
      <c r="W5" s="179" t="s">
        <v>25</v>
      </c>
      <c r="X5" s="179" t="s">
        <v>26</v>
      </c>
      <c r="Y5" s="181" t="s">
        <v>27</v>
      </c>
      <c r="Z5" s="183" t="s">
        <v>31</v>
      </c>
      <c r="AA5" s="59" t="s">
        <v>33</v>
      </c>
      <c r="AB5" s="59" t="s">
        <v>34</v>
      </c>
      <c r="AC5" s="23" t="s">
        <v>14</v>
      </c>
      <c r="AD5" s="61" t="s">
        <v>35</v>
      </c>
      <c r="AF5" s="36"/>
    </row>
    <row r="6">
      <c r="A6" s="62" t="s">
        <v>36</v>
      </c>
      <c r="B6" s="195"/>
      <c r="C6" s="48">
        <v>24.0</v>
      </c>
      <c r="D6" s="48"/>
      <c r="E6" s="70">
        <f t="shared" ref="E6:E9" si="1">SUM(C6:D6)</f>
        <v>24</v>
      </c>
      <c r="F6" s="72">
        <v>31.0</v>
      </c>
      <c r="G6" s="76">
        <f t="shared" ref="G6:G19" si="2">E6/F6</f>
        <v>0.7741935484</v>
      </c>
      <c r="H6" s="48">
        <v>26.0</v>
      </c>
      <c r="I6" s="48">
        <v>4.0</v>
      </c>
      <c r="J6" s="48"/>
      <c r="K6" s="70">
        <f t="shared" ref="K6:K9" si="3">SUM(H6:J6)</f>
        <v>30</v>
      </c>
      <c r="L6" s="72">
        <v>29.0</v>
      </c>
      <c r="M6" s="76">
        <f t="shared" ref="M6:M19" si="4">K6/L6</f>
        <v>1.034482759</v>
      </c>
      <c r="N6" s="48">
        <v>21.0</v>
      </c>
      <c r="O6" s="48">
        <v>2.0</v>
      </c>
      <c r="P6" s="48"/>
      <c r="Q6" s="48"/>
      <c r="R6" s="70">
        <f t="shared" ref="R6:R9" si="5">SUM(N6:Q6)</f>
        <v>23</v>
      </c>
      <c r="S6" s="72">
        <v>30.0</v>
      </c>
      <c r="T6" s="76">
        <f t="shared" ref="T6:T19" si="6">R6/S6</f>
        <v>0.7666666667</v>
      </c>
      <c r="U6" s="83"/>
      <c r="V6" s="84">
        <f t="shared" ref="V6:V9" si="7">N6+H6+C6+O6+P6+I6</f>
        <v>77</v>
      </c>
      <c r="W6" s="84">
        <f t="shared" ref="W6:W9" si="8">Q6+J6+D6</f>
        <v>0</v>
      </c>
      <c r="X6" s="70">
        <f t="shared" ref="X6:X9" si="9">sum(U6:W6)</f>
        <v>77</v>
      </c>
      <c r="Y6" s="86">
        <f t="shared" ref="Y6:Y9" si="10">S6+L6+F6</f>
        <v>90</v>
      </c>
      <c r="Z6" s="88">
        <f t="shared" ref="Z6:Z9" si="11">Y6-X6</f>
        <v>13</v>
      </c>
      <c r="AA6" s="46">
        <f t="shared" ref="AA6:AA19" si="12">round(Z6/$AA$26*7,0)</f>
        <v>0</v>
      </c>
      <c r="AB6" s="46">
        <f t="shared" ref="AB6:AB9" si="13">W6+V6</f>
        <v>77</v>
      </c>
      <c r="AC6" s="84">
        <f t="shared" ref="AC6:AC9" si="14">Y6</f>
        <v>90</v>
      </c>
      <c r="AD6" s="96">
        <f t="shared" ref="AD6:AD9" si="15">(V6+W6)/Y6</f>
        <v>0.8555555556</v>
      </c>
      <c r="AE6" s="98">
        <v>46024.0</v>
      </c>
      <c r="AF6" s="99" t="s">
        <v>46</v>
      </c>
      <c r="AT6" s="36"/>
      <c r="AU6" s="36"/>
      <c r="AV6" s="36"/>
      <c r="AW6" s="36"/>
      <c r="AX6" s="36"/>
      <c r="AY6" s="36"/>
      <c r="AZ6" s="36"/>
      <c r="BA6" s="36"/>
      <c r="BB6" s="36"/>
    </row>
    <row r="7">
      <c r="A7" s="62" t="s">
        <v>40</v>
      </c>
      <c r="B7" s="195"/>
      <c r="C7" s="48">
        <v>26.0</v>
      </c>
      <c r="D7" s="48"/>
      <c r="E7" s="70">
        <f t="shared" si="1"/>
        <v>26</v>
      </c>
      <c r="F7" s="72">
        <v>26.0</v>
      </c>
      <c r="G7" s="76">
        <f t="shared" si="2"/>
        <v>1</v>
      </c>
      <c r="H7" s="48">
        <v>20.0</v>
      </c>
      <c r="I7" s="48">
        <v>3.0</v>
      </c>
      <c r="J7" s="48"/>
      <c r="K7" s="70">
        <f t="shared" si="3"/>
        <v>23</v>
      </c>
      <c r="L7" s="72">
        <v>26.0</v>
      </c>
      <c r="M7" s="76">
        <f t="shared" si="4"/>
        <v>0.8846153846</v>
      </c>
      <c r="N7" s="48">
        <v>13.0</v>
      </c>
      <c r="O7" s="48">
        <v>1.0</v>
      </c>
      <c r="P7" s="48"/>
      <c r="Q7" s="48"/>
      <c r="R7" s="70">
        <f t="shared" si="5"/>
        <v>14</v>
      </c>
      <c r="S7" s="72">
        <v>25.0</v>
      </c>
      <c r="T7" s="76">
        <f t="shared" si="6"/>
        <v>0.56</v>
      </c>
      <c r="U7" s="83"/>
      <c r="V7" s="84">
        <f t="shared" si="7"/>
        <v>63</v>
      </c>
      <c r="W7" s="84">
        <f t="shared" si="8"/>
        <v>0</v>
      </c>
      <c r="X7" s="70">
        <f t="shared" si="9"/>
        <v>63</v>
      </c>
      <c r="Y7" s="86">
        <f t="shared" si="10"/>
        <v>77</v>
      </c>
      <c r="Z7" s="88">
        <f t="shared" si="11"/>
        <v>14</v>
      </c>
      <c r="AA7" s="46">
        <f t="shared" si="12"/>
        <v>0</v>
      </c>
      <c r="AB7" s="46">
        <f t="shared" si="13"/>
        <v>63</v>
      </c>
      <c r="AC7" s="84">
        <f t="shared" si="14"/>
        <v>77</v>
      </c>
      <c r="AD7" s="96">
        <f t="shared" si="15"/>
        <v>0.8181818182</v>
      </c>
      <c r="AE7" s="98">
        <v>46024.0</v>
      </c>
      <c r="AF7" s="99" t="s">
        <v>46</v>
      </c>
      <c r="AT7" s="36"/>
      <c r="AU7" s="36"/>
      <c r="AV7" s="36"/>
      <c r="AW7" s="36"/>
      <c r="AX7" s="36"/>
      <c r="AY7" s="36"/>
      <c r="AZ7" s="36"/>
      <c r="BA7" s="36"/>
      <c r="BB7" s="36"/>
    </row>
    <row r="8">
      <c r="A8" s="62" t="s">
        <v>41</v>
      </c>
      <c r="B8" s="195"/>
      <c r="C8" s="48">
        <v>24.0</v>
      </c>
      <c r="D8" s="107">
        <v>2.0</v>
      </c>
      <c r="E8" s="70">
        <f t="shared" si="1"/>
        <v>26</v>
      </c>
      <c r="F8" s="72">
        <v>35.0</v>
      </c>
      <c r="G8" s="76">
        <f t="shared" si="2"/>
        <v>0.7428571429</v>
      </c>
      <c r="H8" s="48">
        <v>14.0</v>
      </c>
      <c r="I8" s="48">
        <v>3.0</v>
      </c>
      <c r="J8" s="48"/>
      <c r="K8" s="70">
        <f t="shared" si="3"/>
        <v>17</v>
      </c>
      <c r="L8" s="72">
        <v>31.0</v>
      </c>
      <c r="M8" s="76">
        <f t="shared" si="4"/>
        <v>0.5483870968</v>
      </c>
      <c r="N8" s="48">
        <v>18.0</v>
      </c>
      <c r="O8" s="48">
        <v>1.0</v>
      </c>
      <c r="P8" s="48"/>
      <c r="Q8" s="48"/>
      <c r="R8" s="70">
        <f t="shared" si="5"/>
        <v>19</v>
      </c>
      <c r="S8" s="72">
        <v>30.0</v>
      </c>
      <c r="T8" s="76">
        <f t="shared" si="6"/>
        <v>0.6333333333</v>
      </c>
      <c r="U8" s="83"/>
      <c r="V8" s="84">
        <f t="shared" si="7"/>
        <v>60</v>
      </c>
      <c r="W8" s="84">
        <f t="shared" si="8"/>
        <v>2</v>
      </c>
      <c r="X8" s="70">
        <f t="shared" si="9"/>
        <v>62</v>
      </c>
      <c r="Y8" s="86">
        <f t="shared" si="10"/>
        <v>96</v>
      </c>
      <c r="Z8" s="88">
        <f t="shared" si="11"/>
        <v>34</v>
      </c>
      <c r="AA8" s="46">
        <f t="shared" si="12"/>
        <v>-1</v>
      </c>
      <c r="AB8" s="46">
        <f t="shared" si="13"/>
        <v>62</v>
      </c>
      <c r="AC8" s="84">
        <f t="shared" si="14"/>
        <v>96</v>
      </c>
      <c r="AD8" s="96">
        <f t="shared" si="15"/>
        <v>0.6458333333</v>
      </c>
      <c r="AE8" s="98">
        <v>46024.0</v>
      </c>
      <c r="AF8" s="99" t="s">
        <v>46</v>
      </c>
      <c r="AT8" s="36"/>
      <c r="AU8" s="36"/>
      <c r="AV8" s="36"/>
      <c r="AW8" s="36"/>
      <c r="AX8" s="36"/>
      <c r="AY8" s="36"/>
      <c r="AZ8" s="36"/>
      <c r="BA8" s="36"/>
      <c r="BB8" s="36"/>
    </row>
    <row r="9">
      <c r="A9" s="62" t="s">
        <v>49</v>
      </c>
      <c r="B9" s="195"/>
      <c r="C9" s="87">
        <v>49.0</v>
      </c>
      <c r="D9" s="111">
        <v>6.0</v>
      </c>
      <c r="E9" s="70">
        <f t="shared" si="1"/>
        <v>55</v>
      </c>
      <c r="F9" s="72">
        <v>40.0</v>
      </c>
      <c r="G9" s="76">
        <f t="shared" si="2"/>
        <v>1.375</v>
      </c>
      <c r="H9" s="48">
        <v>37.0</v>
      </c>
      <c r="I9" s="48">
        <v>6.0</v>
      </c>
      <c r="J9" s="48"/>
      <c r="K9" s="70">
        <f t="shared" si="3"/>
        <v>43</v>
      </c>
      <c r="L9" s="72">
        <v>38.0</v>
      </c>
      <c r="M9" s="76">
        <f t="shared" si="4"/>
        <v>1.131578947</v>
      </c>
      <c r="N9" s="48">
        <v>36.0</v>
      </c>
      <c r="O9" s="48">
        <v>3.0</v>
      </c>
      <c r="P9" s="48"/>
      <c r="Q9" s="48"/>
      <c r="R9" s="70">
        <f t="shared" si="5"/>
        <v>39</v>
      </c>
      <c r="S9" s="72">
        <v>39.0</v>
      </c>
      <c r="T9" s="76">
        <f t="shared" si="6"/>
        <v>1</v>
      </c>
      <c r="U9" s="83"/>
      <c r="V9" s="84">
        <f t="shared" si="7"/>
        <v>131</v>
      </c>
      <c r="W9" s="84">
        <f t="shared" si="8"/>
        <v>6</v>
      </c>
      <c r="X9" s="70">
        <f t="shared" si="9"/>
        <v>137</v>
      </c>
      <c r="Y9" s="86">
        <f t="shared" si="10"/>
        <v>117</v>
      </c>
      <c r="Z9" s="88">
        <f t="shared" si="11"/>
        <v>-20</v>
      </c>
      <c r="AA9" s="46">
        <f t="shared" si="12"/>
        <v>1</v>
      </c>
      <c r="AB9" s="46">
        <f t="shared" si="13"/>
        <v>137</v>
      </c>
      <c r="AC9" s="84">
        <f t="shared" si="14"/>
        <v>117</v>
      </c>
      <c r="AD9" s="96">
        <f t="shared" si="15"/>
        <v>1.170940171</v>
      </c>
      <c r="AE9" s="98">
        <v>46024.0</v>
      </c>
      <c r="AF9" s="99" t="s">
        <v>46</v>
      </c>
      <c r="AT9" s="36"/>
      <c r="AU9" s="36"/>
      <c r="AV9" s="36"/>
      <c r="AW9" s="36"/>
      <c r="AX9" s="36"/>
      <c r="AY9" s="36"/>
      <c r="AZ9" s="36"/>
      <c r="BA9" s="36"/>
      <c r="BB9" s="36"/>
    </row>
    <row r="10">
      <c r="A10" s="112" t="s">
        <v>44</v>
      </c>
      <c r="B10" s="95">
        <f t="shared" ref="B10:F10" si="16">sum(B6:B9)</f>
        <v>0</v>
      </c>
      <c r="C10" s="95">
        <f t="shared" si="16"/>
        <v>123</v>
      </c>
      <c r="D10" s="95">
        <f t="shared" si="16"/>
        <v>8</v>
      </c>
      <c r="E10" s="95">
        <f t="shared" si="16"/>
        <v>131</v>
      </c>
      <c r="F10" s="95">
        <f t="shared" si="16"/>
        <v>132</v>
      </c>
      <c r="G10" s="114">
        <f t="shared" si="2"/>
        <v>0.9924242424</v>
      </c>
      <c r="H10" s="95">
        <f t="shared" ref="H10:L10" si="17">sum(H6:H9)</f>
        <v>97</v>
      </c>
      <c r="I10" s="95">
        <f t="shared" si="17"/>
        <v>16</v>
      </c>
      <c r="J10" s="95">
        <f t="shared" si="17"/>
        <v>0</v>
      </c>
      <c r="K10" s="95">
        <f t="shared" si="17"/>
        <v>113</v>
      </c>
      <c r="L10" s="95">
        <f t="shared" si="17"/>
        <v>124</v>
      </c>
      <c r="M10" s="114">
        <f t="shared" si="4"/>
        <v>0.9112903226</v>
      </c>
      <c r="N10" s="95">
        <f t="shared" ref="N10:S10" si="18">sum(N6:N9)</f>
        <v>88</v>
      </c>
      <c r="O10" s="95">
        <f t="shared" si="18"/>
        <v>7</v>
      </c>
      <c r="P10" s="95">
        <f t="shared" si="18"/>
        <v>0</v>
      </c>
      <c r="Q10" s="95">
        <f t="shared" si="18"/>
        <v>0</v>
      </c>
      <c r="R10" s="95">
        <f t="shared" si="18"/>
        <v>95</v>
      </c>
      <c r="S10" s="95">
        <f t="shared" si="18"/>
        <v>124</v>
      </c>
      <c r="T10" s="114">
        <f t="shared" si="6"/>
        <v>0.7661290323</v>
      </c>
      <c r="U10" s="95">
        <f t="shared" ref="U10:Z10" si="19">sum(U6:U9)</f>
        <v>0</v>
      </c>
      <c r="V10" s="95">
        <f t="shared" si="19"/>
        <v>331</v>
      </c>
      <c r="W10" s="95">
        <f t="shared" si="19"/>
        <v>8</v>
      </c>
      <c r="X10" s="95">
        <f t="shared" si="19"/>
        <v>339</v>
      </c>
      <c r="Y10" s="115">
        <f t="shared" si="19"/>
        <v>380</v>
      </c>
      <c r="Z10" s="116">
        <f t="shared" si="19"/>
        <v>41</v>
      </c>
      <c r="AA10" s="116">
        <f t="shared" si="12"/>
        <v>-1</v>
      </c>
      <c r="AB10" s="116">
        <f t="shared" ref="AB10:AC10" si="20">sum(AB6:AB9)</f>
        <v>339</v>
      </c>
      <c r="AC10" s="95">
        <f t="shared" si="20"/>
        <v>380</v>
      </c>
      <c r="AD10" s="118">
        <f>AB10/AC10</f>
        <v>0.8921052632</v>
      </c>
      <c r="AF10" s="99"/>
      <c r="AT10" s="36"/>
      <c r="AU10" s="36"/>
      <c r="AV10" s="36"/>
      <c r="AW10" s="36"/>
      <c r="AX10" s="36"/>
      <c r="AY10" s="36"/>
      <c r="AZ10" s="36"/>
      <c r="BA10" s="36"/>
      <c r="BB10" s="36"/>
    </row>
    <row r="11">
      <c r="A11" s="62" t="s">
        <v>52</v>
      </c>
      <c r="B11" s="195"/>
      <c r="C11" s="84">
        <v>23.0</v>
      </c>
      <c r="D11" s="84"/>
      <c r="E11" s="70">
        <f t="shared" ref="E11:E14" si="21">SUM(C11:D11)</f>
        <v>23</v>
      </c>
      <c r="F11" s="72">
        <v>30.0</v>
      </c>
      <c r="G11" s="76">
        <f t="shared" si="2"/>
        <v>0.7666666667</v>
      </c>
      <c r="H11" s="48">
        <v>18.0</v>
      </c>
      <c r="I11" s="48">
        <v>4.0</v>
      </c>
      <c r="J11" s="48"/>
      <c r="K11" s="70">
        <f t="shared" ref="K11:K14" si="22">SUM(H11:J11)</f>
        <v>22</v>
      </c>
      <c r="L11" s="72">
        <v>24.0</v>
      </c>
      <c r="M11" s="76">
        <f t="shared" si="4"/>
        <v>0.9166666667</v>
      </c>
      <c r="N11" s="48">
        <v>17.0</v>
      </c>
      <c r="O11" s="48">
        <v>1.0</v>
      </c>
      <c r="P11" s="48"/>
      <c r="Q11" s="48"/>
      <c r="R11" s="70">
        <f t="shared" ref="R11:R14" si="23">SUM(N11:Q11)</f>
        <v>18</v>
      </c>
      <c r="S11" s="72">
        <v>22.0</v>
      </c>
      <c r="T11" s="76">
        <f t="shared" si="6"/>
        <v>0.8181818182</v>
      </c>
      <c r="U11" s="83"/>
      <c r="V11" s="84">
        <f t="shared" ref="V11:V14" si="24">N11+H11+C11+O11+P11+I11</f>
        <v>63</v>
      </c>
      <c r="W11" s="84">
        <f t="shared" ref="W11:W14" si="25">Q11+J11+D11</f>
        <v>0</v>
      </c>
      <c r="X11" s="70">
        <f t="shared" ref="X11:X14" si="26">sum(U11:W11)</f>
        <v>63</v>
      </c>
      <c r="Y11" s="86">
        <f t="shared" ref="Y11:Y14" si="27">S11+L11+F11</f>
        <v>76</v>
      </c>
      <c r="Z11" s="88">
        <f t="shared" ref="Z11:Z14" si="28">Y11-X11</f>
        <v>13</v>
      </c>
      <c r="AA11" s="46">
        <f t="shared" si="12"/>
        <v>0</v>
      </c>
      <c r="AB11" s="46">
        <f t="shared" ref="AB11:AB14" si="29">W11+V11</f>
        <v>63</v>
      </c>
      <c r="AC11" s="84">
        <f t="shared" ref="AC11:AC14" si="30">Y11</f>
        <v>76</v>
      </c>
      <c r="AD11" s="96">
        <f t="shared" ref="AD11:AD14" si="31">(V11+W11)/Y11</f>
        <v>0.8289473684</v>
      </c>
      <c r="AE11" s="98">
        <v>46022.0</v>
      </c>
      <c r="AF11" s="99" t="s">
        <v>56</v>
      </c>
      <c r="AT11" s="36"/>
      <c r="AU11" s="36"/>
      <c r="AV11" s="36"/>
      <c r="AW11" s="36"/>
      <c r="AX11" s="36"/>
      <c r="AY11" s="36"/>
      <c r="AZ11" s="36"/>
      <c r="BA11" s="36"/>
      <c r="BB11" s="36"/>
    </row>
    <row r="12">
      <c r="A12" s="62" t="s">
        <v>51</v>
      </c>
      <c r="B12" s="195"/>
      <c r="C12" s="84">
        <v>18.0</v>
      </c>
      <c r="D12" s="84">
        <v>2.0</v>
      </c>
      <c r="E12" s="70">
        <f t="shared" si="21"/>
        <v>20</v>
      </c>
      <c r="F12" s="72">
        <v>29.0</v>
      </c>
      <c r="G12" s="76">
        <f t="shared" si="2"/>
        <v>0.6896551724</v>
      </c>
      <c r="H12" s="48">
        <v>41.0</v>
      </c>
      <c r="I12" s="48">
        <v>4.0</v>
      </c>
      <c r="J12" s="48"/>
      <c r="K12" s="70">
        <f t="shared" si="22"/>
        <v>45</v>
      </c>
      <c r="L12" s="72">
        <v>30.0</v>
      </c>
      <c r="M12" s="76">
        <f t="shared" si="4"/>
        <v>1.5</v>
      </c>
      <c r="N12" s="48">
        <v>16.0</v>
      </c>
      <c r="O12" s="48">
        <v>3.0</v>
      </c>
      <c r="P12" s="48"/>
      <c r="Q12" s="48"/>
      <c r="R12" s="70">
        <f t="shared" si="23"/>
        <v>19</v>
      </c>
      <c r="S12" s="72">
        <v>28.0</v>
      </c>
      <c r="T12" s="76">
        <f t="shared" si="6"/>
        <v>0.6785714286</v>
      </c>
      <c r="U12" s="83"/>
      <c r="V12" s="84">
        <f t="shared" si="24"/>
        <v>82</v>
      </c>
      <c r="W12" s="84">
        <f t="shared" si="25"/>
        <v>2</v>
      </c>
      <c r="X12" s="70">
        <f t="shared" si="26"/>
        <v>84</v>
      </c>
      <c r="Y12" s="86">
        <f t="shared" si="27"/>
        <v>87</v>
      </c>
      <c r="Z12" s="88">
        <f t="shared" si="28"/>
        <v>3</v>
      </c>
      <c r="AA12" s="46">
        <f t="shared" si="12"/>
        <v>0</v>
      </c>
      <c r="AB12" s="46">
        <f t="shared" si="29"/>
        <v>84</v>
      </c>
      <c r="AC12" s="84">
        <f t="shared" si="30"/>
        <v>87</v>
      </c>
      <c r="AD12" s="96">
        <f t="shared" si="31"/>
        <v>0.9655172414</v>
      </c>
      <c r="AE12" s="98">
        <v>46022.0</v>
      </c>
      <c r="AF12" s="99" t="s">
        <v>56</v>
      </c>
      <c r="AT12" s="36"/>
      <c r="AU12" s="36"/>
      <c r="AV12" s="36"/>
      <c r="AW12" s="36"/>
      <c r="AX12" s="36"/>
      <c r="AY12" s="36"/>
      <c r="AZ12" s="36"/>
      <c r="BA12" s="36"/>
      <c r="BB12" s="36"/>
    </row>
    <row r="13">
      <c r="A13" s="62" t="s">
        <v>47</v>
      </c>
      <c r="B13" s="195"/>
      <c r="C13" s="84">
        <v>16.0</v>
      </c>
      <c r="D13" s="84"/>
      <c r="E13" s="70">
        <f t="shared" si="21"/>
        <v>16</v>
      </c>
      <c r="F13" s="72">
        <v>34.0</v>
      </c>
      <c r="G13" s="76">
        <f t="shared" si="2"/>
        <v>0.4705882353</v>
      </c>
      <c r="H13" s="48">
        <v>27.0</v>
      </c>
      <c r="I13" s="48">
        <v>4.0</v>
      </c>
      <c r="J13" s="48"/>
      <c r="K13" s="70">
        <f t="shared" si="22"/>
        <v>31</v>
      </c>
      <c r="L13" s="72">
        <v>29.0</v>
      </c>
      <c r="M13" s="76">
        <f t="shared" si="4"/>
        <v>1.068965517</v>
      </c>
      <c r="N13" s="48">
        <v>16.0</v>
      </c>
      <c r="O13" s="48">
        <v>1.0</v>
      </c>
      <c r="P13" s="48"/>
      <c r="Q13" s="48"/>
      <c r="R13" s="70">
        <f t="shared" si="23"/>
        <v>17</v>
      </c>
      <c r="S13" s="72">
        <v>27.0</v>
      </c>
      <c r="T13" s="76">
        <f t="shared" si="6"/>
        <v>0.6296296296</v>
      </c>
      <c r="U13" s="83"/>
      <c r="V13" s="84">
        <f t="shared" si="24"/>
        <v>64</v>
      </c>
      <c r="W13" s="84">
        <f t="shared" si="25"/>
        <v>0</v>
      </c>
      <c r="X13" s="70">
        <f t="shared" si="26"/>
        <v>64</v>
      </c>
      <c r="Y13" s="86">
        <f t="shared" si="27"/>
        <v>90</v>
      </c>
      <c r="Z13" s="88">
        <f t="shared" si="28"/>
        <v>26</v>
      </c>
      <c r="AA13" s="46">
        <f t="shared" si="12"/>
        <v>-1</v>
      </c>
      <c r="AB13" s="46">
        <f t="shared" si="29"/>
        <v>64</v>
      </c>
      <c r="AC13" s="84">
        <f t="shared" si="30"/>
        <v>90</v>
      </c>
      <c r="AD13" s="96">
        <f t="shared" si="31"/>
        <v>0.7111111111</v>
      </c>
      <c r="AE13" s="98">
        <v>46022.0</v>
      </c>
      <c r="AF13" s="99" t="s">
        <v>56</v>
      </c>
      <c r="AT13" s="36"/>
      <c r="AU13" s="36"/>
      <c r="AV13" s="36"/>
      <c r="AW13" s="36"/>
      <c r="AX13" s="36"/>
      <c r="AY13" s="36"/>
      <c r="AZ13" s="36"/>
      <c r="BA13" s="36"/>
      <c r="BB13" s="36"/>
    </row>
    <row r="14">
      <c r="A14" s="62" t="s">
        <v>53</v>
      </c>
      <c r="B14" s="195"/>
      <c r="C14" s="84">
        <v>40.0</v>
      </c>
      <c r="D14" s="84"/>
      <c r="E14" s="70">
        <f t="shared" si="21"/>
        <v>40</v>
      </c>
      <c r="F14" s="72">
        <v>43.0</v>
      </c>
      <c r="G14" s="76">
        <f t="shared" si="2"/>
        <v>0.9302325581</v>
      </c>
      <c r="H14" s="48">
        <v>36.0</v>
      </c>
      <c r="I14" s="48">
        <v>4.0</v>
      </c>
      <c r="J14" s="48"/>
      <c r="K14" s="70">
        <f t="shared" si="22"/>
        <v>40</v>
      </c>
      <c r="L14" s="72">
        <v>43.0</v>
      </c>
      <c r="M14" s="76">
        <f t="shared" si="4"/>
        <v>0.9302325581</v>
      </c>
      <c r="N14" s="48">
        <v>32.0</v>
      </c>
      <c r="O14" s="48">
        <v>2.0</v>
      </c>
      <c r="P14" s="48"/>
      <c r="Q14" s="48"/>
      <c r="R14" s="70">
        <f t="shared" si="23"/>
        <v>34</v>
      </c>
      <c r="S14" s="72">
        <v>42.0</v>
      </c>
      <c r="T14" s="76">
        <f t="shared" si="6"/>
        <v>0.8095238095</v>
      </c>
      <c r="U14" s="83"/>
      <c r="V14" s="84">
        <f t="shared" si="24"/>
        <v>114</v>
      </c>
      <c r="W14" s="84">
        <f t="shared" si="25"/>
        <v>0</v>
      </c>
      <c r="X14" s="70">
        <f t="shared" si="26"/>
        <v>114</v>
      </c>
      <c r="Y14" s="86">
        <f t="shared" si="27"/>
        <v>128</v>
      </c>
      <c r="Z14" s="88">
        <f t="shared" si="28"/>
        <v>14</v>
      </c>
      <c r="AA14" s="46">
        <f t="shared" si="12"/>
        <v>0</v>
      </c>
      <c r="AB14" s="46">
        <f t="shared" si="29"/>
        <v>114</v>
      </c>
      <c r="AC14" s="84">
        <f t="shared" si="30"/>
        <v>128</v>
      </c>
      <c r="AD14" s="96">
        <f t="shared" si="31"/>
        <v>0.890625</v>
      </c>
      <c r="AE14" s="98">
        <v>46022.0</v>
      </c>
      <c r="AF14" s="99" t="s">
        <v>56</v>
      </c>
      <c r="AT14" s="36"/>
      <c r="AU14" s="36"/>
      <c r="AV14" s="36"/>
      <c r="AW14" s="36"/>
      <c r="AX14" s="36"/>
      <c r="AY14" s="36"/>
      <c r="AZ14" s="36"/>
      <c r="BA14" s="36"/>
      <c r="BB14" s="36"/>
    </row>
    <row r="15">
      <c r="A15" s="112" t="s">
        <v>54</v>
      </c>
      <c r="B15" s="95">
        <f t="shared" ref="B15:F15" si="32">sum(B11:B14)</f>
        <v>0</v>
      </c>
      <c r="C15" s="95">
        <f t="shared" si="32"/>
        <v>97</v>
      </c>
      <c r="D15" s="95">
        <f t="shared" si="32"/>
        <v>2</v>
      </c>
      <c r="E15" s="95">
        <f t="shared" si="32"/>
        <v>99</v>
      </c>
      <c r="F15" s="95">
        <f t="shared" si="32"/>
        <v>136</v>
      </c>
      <c r="G15" s="114">
        <f t="shared" si="2"/>
        <v>0.7279411765</v>
      </c>
      <c r="H15" s="95">
        <f t="shared" ref="H15:L15" si="33">sum(H11:H14)</f>
        <v>122</v>
      </c>
      <c r="I15" s="95">
        <f t="shared" si="33"/>
        <v>16</v>
      </c>
      <c r="J15" s="95">
        <f t="shared" si="33"/>
        <v>0</v>
      </c>
      <c r="K15" s="95">
        <f t="shared" si="33"/>
        <v>138</v>
      </c>
      <c r="L15" s="95">
        <f t="shared" si="33"/>
        <v>126</v>
      </c>
      <c r="M15" s="114">
        <f t="shared" si="4"/>
        <v>1.095238095</v>
      </c>
      <c r="N15" s="95">
        <f t="shared" ref="N15:S15" si="34">sum(N11:N14)</f>
        <v>81</v>
      </c>
      <c r="O15" s="95">
        <f t="shared" si="34"/>
        <v>7</v>
      </c>
      <c r="P15" s="95">
        <f t="shared" si="34"/>
        <v>0</v>
      </c>
      <c r="Q15" s="95">
        <f t="shared" si="34"/>
        <v>0</v>
      </c>
      <c r="R15" s="95">
        <f t="shared" si="34"/>
        <v>88</v>
      </c>
      <c r="S15" s="95">
        <f t="shared" si="34"/>
        <v>119</v>
      </c>
      <c r="T15" s="114">
        <f t="shared" si="6"/>
        <v>0.7394957983</v>
      </c>
      <c r="U15" s="95">
        <f t="shared" ref="U15:Z15" si="35">sum(U11:U14)</f>
        <v>0</v>
      </c>
      <c r="V15" s="95">
        <f t="shared" si="35"/>
        <v>323</v>
      </c>
      <c r="W15" s="95">
        <f t="shared" si="35"/>
        <v>2</v>
      </c>
      <c r="X15" s="95">
        <f t="shared" si="35"/>
        <v>325</v>
      </c>
      <c r="Y15" s="115">
        <f t="shared" si="35"/>
        <v>381</v>
      </c>
      <c r="Z15" s="116">
        <f t="shared" si="35"/>
        <v>56</v>
      </c>
      <c r="AA15" s="116">
        <f t="shared" si="12"/>
        <v>-1</v>
      </c>
      <c r="AB15" s="116">
        <f t="shared" ref="AB15:AC15" si="36">sum(AB11:AB14)</f>
        <v>325</v>
      </c>
      <c r="AC15" s="95">
        <f t="shared" si="36"/>
        <v>381</v>
      </c>
      <c r="AD15" s="118">
        <f>AB15/AC15</f>
        <v>0.8530183727</v>
      </c>
      <c r="AF15" s="99"/>
      <c r="AT15" s="36"/>
      <c r="AU15" s="36"/>
      <c r="AV15" s="36"/>
      <c r="AW15" s="36"/>
      <c r="AX15" s="36"/>
      <c r="AY15" s="36"/>
      <c r="AZ15" s="36"/>
      <c r="BA15" s="36"/>
      <c r="BB15" s="36"/>
    </row>
    <row r="16">
      <c r="A16" s="62" t="s">
        <v>55</v>
      </c>
      <c r="B16" s="195"/>
      <c r="C16" s="84">
        <v>18.0</v>
      </c>
      <c r="D16" s="84">
        <v>5.0</v>
      </c>
      <c r="E16" s="70">
        <f t="shared" ref="E16:E18" si="37">SUM(C16:D16)</f>
        <v>23</v>
      </c>
      <c r="F16" s="72">
        <v>30.0</v>
      </c>
      <c r="G16" s="76">
        <f t="shared" si="2"/>
        <v>0.7666666667</v>
      </c>
      <c r="H16" s="48">
        <v>28.0</v>
      </c>
      <c r="I16" s="48">
        <v>3.0</v>
      </c>
      <c r="J16" s="48">
        <v>3.0</v>
      </c>
      <c r="K16" s="70">
        <f t="shared" ref="K16:K18" si="38">SUM(H16:J16)</f>
        <v>34</v>
      </c>
      <c r="L16" s="72">
        <v>33.0</v>
      </c>
      <c r="M16" s="76">
        <f t="shared" si="4"/>
        <v>1.03030303</v>
      </c>
      <c r="N16" s="48">
        <v>14.0</v>
      </c>
      <c r="O16" s="48">
        <v>4.0</v>
      </c>
      <c r="P16" s="48"/>
      <c r="Q16" s="48">
        <v>12.0</v>
      </c>
      <c r="R16" s="70">
        <f t="shared" ref="R16:R18" si="39">SUM(N16:Q16)</f>
        <v>30</v>
      </c>
      <c r="S16" s="72">
        <v>30.0</v>
      </c>
      <c r="T16" s="76">
        <f t="shared" si="6"/>
        <v>1</v>
      </c>
      <c r="U16" s="83"/>
      <c r="V16" s="84">
        <f t="shared" ref="V16:V18" si="40">N16+H16+C16+O16+P16+I16</f>
        <v>67</v>
      </c>
      <c r="W16" s="84">
        <f t="shared" ref="W16:W18" si="41">Q16+J16+D16</f>
        <v>20</v>
      </c>
      <c r="X16" s="70">
        <f t="shared" ref="X16:X18" si="42">sum(U16:W16)</f>
        <v>87</v>
      </c>
      <c r="Y16" s="86">
        <f t="shared" ref="Y16:Y18" si="43">S16+L16+F16</f>
        <v>93</v>
      </c>
      <c r="Z16" s="88">
        <f t="shared" ref="Z16:Z18" si="44">Y16-X16</f>
        <v>6</v>
      </c>
      <c r="AA16" s="46">
        <f t="shared" si="12"/>
        <v>0</v>
      </c>
      <c r="AB16" s="46">
        <f t="shared" ref="AB16:AB18" si="45">W16+V16</f>
        <v>87</v>
      </c>
      <c r="AC16" s="84">
        <f t="shared" ref="AC16:AC18" si="46">Y16</f>
        <v>93</v>
      </c>
      <c r="AD16" s="96">
        <f t="shared" ref="AD16:AD18" si="47">(V16+W16)/Y16</f>
        <v>0.935483871</v>
      </c>
      <c r="AE16" s="119">
        <v>46022.0</v>
      </c>
      <c r="AF16" s="99" t="s">
        <v>81</v>
      </c>
      <c r="AT16" s="36"/>
      <c r="AU16" s="36"/>
      <c r="AV16" s="36"/>
      <c r="AW16" s="36"/>
      <c r="AX16" s="36"/>
      <c r="AY16" s="36"/>
      <c r="AZ16" s="36"/>
      <c r="BA16" s="36"/>
      <c r="BB16" s="36"/>
    </row>
    <row r="17">
      <c r="A17" s="62" t="s">
        <v>57</v>
      </c>
      <c r="B17" s="195"/>
      <c r="C17" s="84">
        <v>39.0</v>
      </c>
      <c r="D17" s="84"/>
      <c r="E17" s="70">
        <f t="shared" si="37"/>
        <v>39</v>
      </c>
      <c r="F17" s="72">
        <v>28.0</v>
      </c>
      <c r="G17" s="76">
        <f t="shared" si="2"/>
        <v>1.392857143</v>
      </c>
      <c r="H17" s="48">
        <v>18.0</v>
      </c>
      <c r="I17" s="48">
        <v>2.0</v>
      </c>
      <c r="J17" s="48">
        <v>3.0</v>
      </c>
      <c r="K17" s="70">
        <f t="shared" si="38"/>
        <v>23</v>
      </c>
      <c r="L17" s="72">
        <v>27.0</v>
      </c>
      <c r="M17" s="76">
        <f t="shared" si="4"/>
        <v>0.8518518519</v>
      </c>
      <c r="N17" s="48">
        <v>21.0</v>
      </c>
      <c r="O17" s="48">
        <v>1.0</v>
      </c>
      <c r="P17" s="48"/>
      <c r="Q17" s="48">
        <v>4.0</v>
      </c>
      <c r="R17" s="70">
        <f t="shared" si="39"/>
        <v>26</v>
      </c>
      <c r="S17" s="72">
        <v>25.0</v>
      </c>
      <c r="T17" s="76">
        <f t="shared" si="6"/>
        <v>1.04</v>
      </c>
      <c r="U17" s="83"/>
      <c r="V17" s="84">
        <f t="shared" si="40"/>
        <v>81</v>
      </c>
      <c r="W17" s="84">
        <f t="shared" si="41"/>
        <v>7</v>
      </c>
      <c r="X17" s="70">
        <f t="shared" si="42"/>
        <v>88</v>
      </c>
      <c r="Y17" s="86">
        <f t="shared" si="43"/>
        <v>80</v>
      </c>
      <c r="Z17" s="88">
        <f t="shared" si="44"/>
        <v>-8</v>
      </c>
      <c r="AA17" s="46">
        <f t="shared" si="12"/>
        <v>0</v>
      </c>
      <c r="AB17" s="46">
        <f t="shared" si="45"/>
        <v>88</v>
      </c>
      <c r="AC17" s="84">
        <f t="shared" si="46"/>
        <v>80</v>
      </c>
      <c r="AD17" s="96">
        <f t="shared" si="47"/>
        <v>1.1</v>
      </c>
      <c r="AE17" s="119">
        <v>46022.0</v>
      </c>
      <c r="AF17" s="99" t="s">
        <v>81</v>
      </c>
      <c r="AT17" s="36"/>
      <c r="AU17" s="36"/>
      <c r="AV17" s="36"/>
      <c r="AW17" s="36"/>
      <c r="AX17" s="36"/>
      <c r="AY17" s="36"/>
      <c r="AZ17" s="36"/>
      <c r="BA17" s="36"/>
      <c r="BB17" s="36"/>
    </row>
    <row r="18">
      <c r="A18" s="62" t="s">
        <v>58</v>
      </c>
      <c r="B18" s="195"/>
      <c r="C18" s="84">
        <v>12.0</v>
      </c>
      <c r="D18" s="84"/>
      <c r="E18" s="70">
        <f t="shared" si="37"/>
        <v>12</v>
      </c>
      <c r="F18" s="72">
        <v>13.0</v>
      </c>
      <c r="G18" s="76">
        <f t="shared" si="2"/>
        <v>0.9230769231</v>
      </c>
      <c r="H18" s="48">
        <v>9.0</v>
      </c>
      <c r="I18" s="48">
        <v>3.0</v>
      </c>
      <c r="J18" s="48"/>
      <c r="K18" s="70">
        <f t="shared" si="38"/>
        <v>12</v>
      </c>
      <c r="L18" s="72">
        <v>10.0</v>
      </c>
      <c r="M18" s="76">
        <f t="shared" si="4"/>
        <v>1.2</v>
      </c>
      <c r="N18" s="48">
        <v>5.0</v>
      </c>
      <c r="O18" s="48">
        <v>1.0</v>
      </c>
      <c r="P18" s="48"/>
      <c r="Q18" s="48">
        <v>1.0</v>
      </c>
      <c r="R18" s="70">
        <f t="shared" si="39"/>
        <v>7</v>
      </c>
      <c r="S18" s="72">
        <v>10.0</v>
      </c>
      <c r="T18" s="76">
        <f t="shared" si="6"/>
        <v>0.7</v>
      </c>
      <c r="U18" s="83"/>
      <c r="V18" s="84">
        <f t="shared" si="40"/>
        <v>30</v>
      </c>
      <c r="W18" s="84">
        <f t="shared" si="41"/>
        <v>1</v>
      </c>
      <c r="X18" s="70">
        <f t="shared" si="42"/>
        <v>31</v>
      </c>
      <c r="Y18" s="86">
        <f t="shared" si="43"/>
        <v>33</v>
      </c>
      <c r="Z18" s="88">
        <f t="shared" si="44"/>
        <v>2</v>
      </c>
      <c r="AA18" s="46">
        <f t="shared" si="12"/>
        <v>0</v>
      </c>
      <c r="AB18" s="46">
        <f t="shared" si="45"/>
        <v>31</v>
      </c>
      <c r="AC18" s="84">
        <f t="shared" si="46"/>
        <v>33</v>
      </c>
      <c r="AD18" s="96">
        <f t="shared" si="47"/>
        <v>0.9393939394</v>
      </c>
      <c r="AE18" s="119">
        <v>46020.0</v>
      </c>
      <c r="AF18" s="99" t="s">
        <v>81</v>
      </c>
      <c r="AT18" s="36"/>
      <c r="AU18" s="36"/>
      <c r="AV18" s="36"/>
      <c r="AW18" s="36"/>
      <c r="AX18" s="36"/>
      <c r="AY18" s="36"/>
      <c r="AZ18" s="36"/>
      <c r="BA18" s="36"/>
      <c r="BB18" s="36"/>
    </row>
    <row r="19">
      <c r="A19" s="112" t="s">
        <v>59</v>
      </c>
      <c r="B19" s="95">
        <f t="shared" ref="B19:F19" si="48">sum(B16:B18)</f>
        <v>0</v>
      </c>
      <c r="C19" s="95">
        <f t="shared" si="48"/>
        <v>69</v>
      </c>
      <c r="D19" s="95">
        <f t="shared" si="48"/>
        <v>5</v>
      </c>
      <c r="E19" s="95">
        <f t="shared" si="48"/>
        <v>74</v>
      </c>
      <c r="F19" s="95">
        <f t="shared" si="48"/>
        <v>71</v>
      </c>
      <c r="G19" s="114">
        <f t="shared" si="2"/>
        <v>1.042253521</v>
      </c>
      <c r="H19" s="95">
        <f t="shared" ref="H19:L19" si="49">sum(H16:H18)</f>
        <v>55</v>
      </c>
      <c r="I19" s="95">
        <f t="shared" si="49"/>
        <v>8</v>
      </c>
      <c r="J19" s="95">
        <f t="shared" si="49"/>
        <v>6</v>
      </c>
      <c r="K19" s="95">
        <f t="shared" si="49"/>
        <v>69</v>
      </c>
      <c r="L19" s="95">
        <f t="shared" si="49"/>
        <v>70</v>
      </c>
      <c r="M19" s="114">
        <f t="shared" si="4"/>
        <v>0.9857142857</v>
      </c>
      <c r="N19" s="95">
        <f t="shared" ref="N19:S19" si="50">sum(N16:N18)</f>
        <v>40</v>
      </c>
      <c r="O19" s="95">
        <f t="shared" si="50"/>
        <v>6</v>
      </c>
      <c r="P19" s="95">
        <f t="shared" si="50"/>
        <v>0</v>
      </c>
      <c r="Q19" s="95">
        <f t="shared" si="50"/>
        <v>17</v>
      </c>
      <c r="R19" s="95">
        <f t="shared" si="50"/>
        <v>63</v>
      </c>
      <c r="S19" s="95">
        <f t="shared" si="50"/>
        <v>65</v>
      </c>
      <c r="T19" s="114">
        <f t="shared" si="6"/>
        <v>0.9692307692</v>
      </c>
      <c r="U19" s="95">
        <f t="shared" ref="U19:Z19" si="51">sum(U16:U18)</f>
        <v>0</v>
      </c>
      <c r="V19" s="95">
        <f t="shared" si="51"/>
        <v>178</v>
      </c>
      <c r="W19" s="95">
        <f t="shared" si="51"/>
        <v>28</v>
      </c>
      <c r="X19" s="95">
        <f t="shared" si="51"/>
        <v>206</v>
      </c>
      <c r="Y19" s="115">
        <f t="shared" si="51"/>
        <v>206</v>
      </c>
      <c r="Z19" s="116">
        <f t="shared" si="51"/>
        <v>0</v>
      </c>
      <c r="AA19" s="116">
        <f t="shared" si="12"/>
        <v>0</v>
      </c>
      <c r="AB19" s="116">
        <f t="shared" ref="AB19:AC19" si="52">sum(AB16:AB18)</f>
        <v>206</v>
      </c>
      <c r="AC19" s="95">
        <f t="shared" si="52"/>
        <v>206</v>
      </c>
      <c r="AD19" s="118">
        <f>AB19/AC19</f>
        <v>1</v>
      </c>
      <c r="AF19" s="99"/>
      <c r="AT19" s="36"/>
      <c r="AU19" s="36"/>
      <c r="AV19" s="36"/>
      <c r="AW19" s="36"/>
      <c r="AX19" s="36"/>
      <c r="AY19" s="36"/>
      <c r="AZ19" s="36"/>
      <c r="BA19" s="36"/>
      <c r="BB19" s="36"/>
    </row>
    <row r="20">
      <c r="A20" s="112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37"/>
      <c r="Z20" s="121"/>
      <c r="AA20" s="138"/>
      <c r="AB20" s="138"/>
      <c r="AC20" s="139"/>
      <c r="AD20" s="140"/>
      <c r="AF20" s="36"/>
      <c r="AT20" s="36"/>
      <c r="AU20" s="36"/>
      <c r="AV20" s="36"/>
      <c r="AW20" s="36"/>
      <c r="AX20" s="36"/>
      <c r="AY20" s="36"/>
      <c r="AZ20" s="36"/>
      <c r="BA20" s="36"/>
      <c r="BB20" s="36"/>
    </row>
    <row r="21">
      <c r="A21" s="14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37"/>
      <c r="Z21" s="121"/>
      <c r="AA21" s="138"/>
      <c r="AB21" s="138"/>
      <c r="AC21" s="139"/>
      <c r="AD21" s="140"/>
      <c r="AF21" s="36"/>
      <c r="AT21" s="36"/>
      <c r="AU21" s="36"/>
      <c r="AV21" s="36"/>
      <c r="AW21" s="36"/>
      <c r="AX21" s="36"/>
      <c r="AY21" s="36"/>
      <c r="AZ21" s="36"/>
      <c r="BA21" s="36"/>
      <c r="BB21" s="36"/>
    </row>
    <row r="22">
      <c r="A22" s="143" t="s">
        <v>13</v>
      </c>
      <c r="B22" s="144">
        <f t="shared" ref="B22:F22" si="53">B19+B15+B10</f>
        <v>0</v>
      </c>
      <c r="C22" s="144">
        <f t="shared" si="53"/>
        <v>289</v>
      </c>
      <c r="D22" s="144">
        <f t="shared" si="53"/>
        <v>15</v>
      </c>
      <c r="E22" s="144">
        <f t="shared" si="53"/>
        <v>304</v>
      </c>
      <c r="F22" s="144">
        <f t="shared" si="53"/>
        <v>339</v>
      </c>
      <c r="G22" s="146">
        <f>E22/F22</f>
        <v>0.8967551622</v>
      </c>
      <c r="H22" s="144">
        <f t="shared" ref="H22:L22" si="54">H19+H15+H10</f>
        <v>274</v>
      </c>
      <c r="I22" s="144">
        <f t="shared" si="54"/>
        <v>40</v>
      </c>
      <c r="J22" s="144">
        <f t="shared" si="54"/>
        <v>6</v>
      </c>
      <c r="K22" s="144">
        <f t="shared" si="54"/>
        <v>320</v>
      </c>
      <c r="L22" s="144">
        <f t="shared" si="54"/>
        <v>320</v>
      </c>
      <c r="M22" s="146">
        <f>K22/L22</f>
        <v>1</v>
      </c>
      <c r="N22" s="144">
        <f t="shared" ref="N22:S22" si="55">N19+N15+N10</f>
        <v>209</v>
      </c>
      <c r="O22" s="144">
        <f t="shared" si="55"/>
        <v>20</v>
      </c>
      <c r="P22" s="144">
        <f t="shared" si="55"/>
        <v>0</v>
      </c>
      <c r="Q22" s="144">
        <f t="shared" si="55"/>
        <v>17</v>
      </c>
      <c r="R22" s="144">
        <f t="shared" si="55"/>
        <v>246</v>
      </c>
      <c r="S22" s="144">
        <f t="shared" si="55"/>
        <v>308</v>
      </c>
      <c r="T22" s="146">
        <f>R22/S22</f>
        <v>0.7987012987</v>
      </c>
      <c r="U22" s="144">
        <f t="shared" ref="U22:Z22" si="56">U19+U15+U10</f>
        <v>0</v>
      </c>
      <c r="V22" s="144">
        <f t="shared" si="56"/>
        <v>832</v>
      </c>
      <c r="W22" s="144">
        <f t="shared" si="56"/>
        <v>38</v>
      </c>
      <c r="X22" s="144">
        <f t="shared" si="56"/>
        <v>870</v>
      </c>
      <c r="Y22" s="150">
        <f t="shared" si="56"/>
        <v>967</v>
      </c>
      <c r="Z22" s="153">
        <f t="shared" si="56"/>
        <v>97</v>
      </c>
      <c r="AA22" s="155">
        <f>round(Z22/$AA$26*7,0)</f>
        <v>-2</v>
      </c>
      <c r="AB22" s="153">
        <f t="shared" ref="AB22:AC22" si="57">AB19+AB15+AB10</f>
        <v>870</v>
      </c>
      <c r="AC22" s="144">
        <f t="shared" si="57"/>
        <v>967</v>
      </c>
      <c r="AD22" s="157">
        <f>(V22+W22)/Y22</f>
        <v>0.8996897622</v>
      </c>
      <c r="AF22" s="36"/>
      <c r="AT22" s="36"/>
      <c r="AU22" s="36"/>
      <c r="AV22" s="36"/>
      <c r="AW22" s="36"/>
      <c r="AX22" s="36"/>
      <c r="AY22" s="36"/>
      <c r="AZ22" s="36"/>
      <c r="BA22" s="36"/>
      <c r="BB22" s="36"/>
    </row>
    <row r="23">
      <c r="AT23" s="36"/>
      <c r="AU23" s="36"/>
      <c r="AV23" s="36"/>
      <c r="AW23" s="36"/>
      <c r="AX23" s="36"/>
      <c r="AY23" s="36"/>
      <c r="AZ23" s="36"/>
      <c r="BA23" s="36"/>
      <c r="BB23" s="36"/>
    </row>
    <row r="24">
      <c r="AA24" s="1">
        <v>46022.0</v>
      </c>
      <c r="AB24" s="131"/>
      <c r="AC24" s="69">
        <f>AC22-AB22</f>
        <v>97</v>
      </c>
      <c r="AT24" s="36"/>
      <c r="AU24" s="36"/>
      <c r="AV24" s="36"/>
      <c r="AW24" s="36"/>
      <c r="AX24" s="36"/>
      <c r="AY24" s="36"/>
      <c r="AZ24" s="36"/>
      <c r="BA24" s="36"/>
      <c r="BB24" s="36"/>
    </row>
    <row r="25">
      <c r="A25" s="202" t="s">
        <v>84</v>
      </c>
      <c r="B25" s="15"/>
      <c r="C25" s="15"/>
      <c r="D25" s="15"/>
      <c r="E25" s="15"/>
      <c r="F25" s="15"/>
      <c r="G25" s="21"/>
      <c r="AA25" s="162">
        <f>today()-1</f>
        <v>46294</v>
      </c>
      <c r="AT25" s="36"/>
      <c r="AU25" s="36"/>
      <c r="AV25" s="36"/>
      <c r="AW25" s="36"/>
      <c r="AX25" s="36"/>
      <c r="AY25" s="36"/>
      <c r="AZ25" s="36"/>
      <c r="BA25" s="36"/>
      <c r="BB25" s="36"/>
    </row>
    <row r="26">
      <c r="A26" s="25"/>
      <c r="G26" s="41"/>
      <c r="L26" s="203" t="s">
        <v>85</v>
      </c>
      <c r="AA26" s="66">
        <f>AA24-AA25</f>
        <v>-272</v>
      </c>
      <c r="AT26" s="36"/>
      <c r="AU26" s="36"/>
      <c r="AV26" s="36"/>
      <c r="AW26" s="36"/>
      <c r="AX26" s="36"/>
      <c r="AY26" s="36"/>
      <c r="AZ26" s="36"/>
      <c r="BA26" s="36"/>
      <c r="BB26" s="36"/>
    </row>
    <row r="27">
      <c r="A27" s="43"/>
      <c r="B27" s="179" t="s">
        <v>26</v>
      </c>
      <c r="C27" s="179" t="s">
        <v>27</v>
      </c>
      <c r="D27" s="179" t="s">
        <v>86</v>
      </c>
      <c r="F27" s="179" t="s">
        <v>87</v>
      </c>
      <c r="G27" s="41"/>
      <c r="L27" s="179" t="s">
        <v>88</v>
      </c>
      <c r="M27" s="179" t="s">
        <v>89</v>
      </c>
      <c r="N27" s="179" t="s">
        <v>90</v>
      </c>
      <c r="O27" s="179" t="s">
        <v>91</v>
      </c>
      <c r="P27" s="179" t="s">
        <v>26</v>
      </c>
      <c r="Q27" s="204"/>
      <c r="AJ27" s="36"/>
      <c r="AK27" s="36"/>
      <c r="AL27" s="36"/>
      <c r="AM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</row>
    <row r="28">
      <c r="A28" s="46" t="s">
        <v>22</v>
      </c>
      <c r="B28" s="72">
        <f t="shared" ref="B28:B31" si="58">P28</f>
        <v>7</v>
      </c>
      <c r="C28" s="72">
        <f>12+11</f>
        <v>23</v>
      </c>
      <c r="D28" s="205">
        <f t="shared" ref="D28:D31" si="59">C28-B28</f>
        <v>16</v>
      </c>
      <c r="F28" s="205"/>
      <c r="G28" s="41"/>
      <c r="I28" s="23"/>
      <c r="J28" s="23" t="s">
        <v>92</v>
      </c>
      <c r="K28" s="84" t="s">
        <v>22</v>
      </c>
      <c r="L28" s="66">
        <v>5.0</v>
      </c>
      <c r="M28" s="37">
        <v>2.0</v>
      </c>
      <c r="P28" s="70">
        <f t="shared" ref="P28:P31" si="60">sum(L28:O28)</f>
        <v>7</v>
      </c>
      <c r="S28" s="37" t="s">
        <v>0</v>
      </c>
      <c r="AJ28" s="36"/>
      <c r="AK28" s="36"/>
      <c r="AL28" s="36"/>
      <c r="AM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</row>
    <row r="29">
      <c r="A29" s="46" t="s">
        <v>36</v>
      </c>
      <c r="B29" s="72">
        <f t="shared" si="58"/>
        <v>4</v>
      </c>
      <c r="C29" s="72">
        <f>6+7</f>
        <v>13</v>
      </c>
      <c r="D29" s="205">
        <f t="shared" si="59"/>
        <v>9</v>
      </c>
      <c r="F29" s="205">
        <v>4.0</v>
      </c>
      <c r="G29" s="41"/>
      <c r="I29" s="23"/>
      <c r="J29" s="23" t="s">
        <v>93</v>
      </c>
      <c r="K29" s="84" t="s">
        <v>36</v>
      </c>
      <c r="L29" s="66">
        <v>1.0</v>
      </c>
      <c r="N29" s="37">
        <v>3.0</v>
      </c>
      <c r="P29" s="70">
        <f t="shared" si="60"/>
        <v>4</v>
      </c>
      <c r="AJ29" s="36"/>
      <c r="AK29" s="36"/>
      <c r="AL29" s="36"/>
      <c r="AM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</row>
    <row r="30">
      <c r="A30" s="46" t="s">
        <v>40</v>
      </c>
      <c r="B30" s="72">
        <f t="shared" si="58"/>
        <v>0</v>
      </c>
      <c r="C30" s="72">
        <f>5+6</f>
        <v>11</v>
      </c>
      <c r="D30" s="205">
        <f t="shared" si="59"/>
        <v>11</v>
      </c>
      <c r="F30" s="205"/>
      <c r="G30" s="41"/>
      <c r="I30" s="23"/>
      <c r="J30" s="23" t="s">
        <v>94</v>
      </c>
      <c r="K30" s="84" t="s">
        <v>40</v>
      </c>
      <c r="P30" s="70">
        <f t="shared" si="60"/>
        <v>0</v>
      </c>
      <c r="V30" s="204"/>
    </row>
    <row r="31">
      <c r="A31" s="46" t="s">
        <v>41</v>
      </c>
      <c r="B31" s="72">
        <f t="shared" si="58"/>
        <v>2</v>
      </c>
      <c r="C31" s="72">
        <f>7+7</f>
        <v>14</v>
      </c>
      <c r="D31" s="205">
        <f t="shared" si="59"/>
        <v>12</v>
      </c>
      <c r="F31" s="205"/>
      <c r="G31" s="41"/>
      <c r="I31" s="23"/>
      <c r="J31" s="23" t="s">
        <v>95</v>
      </c>
      <c r="K31" s="84" t="s">
        <v>41</v>
      </c>
      <c r="M31" s="37">
        <v>2.0</v>
      </c>
      <c r="P31" s="70">
        <f t="shared" si="60"/>
        <v>2</v>
      </c>
    </row>
    <row r="32">
      <c r="A32" s="94" t="s">
        <v>44</v>
      </c>
      <c r="B32" s="100">
        <f t="shared" ref="B32:D32" si="61">sum(B28:B31)</f>
        <v>13</v>
      </c>
      <c r="C32" s="100">
        <f t="shared" si="61"/>
        <v>61</v>
      </c>
      <c r="D32" s="100">
        <f t="shared" si="61"/>
        <v>48</v>
      </c>
      <c r="F32" s="100">
        <f>sum(F28:F31)</f>
        <v>4</v>
      </c>
      <c r="G32" s="41"/>
      <c r="K32" s="206" t="s">
        <v>44</v>
      </c>
      <c r="L32" s="100">
        <f t="shared" ref="L32:P32" si="62">sum(L28:L31)</f>
        <v>6</v>
      </c>
      <c r="M32" s="100">
        <f t="shared" si="62"/>
        <v>4</v>
      </c>
      <c r="N32" s="100">
        <f t="shared" si="62"/>
        <v>3</v>
      </c>
      <c r="O32" s="100">
        <f t="shared" si="62"/>
        <v>0</v>
      </c>
      <c r="P32" s="100">
        <f t="shared" si="62"/>
        <v>13</v>
      </c>
    </row>
    <row r="33">
      <c r="A33" s="46"/>
      <c r="B33" s="76"/>
      <c r="C33" s="76"/>
      <c r="D33" s="76"/>
      <c r="F33" s="76"/>
      <c r="G33" s="41"/>
      <c r="K33" s="84"/>
      <c r="L33" s="76"/>
      <c r="M33" s="76"/>
      <c r="N33" s="76"/>
      <c r="O33" s="76"/>
      <c r="P33" s="76"/>
    </row>
    <row r="34">
      <c r="A34" s="46" t="s">
        <v>47</v>
      </c>
      <c r="B34" s="72">
        <f>P34</f>
        <v>1</v>
      </c>
      <c r="C34" s="72">
        <f>7+6</f>
        <v>13</v>
      </c>
      <c r="D34" s="205">
        <f t="shared" ref="D34:D37" si="63">C34-B34</f>
        <v>12</v>
      </c>
      <c r="F34" s="205"/>
      <c r="G34" s="41"/>
      <c r="K34" s="84" t="s">
        <v>47</v>
      </c>
      <c r="L34" s="37">
        <v>1.0</v>
      </c>
      <c r="P34" s="70">
        <f t="shared" ref="P34:P37" si="64">sum(L34:O34)</f>
        <v>1</v>
      </c>
    </row>
    <row r="35">
      <c r="A35" s="46" t="s">
        <v>51</v>
      </c>
      <c r="B35" s="72">
        <v>2.0</v>
      </c>
      <c r="C35" s="72">
        <f>9+9</f>
        <v>18</v>
      </c>
      <c r="D35" s="205">
        <f t="shared" si="63"/>
        <v>16</v>
      </c>
      <c r="F35" s="205">
        <v>2.0</v>
      </c>
      <c r="G35" s="41"/>
      <c r="K35" s="84" t="s">
        <v>51</v>
      </c>
      <c r="M35" s="37">
        <v>1.0</v>
      </c>
      <c r="P35" s="70">
        <f t="shared" si="64"/>
        <v>1</v>
      </c>
    </row>
    <row r="36">
      <c r="A36" s="46" t="s">
        <v>52</v>
      </c>
      <c r="B36" s="72">
        <v>1.0</v>
      </c>
      <c r="C36" s="72">
        <f>5+6</f>
        <v>11</v>
      </c>
      <c r="D36" s="205">
        <f t="shared" si="63"/>
        <v>10</v>
      </c>
      <c r="F36" s="205">
        <v>1.0</v>
      </c>
      <c r="G36" s="41"/>
      <c r="K36" s="84" t="s">
        <v>52</v>
      </c>
      <c r="P36" s="70">
        <f t="shared" si="64"/>
        <v>0</v>
      </c>
    </row>
    <row r="37">
      <c r="A37" s="46" t="s">
        <v>53</v>
      </c>
      <c r="B37" s="72">
        <v>1.0</v>
      </c>
      <c r="C37" s="72">
        <f>9+9</f>
        <v>18</v>
      </c>
      <c r="D37" s="205">
        <f t="shared" si="63"/>
        <v>17</v>
      </c>
      <c r="F37" s="205">
        <v>1.0</v>
      </c>
      <c r="G37" s="41"/>
      <c r="K37" s="84" t="s">
        <v>53</v>
      </c>
      <c r="O37" s="37">
        <v>1.0</v>
      </c>
      <c r="P37" s="70">
        <f t="shared" si="64"/>
        <v>1</v>
      </c>
    </row>
    <row r="38">
      <c r="A38" s="94" t="s">
        <v>54</v>
      </c>
      <c r="B38" s="100">
        <f t="shared" ref="B38:D38" si="65">sum(B34:B37)</f>
        <v>5</v>
      </c>
      <c r="C38" s="100">
        <f t="shared" si="65"/>
        <v>60</v>
      </c>
      <c r="D38" s="100">
        <f t="shared" si="65"/>
        <v>55</v>
      </c>
      <c r="F38" s="100">
        <f>sum(F34:F37)</f>
        <v>4</v>
      </c>
      <c r="G38" s="41"/>
      <c r="K38" s="206" t="s">
        <v>54</v>
      </c>
      <c r="L38" s="100">
        <f t="shared" ref="L38:P38" si="66">sum(L34:L37)</f>
        <v>1</v>
      </c>
      <c r="M38" s="100">
        <f t="shared" si="66"/>
        <v>1</v>
      </c>
      <c r="N38" s="100">
        <f t="shared" si="66"/>
        <v>0</v>
      </c>
      <c r="O38" s="100">
        <f t="shared" si="66"/>
        <v>1</v>
      </c>
      <c r="P38" s="100">
        <f t="shared" si="66"/>
        <v>3</v>
      </c>
    </row>
    <row r="39">
      <c r="A39" s="46"/>
      <c r="B39" s="76"/>
      <c r="C39" s="76"/>
      <c r="D39" s="76"/>
      <c r="F39" s="76"/>
      <c r="G39" s="41"/>
      <c r="K39" s="84"/>
      <c r="L39" s="76"/>
      <c r="M39" s="76"/>
      <c r="N39" s="76"/>
      <c r="O39" s="76"/>
      <c r="P39" s="76"/>
    </row>
    <row r="40">
      <c r="A40" s="46" t="s">
        <v>55</v>
      </c>
      <c r="B40" s="72">
        <v>22.0</v>
      </c>
      <c r="C40" s="72">
        <f>9+9</f>
        <v>18</v>
      </c>
      <c r="D40" s="205">
        <f t="shared" ref="D40:D42" si="67">C40-B40</f>
        <v>-4</v>
      </c>
      <c r="F40" s="205">
        <v>0.0</v>
      </c>
      <c r="G40" s="41"/>
      <c r="K40" s="84" t="s">
        <v>55</v>
      </c>
      <c r="L40" s="66">
        <v>3.0</v>
      </c>
      <c r="M40" s="37">
        <v>4.0</v>
      </c>
      <c r="N40" s="37">
        <v>3.0</v>
      </c>
      <c r="O40" s="37">
        <v>12.0</v>
      </c>
      <c r="P40" s="70">
        <f t="shared" ref="P40:P42" si="68">sum(L40:O40)</f>
        <v>22</v>
      </c>
      <c r="R40" s="207"/>
      <c r="S40" s="207"/>
      <c r="T40" s="207"/>
    </row>
    <row r="41">
      <c r="A41" s="46" t="s">
        <v>57</v>
      </c>
      <c r="B41" s="72">
        <v>3.0</v>
      </c>
      <c r="C41" s="72">
        <f>5+6</f>
        <v>11</v>
      </c>
      <c r="D41" s="205">
        <f t="shared" si="67"/>
        <v>8</v>
      </c>
      <c r="F41" s="205">
        <v>0.0</v>
      </c>
      <c r="G41" s="41"/>
      <c r="K41" s="84" t="s">
        <v>57</v>
      </c>
      <c r="N41" s="37">
        <v>2.0</v>
      </c>
      <c r="O41" s="37">
        <v>1.0</v>
      </c>
      <c r="P41" s="70">
        <f t="shared" si="68"/>
        <v>3</v>
      </c>
      <c r="R41" s="207"/>
      <c r="S41" s="207"/>
      <c r="T41" s="207"/>
    </row>
    <row r="42">
      <c r="A42" s="46" t="s">
        <v>58</v>
      </c>
      <c r="B42" s="72">
        <f>P42</f>
        <v>0</v>
      </c>
      <c r="C42" s="72">
        <f>2+3</f>
        <v>5</v>
      </c>
      <c r="D42" s="205">
        <f t="shared" si="67"/>
        <v>5</v>
      </c>
      <c r="F42" s="205">
        <v>0.0</v>
      </c>
      <c r="G42" s="41"/>
      <c r="K42" s="84" t="s">
        <v>58</v>
      </c>
      <c r="P42" s="70">
        <f t="shared" si="68"/>
        <v>0</v>
      </c>
      <c r="R42" s="207"/>
      <c r="S42" s="207"/>
      <c r="T42" s="207"/>
    </row>
    <row r="43">
      <c r="A43" s="94" t="s">
        <v>59</v>
      </c>
      <c r="B43" s="100">
        <f t="shared" ref="B43:D43" si="69">sum(B40:B42)</f>
        <v>25</v>
      </c>
      <c r="C43" s="100">
        <f t="shared" si="69"/>
        <v>34</v>
      </c>
      <c r="D43" s="100">
        <f t="shared" si="69"/>
        <v>9</v>
      </c>
      <c r="F43" s="100">
        <f>sum(F40:F42)</f>
        <v>0</v>
      </c>
      <c r="G43" s="41"/>
      <c r="K43" s="206" t="s">
        <v>59</v>
      </c>
      <c r="L43" s="100">
        <f t="shared" ref="L43:P43" si="70">sum(L40:L42)</f>
        <v>3</v>
      </c>
      <c r="M43" s="100">
        <f t="shared" si="70"/>
        <v>4</v>
      </c>
      <c r="N43" s="100">
        <f t="shared" si="70"/>
        <v>5</v>
      </c>
      <c r="O43" s="100">
        <f t="shared" si="70"/>
        <v>13</v>
      </c>
      <c r="P43" s="100">
        <f t="shared" si="70"/>
        <v>25</v>
      </c>
    </row>
    <row r="44">
      <c r="A44" s="94"/>
      <c r="B44" s="120"/>
      <c r="C44" s="120"/>
      <c r="D44" s="120"/>
      <c r="F44" s="120"/>
      <c r="G44" s="41"/>
      <c r="K44" s="206"/>
      <c r="L44" s="120"/>
      <c r="M44" s="120"/>
      <c r="N44" s="120"/>
      <c r="O44" s="120"/>
      <c r="P44" s="120"/>
    </row>
    <row r="45">
      <c r="A45" s="94"/>
      <c r="B45" s="114"/>
      <c r="C45" s="114"/>
      <c r="D45" s="114"/>
      <c r="F45" s="114"/>
      <c r="G45" s="41"/>
      <c r="K45" s="206"/>
      <c r="L45" s="114"/>
      <c r="M45" s="114"/>
      <c r="N45" s="114"/>
      <c r="O45" s="114"/>
      <c r="P45" s="114"/>
    </row>
    <row r="46">
      <c r="A46" s="94" t="s">
        <v>13</v>
      </c>
      <c r="B46" s="100">
        <f t="shared" ref="B46:D46" si="71">B43+B38+B32</f>
        <v>43</v>
      </c>
      <c r="C46" s="100">
        <f t="shared" si="71"/>
        <v>155</v>
      </c>
      <c r="D46" s="100">
        <f t="shared" si="71"/>
        <v>112</v>
      </c>
      <c r="F46" s="100">
        <f>F43+F38+F32</f>
        <v>8</v>
      </c>
      <c r="G46" s="41"/>
      <c r="K46" s="206" t="s">
        <v>13</v>
      </c>
      <c r="L46" s="100">
        <f t="shared" ref="L46:P46" si="72">L43+L38+L32</f>
        <v>10</v>
      </c>
      <c r="M46" s="100">
        <f t="shared" si="72"/>
        <v>9</v>
      </c>
      <c r="N46" s="100">
        <f t="shared" si="72"/>
        <v>8</v>
      </c>
      <c r="O46" s="100">
        <f t="shared" si="72"/>
        <v>14</v>
      </c>
      <c r="P46" s="100">
        <f t="shared" si="72"/>
        <v>41</v>
      </c>
    </row>
    <row r="47">
      <c r="A47" s="208"/>
      <c r="B47" s="209"/>
      <c r="C47" s="209"/>
      <c r="D47" s="209"/>
      <c r="E47" s="209"/>
      <c r="F47" s="209"/>
      <c r="G47" s="210"/>
    </row>
    <row r="49">
      <c r="A49" s="196" t="s">
        <v>63</v>
      </c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2"/>
      <c r="X49" s="18" t="s">
        <v>2</v>
      </c>
      <c r="Y49" s="160" t="s">
        <v>3</v>
      </c>
    </row>
    <row r="50">
      <c r="A50" s="39"/>
      <c r="B50" s="194"/>
      <c r="C50" s="163" t="str">
        <f>C4</f>
        <v>OCT</v>
      </c>
      <c r="D50" s="30"/>
      <c r="E50" s="30"/>
      <c r="F50" s="30"/>
      <c r="G50" s="163" t="str">
        <f>H4</f>
        <v>NOV</v>
      </c>
      <c r="H50" s="30"/>
      <c r="I50" s="30"/>
      <c r="J50" s="30"/>
      <c r="K50" s="30"/>
      <c r="L50" s="163" t="str">
        <f>N4</f>
        <v>DEC</v>
      </c>
      <c r="M50" s="30"/>
      <c r="N50" s="30"/>
      <c r="O50" s="30"/>
      <c r="P50" s="163"/>
      <c r="Q50" s="163"/>
      <c r="R50" s="164" t="s">
        <v>13</v>
      </c>
      <c r="S50" s="30"/>
      <c r="T50" s="30"/>
      <c r="U50" s="42"/>
      <c r="Y50" s="36"/>
    </row>
    <row r="51">
      <c r="A51" s="43"/>
      <c r="B51" s="194"/>
      <c r="C51" s="179" t="s">
        <v>64</v>
      </c>
      <c r="D51" s="179" t="s">
        <v>65</v>
      </c>
      <c r="E51" s="179" t="s">
        <v>26</v>
      </c>
      <c r="F51" s="179" t="s">
        <v>66</v>
      </c>
      <c r="G51" s="179" t="s">
        <v>64</v>
      </c>
      <c r="H51" s="179" t="s">
        <v>65</v>
      </c>
      <c r="I51" s="179"/>
      <c r="J51" s="179" t="s">
        <v>26</v>
      </c>
      <c r="K51" s="179" t="s">
        <v>66</v>
      </c>
      <c r="L51" s="179" t="s">
        <v>64</v>
      </c>
      <c r="M51" s="179" t="s">
        <v>65</v>
      </c>
      <c r="N51" s="179" t="s">
        <v>26</v>
      </c>
      <c r="O51" s="179" t="s">
        <v>66</v>
      </c>
      <c r="P51" s="211"/>
      <c r="Q51" s="179"/>
      <c r="R51" s="179" t="s">
        <v>64</v>
      </c>
      <c r="S51" s="179" t="s">
        <v>65</v>
      </c>
      <c r="T51" s="179" t="s">
        <v>26</v>
      </c>
      <c r="U51" s="181" t="s">
        <v>66</v>
      </c>
      <c r="Y51" s="36"/>
    </row>
    <row r="52">
      <c r="A52" s="156" t="s">
        <v>22</v>
      </c>
      <c r="B52" s="194"/>
      <c r="C52" s="48">
        <v>127.0</v>
      </c>
      <c r="D52" s="48">
        <v>0.0</v>
      </c>
      <c r="E52" s="70">
        <f>SUM(C52:D52)</f>
        <v>127</v>
      </c>
      <c r="F52" s="72">
        <v>170.0</v>
      </c>
      <c r="G52" s="158">
        <v>199.0</v>
      </c>
      <c r="H52" s="48">
        <v>0.0</v>
      </c>
      <c r="I52" s="70"/>
      <c r="J52" s="70">
        <f>SUM(G52:H52)</f>
        <v>199</v>
      </c>
      <c r="K52" s="72">
        <v>159.0</v>
      </c>
      <c r="L52" s="158">
        <v>192.0</v>
      </c>
      <c r="M52" s="48">
        <v>0.0</v>
      </c>
      <c r="N52" s="70">
        <f>SUM(L52:M52)</f>
        <v>192</v>
      </c>
      <c r="O52" s="72">
        <v>128.0</v>
      </c>
      <c r="P52" s="120"/>
      <c r="Q52" s="83" t="str">
        <f t="shared" ref="Q52:Q58" si="76">B52</f>
        <v/>
      </c>
      <c r="R52" s="84">
        <f t="shared" ref="R52:S52" si="73">L52+G52+C52</f>
        <v>518</v>
      </c>
      <c r="S52" s="84">
        <f t="shared" si="73"/>
        <v>0</v>
      </c>
      <c r="T52" s="70">
        <f>sum(Q52:S52)</f>
        <v>518</v>
      </c>
      <c r="U52" s="86">
        <f>O52+K52+F52</f>
        <v>457</v>
      </c>
      <c r="X52" s="119">
        <v>46006.0</v>
      </c>
      <c r="Y52" s="99" t="s">
        <v>46</v>
      </c>
    </row>
    <row r="53">
      <c r="A53" s="161" t="s">
        <v>44</v>
      </c>
      <c r="B53" s="194"/>
      <c r="C53" s="95">
        <f t="shared" ref="C53:H53" si="74">sum(C52)</f>
        <v>127</v>
      </c>
      <c r="D53" s="95">
        <f t="shared" si="74"/>
        <v>0</v>
      </c>
      <c r="E53" s="95">
        <f t="shared" si="74"/>
        <v>127</v>
      </c>
      <c r="F53" s="95">
        <f t="shared" si="74"/>
        <v>170</v>
      </c>
      <c r="G53" s="95">
        <f t="shared" si="74"/>
        <v>199</v>
      </c>
      <c r="H53" s="95">
        <f t="shared" si="74"/>
        <v>0</v>
      </c>
      <c r="I53" s="95"/>
      <c r="J53" s="95">
        <f t="shared" ref="J53:O53" si="75">sum(J52)</f>
        <v>199</v>
      </c>
      <c r="K53" s="95">
        <f t="shared" si="75"/>
        <v>159</v>
      </c>
      <c r="L53" s="95">
        <f t="shared" si="75"/>
        <v>192</v>
      </c>
      <c r="M53" s="95">
        <f t="shared" si="75"/>
        <v>0</v>
      </c>
      <c r="N53" s="95">
        <f t="shared" si="75"/>
        <v>192</v>
      </c>
      <c r="O53" s="95">
        <f t="shared" si="75"/>
        <v>128</v>
      </c>
      <c r="P53" s="120"/>
      <c r="Q53" s="83" t="str">
        <f t="shared" si="76"/>
        <v/>
      </c>
      <c r="R53" s="95">
        <f t="shared" ref="R53:U53" si="77">sum(R52)</f>
        <v>518</v>
      </c>
      <c r="S53" s="95">
        <f t="shared" si="77"/>
        <v>0</v>
      </c>
      <c r="T53" s="95">
        <f t="shared" si="77"/>
        <v>518</v>
      </c>
      <c r="U53" s="115">
        <f t="shared" si="77"/>
        <v>457</v>
      </c>
      <c r="Y53" s="36"/>
    </row>
    <row r="54">
      <c r="A54" s="156" t="s">
        <v>51</v>
      </c>
      <c r="B54" s="194"/>
      <c r="C54" s="48">
        <v>14.0</v>
      </c>
      <c r="D54" s="84">
        <v>0.0</v>
      </c>
      <c r="E54" s="70">
        <f>SUM(C54:D54)</f>
        <v>14</v>
      </c>
      <c r="F54" s="72">
        <v>32.0</v>
      </c>
      <c r="G54" s="158">
        <v>6.0</v>
      </c>
      <c r="H54" s="84">
        <v>0.0</v>
      </c>
      <c r="I54" s="70"/>
      <c r="J54" s="70">
        <f>SUM(G54:H54)</f>
        <v>6</v>
      </c>
      <c r="K54" s="72">
        <v>25.0</v>
      </c>
      <c r="L54" s="158">
        <v>24.0</v>
      </c>
      <c r="M54" s="84">
        <v>0.0</v>
      </c>
      <c r="N54" s="70">
        <v>10.0</v>
      </c>
      <c r="O54" s="72">
        <v>40.0</v>
      </c>
      <c r="P54" s="120"/>
      <c r="Q54" s="83" t="str">
        <f t="shared" si="76"/>
        <v/>
      </c>
      <c r="R54" s="84">
        <f>L54+G54+P58+C54</f>
        <v>44</v>
      </c>
      <c r="S54" s="84">
        <f>M54+H54+D54</f>
        <v>0</v>
      </c>
      <c r="T54" s="70">
        <f>sum(Q54:S54)</f>
        <v>44</v>
      </c>
      <c r="U54" s="86">
        <f>O54+K54+F54</f>
        <v>97</v>
      </c>
      <c r="X54" s="119">
        <v>46022.0</v>
      </c>
      <c r="Y54" s="99" t="s">
        <v>56</v>
      </c>
    </row>
    <row r="55">
      <c r="A55" s="161" t="s">
        <v>54</v>
      </c>
      <c r="B55" s="194"/>
      <c r="C55" s="95">
        <f t="shared" ref="C55:H55" si="78">sum(C54)</f>
        <v>14</v>
      </c>
      <c r="D55" s="95">
        <f t="shared" si="78"/>
        <v>0</v>
      </c>
      <c r="E55" s="95">
        <f t="shared" si="78"/>
        <v>14</v>
      </c>
      <c r="F55" s="95">
        <f t="shared" si="78"/>
        <v>32</v>
      </c>
      <c r="G55" s="95">
        <f t="shared" si="78"/>
        <v>6</v>
      </c>
      <c r="H55" s="95">
        <f t="shared" si="78"/>
        <v>0</v>
      </c>
      <c r="I55" s="95"/>
      <c r="J55" s="95">
        <f t="shared" ref="J55:O55" si="79">sum(J54)</f>
        <v>6</v>
      </c>
      <c r="K55" s="95">
        <f t="shared" si="79"/>
        <v>25</v>
      </c>
      <c r="L55" s="95">
        <f t="shared" si="79"/>
        <v>24</v>
      </c>
      <c r="M55" s="95">
        <f t="shared" si="79"/>
        <v>0</v>
      </c>
      <c r="N55" s="95">
        <f t="shared" si="79"/>
        <v>10</v>
      </c>
      <c r="O55" s="95">
        <f t="shared" si="79"/>
        <v>40</v>
      </c>
      <c r="P55" s="120"/>
      <c r="Q55" s="83" t="str">
        <f t="shared" si="76"/>
        <v/>
      </c>
      <c r="R55" s="95">
        <f t="shared" ref="R55:U55" si="80">sum(R54)</f>
        <v>44</v>
      </c>
      <c r="S55" s="95">
        <f t="shared" si="80"/>
        <v>0</v>
      </c>
      <c r="T55" s="95">
        <f t="shared" si="80"/>
        <v>44</v>
      </c>
      <c r="U55" s="115">
        <f t="shared" si="80"/>
        <v>97</v>
      </c>
      <c r="Y55" s="36"/>
    </row>
    <row r="56">
      <c r="A56" s="156" t="s">
        <v>55</v>
      </c>
      <c r="B56" s="194"/>
      <c r="C56" s="48">
        <v>144.0</v>
      </c>
      <c r="D56" s="84">
        <v>0.0</v>
      </c>
      <c r="E56" s="70">
        <f>SUM(C56:D56)</f>
        <v>144</v>
      </c>
      <c r="F56" s="72">
        <v>49.0</v>
      </c>
      <c r="G56" s="158">
        <v>61.0</v>
      </c>
      <c r="H56" s="84">
        <v>0.0</v>
      </c>
      <c r="I56" s="70"/>
      <c r="J56" s="70">
        <f>SUM(G56:H56)</f>
        <v>61</v>
      </c>
      <c r="K56" s="72">
        <v>40.0</v>
      </c>
      <c r="L56" s="158">
        <v>49.0</v>
      </c>
      <c r="M56" s="84">
        <v>0.0</v>
      </c>
      <c r="N56" s="70">
        <f>SUM(L56:M56)</f>
        <v>49</v>
      </c>
      <c r="O56" s="72">
        <v>32.0</v>
      </c>
      <c r="P56" s="120"/>
      <c r="Q56" s="83" t="str">
        <f t="shared" si="76"/>
        <v/>
      </c>
      <c r="R56" s="84">
        <f t="shared" ref="R56:S56" si="81">L56+G56+C56</f>
        <v>254</v>
      </c>
      <c r="S56" s="84">
        <f t="shared" si="81"/>
        <v>0</v>
      </c>
      <c r="T56" s="70">
        <f>sum(Q56:S56)</f>
        <v>254</v>
      </c>
      <c r="U56" s="86">
        <f>O56+K56+F56</f>
        <v>121</v>
      </c>
      <c r="Y56" s="36"/>
    </row>
    <row r="57">
      <c r="A57" s="161"/>
      <c r="B57" s="194"/>
      <c r="C57" s="95">
        <f t="shared" ref="C57:H57" si="82">sum(C56)</f>
        <v>144</v>
      </c>
      <c r="D57" s="95">
        <f t="shared" si="82"/>
        <v>0</v>
      </c>
      <c r="E57" s="95">
        <f t="shared" si="82"/>
        <v>144</v>
      </c>
      <c r="F57" s="95">
        <f t="shared" si="82"/>
        <v>49</v>
      </c>
      <c r="G57" s="95">
        <f t="shared" si="82"/>
        <v>61</v>
      </c>
      <c r="H57" s="95">
        <f t="shared" si="82"/>
        <v>0</v>
      </c>
      <c r="I57" s="95"/>
      <c r="J57" s="95">
        <f t="shared" ref="J57:O57" si="83">sum(J56)</f>
        <v>61</v>
      </c>
      <c r="K57" s="95">
        <f t="shared" si="83"/>
        <v>40</v>
      </c>
      <c r="L57" s="95">
        <f t="shared" si="83"/>
        <v>49</v>
      </c>
      <c r="M57" s="95">
        <f t="shared" si="83"/>
        <v>0</v>
      </c>
      <c r="N57" s="95">
        <f t="shared" si="83"/>
        <v>49</v>
      </c>
      <c r="O57" s="95">
        <f t="shared" si="83"/>
        <v>32</v>
      </c>
      <c r="P57" s="120"/>
      <c r="Q57" s="83" t="str">
        <f t="shared" si="76"/>
        <v/>
      </c>
      <c r="R57" s="95">
        <f t="shared" ref="R57:U57" si="84">sum(R56)</f>
        <v>254</v>
      </c>
      <c r="S57" s="95">
        <f t="shared" si="84"/>
        <v>0</v>
      </c>
      <c r="T57" s="95">
        <f t="shared" si="84"/>
        <v>254</v>
      </c>
      <c r="U57" s="115">
        <f t="shared" si="84"/>
        <v>121</v>
      </c>
      <c r="X57" s="119">
        <v>46022.0</v>
      </c>
      <c r="Y57" s="99" t="s">
        <v>81</v>
      </c>
    </row>
    <row r="58">
      <c r="A58" s="161"/>
      <c r="B58" s="194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83" t="str">
        <f t="shared" si="76"/>
        <v/>
      </c>
      <c r="R58" s="120"/>
      <c r="S58" s="120"/>
      <c r="T58" s="120"/>
      <c r="U58" s="137"/>
    </row>
    <row r="59">
      <c r="A59" s="39"/>
      <c r="B59" s="36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37"/>
    </row>
    <row r="60">
      <c r="A60" s="165" t="s">
        <v>13</v>
      </c>
      <c r="B60" s="212"/>
      <c r="C60" s="123">
        <f t="shared" ref="C60:H60" si="85">C57+C55+C53</f>
        <v>285</v>
      </c>
      <c r="D60" s="123">
        <f t="shared" si="85"/>
        <v>0</v>
      </c>
      <c r="E60" s="123">
        <f t="shared" si="85"/>
        <v>285</v>
      </c>
      <c r="F60" s="123">
        <f t="shared" si="85"/>
        <v>251</v>
      </c>
      <c r="G60" s="123">
        <f t="shared" si="85"/>
        <v>266</v>
      </c>
      <c r="H60" s="123">
        <f t="shared" si="85"/>
        <v>0</v>
      </c>
      <c r="I60" s="123"/>
      <c r="J60" s="123">
        <f t="shared" ref="J60:O60" si="86">J57+J55+J53</f>
        <v>266</v>
      </c>
      <c r="K60" s="123">
        <f t="shared" si="86"/>
        <v>224</v>
      </c>
      <c r="L60" s="123">
        <f t="shared" si="86"/>
        <v>265</v>
      </c>
      <c r="M60" s="123">
        <f t="shared" si="86"/>
        <v>0</v>
      </c>
      <c r="N60" s="123">
        <f t="shared" si="86"/>
        <v>251</v>
      </c>
      <c r="O60" s="123">
        <f t="shared" si="86"/>
        <v>200</v>
      </c>
      <c r="P60" s="166"/>
      <c r="Q60" s="166"/>
      <c r="R60" s="123">
        <f t="shared" ref="R60:U60" si="87">R57+R55+R53</f>
        <v>816</v>
      </c>
      <c r="S60" s="123">
        <f t="shared" si="87"/>
        <v>0</v>
      </c>
      <c r="T60" s="123">
        <f t="shared" si="87"/>
        <v>816</v>
      </c>
      <c r="U60" s="125">
        <f t="shared" si="87"/>
        <v>675</v>
      </c>
    </row>
    <row r="62">
      <c r="A62" s="198" t="s">
        <v>71</v>
      </c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70"/>
      <c r="P62" s="18" t="s">
        <v>2</v>
      </c>
      <c r="Q62" s="160" t="s">
        <v>3</v>
      </c>
      <c r="R62" s="18"/>
      <c r="S62" s="160"/>
    </row>
    <row r="63">
      <c r="A63" s="22"/>
      <c r="B63" s="194" t="str">
        <f>C50</f>
        <v>OCT</v>
      </c>
      <c r="E63" s="194"/>
      <c r="F63" s="178" t="str">
        <f>G50</f>
        <v>NOV</v>
      </c>
      <c r="I63" s="178"/>
      <c r="J63" s="178" t="str">
        <f>L50</f>
        <v>DEC</v>
      </c>
      <c r="M63" s="178"/>
      <c r="N63" s="178" t="s">
        <v>13</v>
      </c>
      <c r="O63" s="199"/>
      <c r="P63" s="36"/>
      <c r="Q63" s="36"/>
    </row>
    <row r="64">
      <c r="A64" s="47"/>
      <c r="B64" s="179" t="s">
        <v>12</v>
      </c>
      <c r="C64" s="179" t="s">
        <v>24</v>
      </c>
      <c r="D64" s="179" t="s">
        <v>27</v>
      </c>
      <c r="E64" s="179"/>
      <c r="F64" s="179" t="s">
        <v>24</v>
      </c>
      <c r="G64" s="179" t="s">
        <v>27</v>
      </c>
      <c r="H64" s="179"/>
      <c r="I64" s="179"/>
      <c r="J64" s="179" t="s">
        <v>24</v>
      </c>
      <c r="K64" s="179" t="s">
        <v>27</v>
      </c>
      <c r="L64" s="179"/>
      <c r="M64" s="179" t="s">
        <v>12</v>
      </c>
      <c r="N64" s="179" t="s">
        <v>24</v>
      </c>
      <c r="O64" s="181" t="s">
        <v>27</v>
      </c>
      <c r="Q64" s="36"/>
    </row>
    <row r="65">
      <c r="A65" s="62" t="s">
        <v>36</v>
      </c>
      <c r="B65" s="195"/>
      <c r="C65" s="48">
        <v>69.0</v>
      </c>
      <c r="D65" s="72">
        <v>48.0</v>
      </c>
      <c r="E65" s="76">
        <f t="shared" ref="E65:E78" si="89">C65/D65</f>
        <v>1.4375</v>
      </c>
      <c r="F65" s="48">
        <v>49.0</v>
      </c>
      <c r="G65" s="72">
        <v>45.0</v>
      </c>
      <c r="H65" s="76">
        <f t="shared" ref="H65:H78" si="90">F65/G65</f>
        <v>1.088888889</v>
      </c>
      <c r="I65" s="48"/>
      <c r="J65" s="48">
        <v>23.0</v>
      </c>
      <c r="K65" s="72">
        <v>32.0</v>
      </c>
      <c r="L65" s="76">
        <f t="shared" ref="L65:L78" si="91">J65/K65</f>
        <v>0.71875</v>
      </c>
      <c r="M65" s="83" t="str">
        <f t="shared" ref="M65:M68" si="92">B65</f>
        <v/>
      </c>
      <c r="N65" s="84">
        <f t="shared" ref="N65:O65" si="88">J65+F65+C65</f>
        <v>141</v>
      </c>
      <c r="O65" s="86">
        <f t="shared" si="88"/>
        <v>125</v>
      </c>
      <c r="P65" s="213"/>
      <c r="Q65" s="99" t="s">
        <v>46</v>
      </c>
    </row>
    <row r="66">
      <c r="A66" s="62" t="s">
        <v>40</v>
      </c>
      <c r="B66" s="195"/>
      <c r="C66" s="48">
        <v>47.0</v>
      </c>
      <c r="D66" s="72">
        <v>47.0</v>
      </c>
      <c r="E66" s="76">
        <f t="shared" si="89"/>
        <v>1</v>
      </c>
      <c r="F66" s="48">
        <v>36.0</v>
      </c>
      <c r="G66" s="72">
        <v>43.0</v>
      </c>
      <c r="H66" s="76">
        <f t="shared" si="90"/>
        <v>0.8372093023</v>
      </c>
      <c r="I66" s="48"/>
      <c r="J66" s="48">
        <v>29.0</v>
      </c>
      <c r="K66" s="72">
        <v>31.0</v>
      </c>
      <c r="L66" s="76">
        <f t="shared" si="91"/>
        <v>0.935483871</v>
      </c>
      <c r="M66" s="83" t="str">
        <f t="shared" si="92"/>
        <v/>
      </c>
      <c r="N66" s="84">
        <f t="shared" ref="N66:O66" si="93">J66+F66+C66</f>
        <v>112</v>
      </c>
      <c r="O66" s="86">
        <f t="shared" si="93"/>
        <v>121</v>
      </c>
      <c r="P66" s="213"/>
      <c r="Q66" s="99" t="s">
        <v>46</v>
      </c>
    </row>
    <row r="67">
      <c r="A67" s="62" t="s">
        <v>41</v>
      </c>
      <c r="B67" s="195"/>
      <c r="C67" s="48">
        <v>46.0</v>
      </c>
      <c r="D67" s="72">
        <v>59.0</v>
      </c>
      <c r="E67" s="76">
        <f t="shared" si="89"/>
        <v>0.7796610169</v>
      </c>
      <c r="F67" s="48">
        <v>40.0</v>
      </c>
      <c r="G67" s="72">
        <v>54.0</v>
      </c>
      <c r="H67" s="76">
        <f t="shared" si="90"/>
        <v>0.7407407407</v>
      </c>
      <c r="I67" s="48"/>
      <c r="J67" s="48">
        <v>23.0</v>
      </c>
      <c r="K67" s="72">
        <v>39.0</v>
      </c>
      <c r="L67" s="76">
        <f t="shared" si="91"/>
        <v>0.5897435897</v>
      </c>
      <c r="M67" s="83" t="str">
        <f t="shared" si="92"/>
        <v/>
      </c>
      <c r="N67" s="84">
        <f t="shared" ref="N67:O67" si="94">J67+F67+C67</f>
        <v>109</v>
      </c>
      <c r="O67" s="86">
        <f t="shared" si="94"/>
        <v>152</v>
      </c>
      <c r="P67" s="119">
        <v>46024.0</v>
      </c>
      <c r="Q67" s="99" t="s">
        <v>46</v>
      </c>
    </row>
    <row r="68">
      <c r="A68" s="62" t="s">
        <v>49</v>
      </c>
      <c r="B68" s="195"/>
      <c r="C68" s="87">
        <v>64.0</v>
      </c>
      <c r="D68" s="72">
        <v>62.0</v>
      </c>
      <c r="E68" s="76">
        <f t="shared" si="89"/>
        <v>1.032258065</v>
      </c>
      <c r="F68" s="48">
        <v>50.0</v>
      </c>
      <c r="G68" s="72">
        <v>57.0</v>
      </c>
      <c r="H68" s="76">
        <f t="shared" si="90"/>
        <v>0.8771929825</v>
      </c>
      <c r="I68" s="48"/>
      <c r="J68" s="48">
        <v>32.0</v>
      </c>
      <c r="K68" s="72">
        <v>40.0</v>
      </c>
      <c r="L68" s="76">
        <f t="shared" si="91"/>
        <v>0.8</v>
      </c>
      <c r="M68" s="83" t="str">
        <f t="shared" si="92"/>
        <v/>
      </c>
      <c r="N68" s="84">
        <f t="shared" ref="N68:O68" si="95">J68+F68+C68</f>
        <v>146</v>
      </c>
      <c r="O68" s="86">
        <f t="shared" si="95"/>
        <v>159</v>
      </c>
      <c r="P68" s="213">
        <v>46024.0</v>
      </c>
      <c r="Q68" s="99" t="s">
        <v>46</v>
      </c>
    </row>
    <row r="69">
      <c r="A69" s="112" t="s">
        <v>44</v>
      </c>
      <c r="B69" s="95">
        <f t="shared" ref="B69:D69" si="96">sum(B65:B68)</f>
        <v>0</v>
      </c>
      <c r="C69" s="95">
        <f t="shared" si="96"/>
        <v>226</v>
      </c>
      <c r="D69" s="95">
        <f t="shared" si="96"/>
        <v>216</v>
      </c>
      <c r="E69" s="76">
        <f t="shared" si="89"/>
        <v>1.046296296</v>
      </c>
      <c r="F69" s="95">
        <f t="shared" ref="F69:G69" si="97">sum(F65:F68)</f>
        <v>175</v>
      </c>
      <c r="G69" s="95">
        <f t="shared" si="97"/>
        <v>199</v>
      </c>
      <c r="H69" s="76">
        <f t="shared" si="90"/>
        <v>0.8793969849</v>
      </c>
      <c r="I69" s="184"/>
      <c r="J69" s="95">
        <f t="shared" ref="J69:K69" si="98">sum(J65:J68)</f>
        <v>107</v>
      </c>
      <c r="K69" s="95">
        <f t="shared" si="98"/>
        <v>142</v>
      </c>
      <c r="L69" s="76">
        <f t="shared" si="91"/>
        <v>0.7535211268</v>
      </c>
      <c r="M69" s="95">
        <f t="shared" ref="M69:O69" si="99">sum(M65:M68)</f>
        <v>0</v>
      </c>
      <c r="N69" s="95">
        <f t="shared" si="99"/>
        <v>508</v>
      </c>
      <c r="O69" s="115">
        <f t="shared" si="99"/>
        <v>557</v>
      </c>
      <c r="Q69" s="36"/>
    </row>
    <row r="70">
      <c r="A70" s="62" t="s">
        <v>52</v>
      </c>
      <c r="B70" s="195"/>
      <c r="C70" s="84">
        <v>43.0</v>
      </c>
      <c r="D70" s="72">
        <v>44.0</v>
      </c>
      <c r="E70" s="76">
        <f t="shared" si="89"/>
        <v>0.9772727273</v>
      </c>
      <c r="F70" s="48">
        <v>42.0</v>
      </c>
      <c r="G70" s="72">
        <v>41.0</v>
      </c>
      <c r="H70" s="76">
        <f t="shared" si="90"/>
        <v>1.024390244</v>
      </c>
      <c r="I70" s="48"/>
      <c r="J70" s="48">
        <v>28.0</v>
      </c>
      <c r="K70" s="72">
        <v>28.0</v>
      </c>
      <c r="L70" s="76">
        <f t="shared" si="91"/>
        <v>1</v>
      </c>
      <c r="M70" s="83" t="str">
        <f t="shared" ref="M70:M73" si="101">B70</f>
        <v/>
      </c>
      <c r="N70" s="84">
        <f t="shared" ref="N70:O70" si="100">J70+F70+C70</f>
        <v>113</v>
      </c>
      <c r="O70" s="86">
        <f t="shared" si="100"/>
        <v>113</v>
      </c>
      <c r="P70" s="119">
        <v>46020.0</v>
      </c>
      <c r="Q70" s="99" t="s">
        <v>56</v>
      </c>
    </row>
    <row r="71">
      <c r="A71" s="62" t="s">
        <v>51</v>
      </c>
      <c r="B71" s="195"/>
      <c r="C71" s="84">
        <v>36.0</v>
      </c>
      <c r="D71" s="72">
        <v>51.0</v>
      </c>
      <c r="E71" s="76">
        <f t="shared" si="89"/>
        <v>0.7058823529</v>
      </c>
      <c r="F71" s="48">
        <v>27.0</v>
      </c>
      <c r="G71" s="72">
        <v>47.0</v>
      </c>
      <c r="H71" s="76">
        <f t="shared" si="90"/>
        <v>0.5744680851</v>
      </c>
      <c r="I71" s="48"/>
      <c r="J71" s="48">
        <v>31.0</v>
      </c>
      <c r="K71" s="72">
        <v>33.0</v>
      </c>
      <c r="L71" s="76">
        <f t="shared" si="91"/>
        <v>0.9393939394</v>
      </c>
      <c r="M71" s="83" t="str">
        <f t="shared" si="101"/>
        <v/>
      </c>
      <c r="N71" s="84">
        <f t="shared" ref="N71:O71" si="102">J71+F71+C71</f>
        <v>94</v>
      </c>
      <c r="O71" s="86">
        <f t="shared" si="102"/>
        <v>131</v>
      </c>
      <c r="P71" s="119">
        <v>46020.0</v>
      </c>
      <c r="Q71" s="99" t="s">
        <v>56</v>
      </c>
    </row>
    <row r="72">
      <c r="A72" s="62" t="s">
        <v>47</v>
      </c>
      <c r="B72" s="195"/>
      <c r="C72" s="84">
        <v>44.0</v>
      </c>
      <c r="D72" s="72">
        <v>41.0</v>
      </c>
      <c r="E72" s="76">
        <f t="shared" si="89"/>
        <v>1.073170732</v>
      </c>
      <c r="F72" s="48">
        <v>27.0</v>
      </c>
      <c r="G72" s="72">
        <v>38.0</v>
      </c>
      <c r="H72" s="76">
        <f t="shared" si="90"/>
        <v>0.7105263158</v>
      </c>
      <c r="I72" s="48"/>
      <c r="J72" s="48">
        <v>28.0</v>
      </c>
      <c r="K72" s="72">
        <v>25.0</v>
      </c>
      <c r="L72" s="76">
        <f t="shared" si="91"/>
        <v>1.12</v>
      </c>
      <c r="M72" s="83" t="str">
        <f t="shared" si="101"/>
        <v/>
      </c>
      <c r="N72" s="84">
        <f t="shared" ref="N72:O72" si="103">J72+F72+C72</f>
        <v>99</v>
      </c>
      <c r="O72" s="86">
        <f t="shared" si="103"/>
        <v>104</v>
      </c>
      <c r="P72" s="119">
        <v>46020.0</v>
      </c>
      <c r="Q72" s="99" t="s">
        <v>56</v>
      </c>
    </row>
    <row r="73">
      <c r="A73" s="62" t="s">
        <v>53</v>
      </c>
      <c r="B73" s="195"/>
      <c r="C73" s="84">
        <v>88.0</v>
      </c>
      <c r="D73" s="72">
        <v>94.0</v>
      </c>
      <c r="E73" s="76">
        <f t="shared" si="89"/>
        <v>0.9361702128</v>
      </c>
      <c r="F73" s="48">
        <v>63.0</v>
      </c>
      <c r="G73" s="72">
        <v>86.0</v>
      </c>
      <c r="H73" s="76">
        <f t="shared" si="90"/>
        <v>0.7325581395</v>
      </c>
      <c r="I73" s="48"/>
      <c r="J73" s="48">
        <v>54.0</v>
      </c>
      <c r="K73" s="72">
        <v>60.0</v>
      </c>
      <c r="L73" s="76">
        <f t="shared" si="91"/>
        <v>0.9</v>
      </c>
      <c r="M73" s="83" t="str">
        <f t="shared" si="101"/>
        <v/>
      </c>
      <c r="N73" s="84">
        <f t="shared" ref="N73:O73" si="104">J73+F73+C73</f>
        <v>205</v>
      </c>
      <c r="O73" s="86">
        <f t="shared" si="104"/>
        <v>240</v>
      </c>
      <c r="P73" s="119">
        <v>46020.0</v>
      </c>
      <c r="Q73" s="99" t="s">
        <v>56</v>
      </c>
    </row>
    <row r="74">
      <c r="A74" s="112" t="s">
        <v>54</v>
      </c>
      <c r="B74" s="95">
        <f t="shared" ref="B74:D74" si="105">sum(B70:B73)</f>
        <v>0</v>
      </c>
      <c r="C74" s="95">
        <f t="shared" si="105"/>
        <v>211</v>
      </c>
      <c r="D74" s="95">
        <f t="shared" si="105"/>
        <v>230</v>
      </c>
      <c r="E74" s="76">
        <f t="shared" si="89"/>
        <v>0.9173913043</v>
      </c>
      <c r="F74" s="95">
        <f t="shared" ref="F74:G74" si="106">sum(F70:F73)</f>
        <v>159</v>
      </c>
      <c r="G74" s="95">
        <f t="shared" si="106"/>
        <v>212</v>
      </c>
      <c r="H74" s="76">
        <f t="shared" si="90"/>
        <v>0.75</v>
      </c>
      <c r="I74" s="184"/>
      <c r="J74" s="95">
        <f t="shared" ref="J74:K74" si="107">sum(J70:J73)</f>
        <v>141</v>
      </c>
      <c r="K74" s="95">
        <f t="shared" si="107"/>
        <v>146</v>
      </c>
      <c r="L74" s="76">
        <f t="shared" si="91"/>
        <v>0.9657534247</v>
      </c>
      <c r="M74" s="95">
        <f t="shared" ref="M74:O74" si="108">sum(M70:M73)</f>
        <v>0</v>
      </c>
      <c r="N74" s="95">
        <f t="shared" si="108"/>
        <v>511</v>
      </c>
      <c r="O74" s="115">
        <f t="shared" si="108"/>
        <v>588</v>
      </c>
      <c r="Q74" s="36"/>
    </row>
    <row r="75">
      <c r="A75" s="62" t="s">
        <v>55</v>
      </c>
      <c r="B75" s="195"/>
      <c r="C75" s="84">
        <v>33.0</v>
      </c>
      <c r="D75" s="72">
        <v>38.0</v>
      </c>
      <c r="E75" s="76">
        <f t="shared" si="89"/>
        <v>0.8684210526</v>
      </c>
      <c r="F75" s="48">
        <v>25.0</v>
      </c>
      <c r="G75" s="72">
        <v>35.0</v>
      </c>
      <c r="H75" s="76">
        <f t="shared" si="90"/>
        <v>0.7142857143</v>
      </c>
      <c r="I75" s="48"/>
      <c r="J75" s="48">
        <v>23.0</v>
      </c>
      <c r="K75" s="72">
        <v>25.0</v>
      </c>
      <c r="L75" s="76">
        <f t="shared" si="91"/>
        <v>0.92</v>
      </c>
      <c r="M75" s="83" t="str">
        <f t="shared" ref="M75:M77" si="110">B75</f>
        <v/>
      </c>
      <c r="N75" s="84">
        <f t="shared" ref="N75:O75" si="109">J75+F75+C75</f>
        <v>81</v>
      </c>
      <c r="O75" s="86">
        <f t="shared" si="109"/>
        <v>98</v>
      </c>
      <c r="P75" s="119">
        <v>46020.0</v>
      </c>
      <c r="Q75" s="99" t="s">
        <v>81</v>
      </c>
    </row>
    <row r="76">
      <c r="A76" s="62" t="s">
        <v>57</v>
      </c>
      <c r="B76" s="195"/>
      <c r="C76" s="84">
        <v>39.0</v>
      </c>
      <c r="D76" s="72">
        <v>51.0</v>
      </c>
      <c r="E76" s="76">
        <f t="shared" si="89"/>
        <v>0.7647058824</v>
      </c>
      <c r="F76" s="48">
        <v>27.0</v>
      </c>
      <c r="G76" s="72">
        <v>47.0</v>
      </c>
      <c r="H76" s="76">
        <f t="shared" si="90"/>
        <v>0.5744680851</v>
      </c>
      <c r="I76" s="48"/>
      <c r="J76" s="48">
        <v>23.0</v>
      </c>
      <c r="K76" s="72">
        <v>33.0</v>
      </c>
      <c r="L76" s="76">
        <f t="shared" si="91"/>
        <v>0.696969697</v>
      </c>
      <c r="M76" s="83" t="str">
        <f t="shared" si="110"/>
        <v/>
      </c>
      <c r="N76" s="84">
        <f t="shared" ref="N76:O76" si="111">J76+F76+C76</f>
        <v>89</v>
      </c>
      <c r="O76" s="86">
        <f t="shared" si="111"/>
        <v>131</v>
      </c>
      <c r="P76" s="119">
        <v>46020.0</v>
      </c>
      <c r="Q76" s="99" t="s">
        <v>81</v>
      </c>
    </row>
    <row r="77">
      <c r="A77" s="62" t="s">
        <v>58</v>
      </c>
      <c r="B77" s="195"/>
      <c r="C77" s="84">
        <v>24.0</v>
      </c>
      <c r="D77" s="72">
        <v>23.0</v>
      </c>
      <c r="E77" s="76">
        <f t="shared" si="89"/>
        <v>1.043478261</v>
      </c>
      <c r="F77" s="48">
        <v>11.0</v>
      </c>
      <c r="G77" s="72">
        <v>21.0</v>
      </c>
      <c r="H77" s="76">
        <f t="shared" si="90"/>
        <v>0.5238095238</v>
      </c>
      <c r="I77" s="48"/>
      <c r="J77" s="48">
        <v>7.0</v>
      </c>
      <c r="K77" s="72">
        <v>15.0</v>
      </c>
      <c r="L77" s="76">
        <f t="shared" si="91"/>
        <v>0.4666666667</v>
      </c>
      <c r="M77" s="83" t="str">
        <f t="shared" si="110"/>
        <v/>
      </c>
      <c r="N77" s="84">
        <f t="shared" ref="N77:O77" si="112">J77+F77+C77</f>
        <v>42</v>
      </c>
      <c r="O77" s="86">
        <f t="shared" si="112"/>
        <v>59</v>
      </c>
      <c r="P77" s="119">
        <v>46020.0</v>
      </c>
      <c r="Q77" s="99" t="s">
        <v>81</v>
      </c>
    </row>
    <row r="78">
      <c r="A78" s="112" t="s">
        <v>59</v>
      </c>
      <c r="B78" s="95">
        <f t="shared" ref="B78:D78" si="113">sum(B75:B77)</f>
        <v>0</v>
      </c>
      <c r="C78" s="95">
        <f t="shared" si="113"/>
        <v>96</v>
      </c>
      <c r="D78" s="95">
        <f t="shared" si="113"/>
        <v>112</v>
      </c>
      <c r="E78" s="76">
        <f t="shared" si="89"/>
        <v>0.8571428571</v>
      </c>
      <c r="F78" s="95">
        <f t="shared" ref="F78:G78" si="114">sum(F75:F77)</f>
        <v>63</v>
      </c>
      <c r="G78" s="95">
        <f t="shared" si="114"/>
        <v>103</v>
      </c>
      <c r="H78" s="76">
        <f t="shared" si="90"/>
        <v>0.6116504854</v>
      </c>
      <c r="I78" s="184"/>
      <c r="J78" s="95">
        <f t="shared" ref="J78:K78" si="115">sum(J75:J77)</f>
        <v>53</v>
      </c>
      <c r="K78" s="95">
        <f t="shared" si="115"/>
        <v>73</v>
      </c>
      <c r="L78" s="76">
        <f t="shared" si="91"/>
        <v>0.7260273973</v>
      </c>
      <c r="M78" s="95">
        <f t="shared" ref="M78:O78" si="116">sum(M75:M77)</f>
        <v>0</v>
      </c>
      <c r="N78" s="95">
        <f t="shared" si="116"/>
        <v>212</v>
      </c>
      <c r="O78" s="115">
        <f t="shared" si="116"/>
        <v>288</v>
      </c>
      <c r="Q78" s="36"/>
    </row>
    <row r="79">
      <c r="A79" s="112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37"/>
      <c r="Q79" s="36"/>
    </row>
    <row r="80">
      <c r="A80" s="141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37"/>
    </row>
    <row r="81">
      <c r="A81" s="143" t="s">
        <v>13</v>
      </c>
      <c r="B81" s="144">
        <f t="shared" ref="B81:D81" si="117">B78+B74+B69</f>
        <v>0</v>
      </c>
      <c r="C81" s="144">
        <f t="shared" si="117"/>
        <v>533</v>
      </c>
      <c r="D81" s="144">
        <f t="shared" si="117"/>
        <v>558</v>
      </c>
      <c r="E81" s="146">
        <f>C81/D81</f>
        <v>0.9551971326</v>
      </c>
      <c r="F81" s="144">
        <f t="shared" ref="F81:G81" si="118">F78+F74+F69</f>
        <v>397</v>
      </c>
      <c r="G81" s="144">
        <f t="shared" si="118"/>
        <v>514</v>
      </c>
      <c r="H81" s="146">
        <f>F81/G81</f>
        <v>0.7723735409</v>
      </c>
      <c r="I81" s="201"/>
      <c r="J81" s="144">
        <f t="shared" ref="J81:K81" si="119">J78+J74+J69</f>
        <v>301</v>
      </c>
      <c r="K81" s="144">
        <f t="shared" si="119"/>
        <v>361</v>
      </c>
      <c r="L81" s="146">
        <f>J81/K81</f>
        <v>0.8337950139</v>
      </c>
      <c r="M81" s="144">
        <f t="shared" ref="M81:O81" si="120">M78+M74+M69</f>
        <v>0</v>
      </c>
      <c r="N81" s="144">
        <f t="shared" si="120"/>
        <v>1231</v>
      </c>
      <c r="O81" s="150">
        <f t="shared" si="120"/>
        <v>1433</v>
      </c>
    </row>
  </sheetData>
  <mergeCells count="16">
    <mergeCell ref="A3:Y3"/>
    <mergeCell ref="C4:F4"/>
    <mergeCell ref="H4:L4"/>
    <mergeCell ref="N4:S4"/>
    <mergeCell ref="V4:Y4"/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10" width="11.38"/>
    <col customWidth="1" min="11" max="11" width="11.0"/>
    <col customWidth="1" min="12" max="13" width="8.5"/>
    <col customWidth="1" min="14" max="14" width="9.38"/>
    <col customWidth="1" min="15" max="17" width="9.75"/>
    <col customWidth="1" min="18" max="18" width="9.25"/>
    <col customWidth="1" min="19" max="19" width="9.88"/>
    <col customWidth="1" min="20" max="20" width="9.38"/>
    <col customWidth="1" min="21" max="21" width="7.13"/>
    <col customWidth="1" min="22" max="22" width="10.13"/>
    <col customWidth="1" min="23" max="23" width="9.0"/>
    <col customWidth="1" min="24" max="24" width="11.38"/>
    <col customWidth="1" min="25" max="25" width="5.88"/>
    <col customWidth="1" min="26" max="26" width="7.13"/>
    <col customWidth="1" min="27" max="27" width="9.88"/>
    <col customWidth="1" hidden="1" min="28" max="28" width="9.88"/>
    <col customWidth="1" hidden="1" min="29" max="29" width="7.75"/>
    <col customWidth="1" min="34" max="36" width="8.75"/>
    <col customWidth="1" min="37" max="37" width="10.5"/>
    <col customWidth="1" min="38" max="52" width="8.75"/>
  </cols>
  <sheetData>
    <row r="1">
      <c r="A1" s="4" t="s">
        <v>0</v>
      </c>
      <c r="AE1" s="7"/>
    </row>
    <row r="3">
      <c r="A3" s="175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10"/>
      <c r="Z3" s="12"/>
      <c r="AA3" s="13"/>
      <c r="AB3" s="13"/>
      <c r="AC3" s="14"/>
      <c r="AD3" s="16"/>
      <c r="AE3" s="18" t="s">
        <v>2</v>
      </c>
      <c r="AF3" s="160" t="s">
        <v>3</v>
      </c>
    </row>
    <row r="4">
      <c r="A4" s="22"/>
      <c r="B4" s="194"/>
      <c r="C4" s="163" t="s">
        <v>29</v>
      </c>
      <c r="D4" s="30"/>
      <c r="E4" s="30"/>
      <c r="F4" s="30"/>
      <c r="G4" s="164"/>
      <c r="H4" s="164" t="s">
        <v>30</v>
      </c>
      <c r="I4" s="30"/>
      <c r="J4" s="30"/>
      <c r="K4" s="30"/>
      <c r="L4" s="30"/>
      <c r="M4" s="164"/>
      <c r="N4" s="164" t="s">
        <v>32</v>
      </c>
      <c r="O4" s="30"/>
      <c r="P4" s="30"/>
      <c r="Q4" s="30"/>
      <c r="R4" s="30"/>
      <c r="S4" s="30"/>
      <c r="T4" s="36"/>
      <c r="U4" s="178"/>
      <c r="V4" s="164" t="s">
        <v>13</v>
      </c>
      <c r="W4" s="30"/>
      <c r="X4" s="30"/>
      <c r="Y4" s="42"/>
      <c r="Z4" s="25"/>
      <c r="AA4" s="25"/>
      <c r="AB4" s="25"/>
      <c r="AD4" s="44"/>
      <c r="AF4" s="36"/>
    </row>
    <row r="5">
      <c r="A5" s="47"/>
      <c r="B5" s="179" t="s">
        <v>12</v>
      </c>
      <c r="C5" s="179" t="s">
        <v>24</v>
      </c>
      <c r="D5" s="179" t="s">
        <v>25</v>
      </c>
      <c r="E5" s="179" t="s">
        <v>26</v>
      </c>
      <c r="F5" s="179" t="s">
        <v>27</v>
      </c>
      <c r="G5" s="179"/>
      <c r="H5" s="179" t="s">
        <v>24</v>
      </c>
      <c r="I5" s="180" t="s">
        <v>28</v>
      </c>
      <c r="J5" s="179" t="s">
        <v>25</v>
      </c>
      <c r="K5" s="179" t="s">
        <v>26</v>
      </c>
      <c r="L5" s="179" t="s">
        <v>27</v>
      </c>
      <c r="M5" s="179"/>
      <c r="N5" s="179" t="s">
        <v>24</v>
      </c>
      <c r="O5" s="180" t="s">
        <v>28</v>
      </c>
      <c r="P5" s="179" t="s">
        <v>82</v>
      </c>
      <c r="Q5" s="179" t="s">
        <v>25</v>
      </c>
      <c r="R5" s="179" t="s">
        <v>26</v>
      </c>
      <c r="S5" s="179" t="s">
        <v>27</v>
      </c>
      <c r="T5" s="179"/>
      <c r="U5" s="179" t="s">
        <v>12</v>
      </c>
      <c r="V5" s="179" t="s">
        <v>24</v>
      </c>
      <c r="W5" s="179" t="s">
        <v>25</v>
      </c>
      <c r="X5" s="179" t="s">
        <v>26</v>
      </c>
      <c r="Y5" s="181" t="s">
        <v>27</v>
      </c>
      <c r="Z5" s="183" t="s">
        <v>31</v>
      </c>
      <c r="AA5" s="59" t="s">
        <v>33</v>
      </c>
      <c r="AB5" s="59" t="s">
        <v>34</v>
      </c>
      <c r="AC5" s="23" t="s">
        <v>14</v>
      </c>
      <c r="AD5" s="61" t="s">
        <v>35</v>
      </c>
      <c r="AF5" s="36"/>
    </row>
    <row r="6">
      <c r="A6" s="62" t="s">
        <v>36</v>
      </c>
      <c r="B6" s="195"/>
      <c r="C6" s="48">
        <v>24.0</v>
      </c>
      <c r="D6" s="48"/>
      <c r="E6" s="70">
        <f t="shared" ref="E6:E9" si="1">SUM(C6:D6)</f>
        <v>24</v>
      </c>
      <c r="F6" s="72">
        <v>31.0</v>
      </c>
      <c r="G6" s="76">
        <f t="shared" ref="G6:G19" si="2">E6/F6</f>
        <v>0.7741935484</v>
      </c>
      <c r="H6" s="48">
        <v>26.0</v>
      </c>
      <c r="I6" s="48">
        <v>4.0</v>
      </c>
      <c r="J6" s="48"/>
      <c r="K6" s="70">
        <f t="shared" ref="K6:K9" si="3">SUM(H6:J6)</f>
        <v>30</v>
      </c>
      <c r="L6" s="72">
        <v>29.0</v>
      </c>
      <c r="M6" s="76">
        <f t="shared" ref="M6:M19" si="4">K6/L6</f>
        <v>1.034482759</v>
      </c>
      <c r="N6" s="48">
        <v>21.0</v>
      </c>
      <c r="O6" s="48">
        <v>2.0</v>
      </c>
      <c r="P6" s="48"/>
      <c r="Q6" s="48"/>
      <c r="R6" s="70">
        <f t="shared" ref="R6:R9" si="5">SUM(N6:Q6)</f>
        <v>23</v>
      </c>
      <c r="S6" s="72">
        <v>30.0</v>
      </c>
      <c r="T6" s="76">
        <f t="shared" ref="T6:T19" si="6">R6/S6</f>
        <v>0.7666666667</v>
      </c>
      <c r="U6" s="83"/>
      <c r="V6" s="84">
        <f t="shared" ref="V6:V9" si="7">N6+H6+C6+O6+P6+I6</f>
        <v>77</v>
      </c>
      <c r="W6" s="84">
        <f t="shared" ref="W6:W9" si="8">Q6+J6+D6</f>
        <v>0</v>
      </c>
      <c r="X6" s="70">
        <f t="shared" ref="X6:X9" si="9">sum(U6:W6)</f>
        <v>77</v>
      </c>
      <c r="Y6" s="86">
        <f t="shared" ref="Y6:Y9" si="10">S6+L6+F6</f>
        <v>90</v>
      </c>
      <c r="Z6" s="88">
        <f t="shared" ref="Z6:Z9" si="11">Y6-X6</f>
        <v>13</v>
      </c>
      <c r="AA6" s="46">
        <f t="shared" ref="AA6:AA19" si="12">round(Z6/$AA$26*7,0)</f>
        <v>0</v>
      </c>
      <c r="AB6" s="46">
        <f t="shared" ref="AB6:AB9" si="13">W6+V6</f>
        <v>77</v>
      </c>
      <c r="AC6" s="84">
        <f t="shared" ref="AC6:AC9" si="14">Y6</f>
        <v>90</v>
      </c>
      <c r="AD6" s="96">
        <f t="shared" ref="AD6:AD9" si="15">(V6+W6)/Y6</f>
        <v>0.8555555556</v>
      </c>
      <c r="AE6" s="98">
        <v>46024.0</v>
      </c>
      <c r="AF6" s="99" t="s">
        <v>46</v>
      </c>
      <c r="AT6" s="36"/>
      <c r="AU6" s="36"/>
      <c r="AV6" s="36"/>
      <c r="AW6" s="36"/>
      <c r="AX6" s="36"/>
      <c r="AY6" s="36"/>
      <c r="AZ6" s="36"/>
      <c r="BA6" s="36"/>
      <c r="BB6" s="36"/>
    </row>
    <row r="7">
      <c r="A7" s="62" t="s">
        <v>40</v>
      </c>
      <c r="B7" s="195"/>
      <c r="C7" s="48">
        <v>26.0</v>
      </c>
      <c r="D7" s="48"/>
      <c r="E7" s="70">
        <f t="shared" si="1"/>
        <v>26</v>
      </c>
      <c r="F7" s="72">
        <v>26.0</v>
      </c>
      <c r="G7" s="76">
        <f t="shared" si="2"/>
        <v>1</v>
      </c>
      <c r="H7" s="48">
        <v>20.0</v>
      </c>
      <c r="I7" s="48">
        <v>3.0</v>
      </c>
      <c r="J7" s="48"/>
      <c r="K7" s="70">
        <f t="shared" si="3"/>
        <v>23</v>
      </c>
      <c r="L7" s="72">
        <v>26.0</v>
      </c>
      <c r="M7" s="76">
        <f t="shared" si="4"/>
        <v>0.8846153846</v>
      </c>
      <c r="N7" s="48">
        <v>13.0</v>
      </c>
      <c r="O7" s="48">
        <v>1.0</v>
      </c>
      <c r="P7" s="48"/>
      <c r="Q7" s="48"/>
      <c r="R7" s="70">
        <f t="shared" si="5"/>
        <v>14</v>
      </c>
      <c r="S7" s="72">
        <v>25.0</v>
      </c>
      <c r="T7" s="76">
        <f t="shared" si="6"/>
        <v>0.56</v>
      </c>
      <c r="U7" s="83"/>
      <c r="V7" s="84">
        <f t="shared" si="7"/>
        <v>63</v>
      </c>
      <c r="W7" s="84">
        <f t="shared" si="8"/>
        <v>0</v>
      </c>
      <c r="X7" s="70">
        <f t="shared" si="9"/>
        <v>63</v>
      </c>
      <c r="Y7" s="86">
        <f t="shared" si="10"/>
        <v>77</v>
      </c>
      <c r="Z7" s="88">
        <f t="shared" si="11"/>
        <v>14</v>
      </c>
      <c r="AA7" s="46">
        <f t="shared" si="12"/>
        <v>0</v>
      </c>
      <c r="AB7" s="46">
        <f t="shared" si="13"/>
        <v>63</v>
      </c>
      <c r="AC7" s="84">
        <f t="shared" si="14"/>
        <v>77</v>
      </c>
      <c r="AD7" s="96">
        <f t="shared" si="15"/>
        <v>0.8181818182</v>
      </c>
      <c r="AE7" s="98">
        <v>46024.0</v>
      </c>
      <c r="AF7" s="99" t="s">
        <v>46</v>
      </c>
      <c r="AT7" s="36"/>
      <c r="AU7" s="36"/>
      <c r="AV7" s="36"/>
      <c r="AW7" s="36"/>
      <c r="AX7" s="36"/>
      <c r="AY7" s="36"/>
      <c r="AZ7" s="36"/>
      <c r="BA7" s="36"/>
      <c r="BB7" s="36"/>
    </row>
    <row r="8">
      <c r="A8" s="62" t="s">
        <v>41</v>
      </c>
      <c r="B8" s="195"/>
      <c r="C8" s="48">
        <v>24.0</v>
      </c>
      <c r="D8" s="107">
        <v>2.0</v>
      </c>
      <c r="E8" s="70">
        <f t="shared" si="1"/>
        <v>26</v>
      </c>
      <c r="F8" s="72">
        <v>35.0</v>
      </c>
      <c r="G8" s="76">
        <f t="shared" si="2"/>
        <v>0.7428571429</v>
      </c>
      <c r="H8" s="48">
        <v>14.0</v>
      </c>
      <c r="I8" s="48">
        <v>3.0</v>
      </c>
      <c r="J8" s="48"/>
      <c r="K8" s="70">
        <f t="shared" si="3"/>
        <v>17</v>
      </c>
      <c r="L8" s="72">
        <v>31.0</v>
      </c>
      <c r="M8" s="76">
        <f t="shared" si="4"/>
        <v>0.5483870968</v>
      </c>
      <c r="N8" s="48">
        <v>18.0</v>
      </c>
      <c r="O8" s="48">
        <v>1.0</v>
      </c>
      <c r="P8" s="48"/>
      <c r="Q8" s="48"/>
      <c r="R8" s="70">
        <f t="shared" si="5"/>
        <v>19</v>
      </c>
      <c r="S8" s="72">
        <v>30.0</v>
      </c>
      <c r="T8" s="76">
        <f t="shared" si="6"/>
        <v>0.6333333333</v>
      </c>
      <c r="U8" s="83"/>
      <c r="V8" s="84">
        <f t="shared" si="7"/>
        <v>60</v>
      </c>
      <c r="W8" s="84">
        <f t="shared" si="8"/>
        <v>2</v>
      </c>
      <c r="X8" s="70">
        <f t="shared" si="9"/>
        <v>62</v>
      </c>
      <c r="Y8" s="86">
        <f t="shared" si="10"/>
        <v>96</v>
      </c>
      <c r="Z8" s="88">
        <f t="shared" si="11"/>
        <v>34</v>
      </c>
      <c r="AA8" s="46">
        <f t="shared" si="12"/>
        <v>-1</v>
      </c>
      <c r="AB8" s="46">
        <f t="shared" si="13"/>
        <v>62</v>
      </c>
      <c r="AC8" s="84">
        <f t="shared" si="14"/>
        <v>96</v>
      </c>
      <c r="AD8" s="96">
        <f t="shared" si="15"/>
        <v>0.6458333333</v>
      </c>
      <c r="AE8" s="98">
        <v>46024.0</v>
      </c>
      <c r="AF8" s="99" t="s">
        <v>46</v>
      </c>
      <c r="AT8" s="36"/>
      <c r="AU8" s="36"/>
      <c r="AV8" s="36"/>
      <c r="AW8" s="36"/>
      <c r="AX8" s="36"/>
      <c r="AY8" s="36"/>
      <c r="AZ8" s="36"/>
      <c r="BA8" s="36"/>
      <c r="BB8" s="36"/>
    </row>
    <row r="9">
      <c r="A9" s="62" t="s">
        <v>49</v>
      </c>
      <c r="B9" s="195"/>
      <c r="C9" s="87">
        <v>49.0</v>
      </c>
      <c r="D9" s="111">
        <v>6.0</v>
      </c>
      <c r="E9" s="70">
        <f t="shared" si="1"/>
        <v>55</v>
      </c>
      <c r="F9" s="72">
        <v>40.0</v>
      </c>
      <c r="G9" s="76">
        <f t="shared" si="2"/>
        <v>1.375</v>
      </c>
      <c r="H9" s="48">
        <v>37.0</v>
      </c>
      <c r="I9" s="48">
        <v>6.0</v>
      </c>
      <c r="J9" s="48"/>
      <c r="K9" s="70">
        <f t="shared" si="3"/>
        <v>43</v>
      </c>
      <c r="L9" s="72">
        <v>38.0</v>
      </c>
      <c r="M9" s="76">
        <f t="shared" si="4"/>
        <v>1.131578947</v>
      </c>
      <c r="N9" s="48">
        <v>36.0</v>
      </c>
      <c r="O9" s="48">
        <v>3.0</v>
      </c>
      <c r="P9" s="48"/>
      <c r="Q9" s="48"/>
      <c r="R9" s="70">
        <f t="shared" si="5"/>
        <v>39</v>
      </c>
      <c r="S9" s="72">
        <v>39.0</v>
      </c>
      <c r="T9" s="76">
        <f t="shared" si="6"/>
        <v>1</v>
      </c>
      <c r="U9" s="83"/>
      <c r="V9" s="84">
        <f t="shared" si="7"/>
        <v>131</v>
      </c>
      <c r="W9" s="84">
        <f t="shared" si="8"/>
        <v>6</v>
      </c>
      <c r="X9" s="70">
        <f t="shared" si="9"/>
        <v>137</v>
      </c>
      <c r="Y9" s="86">
        <f t="shared" si="10"/>
        <v>117</v>
      </c>
      <c r="Z9" s="88">
        <f t="shared" si="11"/>
        <v>-20</v>
      </c>
      <c r="AA9" s="46">
        <f t="shared" si="12"/>
        <v>1</v>
      </c>
      <c r="AB9" s="46">
        <f t="shared" si="13"/>
        <v>137</v>
      </c>
      <c r="AC9" s="84">
        <f t="shared" si="14"/>
        <v>117</v>
      </c>
      <c r="AD9" s="96">
        <f t="shared" si="15"/>
        <v>1.170940171</v>
      </c>
      <c r="AE9" s="98">
        <v>46024.0</v>
      </c>
      <c r="AF9" s="99" t="s">
        <v>46</v>
      </c>
      <c r="AT9" s="36"/>
      <c r="AU9" s="36"/>
      <c r="AV9" s="36"/>
      <c r="AW9" s="36"/>
      <c r="AX9" s="36"/>
      <c r="AY9" s="36"/>
      <c r="AZ9" s="36"/>
      <c r="BA9" s="36"/>
      <c r="BB9" s="36"/>
    </row>
    <row r="10">
      <c r="A10" s="112" t="s">
        <v>44</v>
      </c>
      <c r="B10" s="95">
        <f t="shared" ref="B10:F10" si="16">sum(B6:B9)</f>
        <v>0</v>
      </c>
      <c r="C10" s="95">
        <f t="shared" si="16"/>
        <v>123</v>
      </c>
      <c r="D10" s="95">
        <f t="shared" si="16"/>
        <v>8</v>
      </c>
      <c r="E10" s="95">
        <f t="shared" si="16"/>
        <v>131</v>
      </c>
      <c r="F10" s="95">
        <f t="shared" si="16"/>
        <v>132</v>
      </c>
      <c r="G10" s="114">
        <f t="shared" si="2"/>
        <v>0.9924242424</v>
      </c>
      <c r="H10" s="95">
        <f t="shared" ref="H10:L10" si="17">sum(H6:H9)</f>
        <v>97</v>
      </c>
      <c r="I10" s="95">
        <f t="shared" si="17"/>
        <v>16</v>
      </c>
      <c r="J10" s="95">
        <f t="shared" si="17"/>
        <v>0</v>
      </c>
      <c r="K10" s="95">
        <f t="shared" si="17"/>
        <v>113</v>
      </c>
      <c r="L10" s="95">
        <f t="shared" si="17"/>
        <v>124</v>
      </c>
      <c r="M10" s="114">
        <f t="shared" si="4"/>
        <v>0.9112903226</v>
      </c>
      <c r="N10" s="95">
        <f t="shared" ref="N10:S10" si="18">sum(N6:N9)</f>
        <v>88</v>
      </c>
      <c r="O10" s="95">
        <f t="shared" si="18"/>
        <v>7</v>
      </c>
      <c r="P10" s="95">
        <f t="shared" si="18"/>
        <v>0</v>
      </c>
      <c r="Q10" s="95">
        <f t="shared" si="18"/>
        <v>0</v>
      </c>
      <c r="R10" s="95">
        <f t="shared" si="18"/>
        <v>95</v>
      </c>
      <c r="S10" s="95">
        <f t="shared" si="18"/>
        <v>124</v>
      </c>
      <c r="T10" s="114">
        <f t="shared" si="6"/>
        <v>0.7661290323</v>
      </c>
      <c r="U10" s="95">
        <f t="shared" ref="U10:Z10" si="19">sum(U6:U9)</f>
        <v>0</v>
      </c>
      <c r="V10" s="95">
        <f t="shared" si="19"/>
        <v>331</v>
      </c>
      <c r="W10" s="95">
        <f t="shared" si="19"/>
        <v>8</v>
      </c>
      <c r="X10" s="95">
        <f t="shared" si="19"/>
        <v>339</v>
      </c>
      <c r="Y10" s="115">
        <f t="shared" si="19"/>
        <v>380</v>
      </c>
      <c r="Z10" s="116">
        <f t="shared" si="19"/>
        <v>41</v>
      </c>
      <c r="AA10" s="116">
        <f t="shared" si="12"/>
        <v>-1</v>
      </c>
      <c r="AB10" s="116">
        <f t="shared" ref="AB10:AC10" si="20">sum(AB6:AB9)</f>
        <v>339</v>
      </c>
      <c r="AC10" s="95">
        <f t="shared" si="20"/>
        <v>380</v>
      </c>
      <c r="AD10" s="118">
        <f>AB10/AC10</f>
        <v>0.8921052632</v>
      </c>
      <c r="AF10" s="99"/>
      <c r="AT10" s="36"/>
      <c r="AU10" s="36"/>
      <c r="AV10" s="36"/>
      <c r="AW10" s="36"/>
      <c r="AX10" s="36"/>
      <c r="AY10" s="36"/>
      <c r="AZ10" s="36"/>
      <c r="BA10" s="36"/>
      <c r="BB10" s="36"/>
    </row>
    <row r="11">
      <c r="A11" s="62" t="s">
        <v>52</v>
      </c>
      <c r="B11" s="195"/>
      <c r="C11" s="84">
        <v>23.0</v>
      </c>
      <c r="D11" s="84"/>
      <c r="E11" s="70">
        <f t="shared" ref="E11:E14" si="21">SUM(C11:D11)</f>
        <v>23</v>
      </c>
      <c r="F11" s="72">
        <v>30.0</v>
      </c>
      <c r="G11" s="76">
        <f t="shared" si="2"/>
        <v>0.7666666667</v>
      </c>
      <c r="H11" s="48">
        <v>18.0</v>
      </c>
      <c r="I11" s="48">
        <v>4.0</v>
      </c>
      <c r="J11" s="48"/>
      <c r="K11" s="70">
        <f t="shared" ref="K11:K14" si="22">SUM(H11:J11)</f>
        <v>22</v>
      </c>
      <c r="L11" s="72">
        <v>24.0</v>
      </c>
      <c r="M11" s="76">
        <f t="shared" si="4"/>
        <v>0.9166666667</v>
      </c>
      <c r="N11" s="48">
        <v>17.0</v>
      </c>
      <c r="O11" s="48">
        <v>1.0</v>
      </c>
      <c r="P11" s="48"/>
      <c r="Q11" s="48"/>
      <c r="R11" s="70">
        <f t="shared" ref="R11:R14" si="23">SUM(N11:Q11)</f>
        <v>18</v>
      </c>
      <c r="S11" s="72">
        <v>22.0</v>
      </c>
      <c r="T11" s="76">
        <f t="shared" si="6"/>
        <v>0.8181818182</v>
      </c>
      <c r="U11" s="83"/>
      <c r="V11" s="84">
        <f t="shared" ref="V11:V14" si="24">N11+H11+C11+O11+P11+I11</f>
        <v>63</v>
      </c>
      <c r="W11" s="84">
        <f t="shared" ref="W11:W14" si="25">Q11+J11+D11</f>
        <v>0</v>
      </c>
      <c r="X11" s="70">
        <f t="shared" ref="X11:X14" si="26">sum(U11:W11)</f>
        <v>63</v>
      </c>
      <c r="Y11" s="86">
        <f t="shared" ref="Y11:Y14" si="27">S11+L11+F11</f>
        <v>76</v>
      </c>
      <c r="Z11" s="88">
        <f t="shared" ref="Z11:Z14" si="28">Y11-X11</f>
        <v>13</v>
      </c>
      <c r="AA11" s="46">
        <f t="shared" si="12"/>
        <v>0</v>
      </c>
      <c r="AB11" s="46">
        <f t="shared" ref="AB11:AB14" si="29">W11+V11</f>
        <v>63</v>
      </c>
      <c r="AC11" s="84">
        <f t="shared" ref="AC11:AC14" si="30">Y11</f>
        <v>76</v>
      </c>
      <c r="AD11" s="96">
        <f t="shared" ref="AD11:AD14" si="31">(V11+W11)/Y11</f>
        <v>0.8289473684</v>
      </c>
      <c r="AE11" s="98">
        <v>46022.0</v>
      </c>
      <c r="AF11" s="99" t="s">
        <v>56</v>
      </c>
      <c r="AT11" s="36"/>
      <c r="AU11" s="36"/>
      <c r="AV11" s="36"/>
      <c r="AW11" s="36"/>
      <c r="AX11" s="36"/>
      <c r="AY11" s="36"/>
      <c r="AZ11" s="36"/>
      <c r="BA11" s="36"/>
      <c r="BB11" s="36"/>
    </row>
    <row r="12">
      <c r="A12" s="62" t="s">
        <v>51</v>
      </c>
      <c r="B12" s="195"/>
      <c r="C12" s="84">
        <v>18.0</v>
      </c>
      <c r="D12" s="84">
        <v>2.0</v>
      </c>
      <c r="E12" s="70">
        <f t="shared" si="21"/>
        <v>20</v>
      </c>
      <c r="F12" s="72">
        <v>29.0</v>
      </c>
      <c r="G12" s="76">
        <f t="shared" si="2"/>
        <v>0.6896551724</v>
      </c>
      <c r="H12" s="48">
        <v>41.0</v>
      </c>
      <c r="I12" s="48">
        <v>4.0</v>
      </c>
      <c r="J12" s="48"/>
      <c r="K12" s="70">
        <f t="shared" si="22"/>
        <v>45</v>
      </c>
      <c r="L12" s="72">
        <v>30.0</v>
      </c>
      <c r="M12" s="76">
        <f t="shared" si="4"/>
        <v>1.5</v>
      </c>
      <c r="N12" s="48">
        <v>16.0</v>
      </c>
      <c r="O12" s="48">
        <v>3.0</v>
      </c>
      <c r="P12" s="48"/>
      <c r="Q12" s="48"/>
      <c r="R12" s="70">
        <f t="shared" si="23"/>
        <v>19</v>
      </c>
      <c r="S12" s="72">
        <v>28.0</v>
      </c>
      <c r="T12" s="76">
        <f t="shared" si="6"/>
        <v>0.6785714286</v>
      </c>
      <c r="U12" s="83"/>
      <c r="V12" s="84">
        <f t="shared" si="24"/>
        <v>82</v>
      </c>
      <c r="W12" s="84">
        <f t="shared" si="25"/>
        <v>2</v>
      </c>
      <c r="X12" s="70">
        <f t="shared" si="26"/>
        <v>84</v>
      </c>
      <c r="Y12" s="86">
        <f t="shared" si="27"/>
        <v>87</v>
      </c>
      <c r="Z12" s="88">
        <f t="shared" si="28"/>
        <v>3</v>
      </c>
      <c r="AA12" s="46">
        <f t="shared" si="12"/>
        <v>0</v>
      </c>
      <c r="AB12" s="46">
        <f t="shared" si="29"/>
        <v>84</v>
      </c>
      <c r="AC12" s="84">
        <f t="shared" si="30"/>
        <v>87</v>
      </c>
      <c r="AD12" s="96">
        <f t="shared" si="31"/>
        <v>0.9655172414</v>
      </c>
      <c r="AE12" s="98">
        <v>46022.0</v>
      </c>
      <c r="AF12" s="99" t="s">
        <v>56</v>
      </c>
      <c r="AT12" s="36"/>
      <c r="AU12" s="36"/>
      <c r="AV12" s="36"/>
      <c r="AW12" s="36"/>
      <c r="AX12" s="36"/>
      <c r="AY12" s="36"/>
      <c r="AZ12" s="36"/>
      <c r="BA12" s="36"/>
      <c r="BB12" s="36"/>
    </row>
    <row r="13">
      <c r="A13" s="62" t="s">
        <v>47</v>
      </c>
      <c r="B13" s="195"/>
      <c r="C13" s="84">
        <v>16.0</v>
      </c>
      <c r="D13" s="84"/>
      <c r="E13" s="70">
        <f t="shared" si="21"/>
        <v>16</v>
      </c>
      <c r="F13" s="72">
        <v>34.0</v>
      </c>
      <c r="G13" s="76">
        <f t="shared" si="2"/>
        <v>0.4705882353</v>
      </c>
      <c r="H13" s="48">
        <v>27.0</v>
      </c>
      <c r="I13" s="48">
        <v>4.0</v>
      </c>
      <c r="J13" s="48"/>
      <c r="K13" s="70">
        <f t="shared" si="22"/>
        <v>31</v>
      </c>
      <c r="L13" s="72">
        <v>29.0</v>
      </c>
      <c r="M13" s="76">
        <f t="shared" si="4"/>
        <v>1.068965517</v>
      </c>
      <c r="N13" s="48">
        <v>16.0</v>
      </c>
      <c r="O13" s="48">
        <v>1.0</v>
      </c>
      <c r="P13" s="48"/>
      <c r="Q13" s="48"/>
      <c r="R13" s="70">
        <f t="shared" si="23"/>
        <v>17</v>
      </c>
      <c r="S13" s="72">
        <v>27.0</v>
      </c>
      <c r="T13" s="76">
        <f t="shared" si="6"/>
        <v>0.6296296296</v>
      </c>
      <c r="U13" s="83"/>
      <c r="V13" s="84">
        <f t="shared" si="24"/>
        <v>64</v>
      </c>
      <c r="W13" s="84">
        <f t="shared" si="25"/>
        <v>0</v>
      </c>
      <c r="X13" s="70">
        <f t="shared" si="26"/>
        <v>64</v>
      </c>
      <c r="Y13" s="86">
        <f t="shared" si="27"/>
        <v>90</v>
      </c>
      <c r="Z13" s="88">
        <f t="shared" si="28"/>
        <v>26</v>
      </c>
      <c r="AA13" s="46">
        <f t="shared" si="12"/>
        <v>-1</v>
      </c>
      <c r="AB13" s="46">
        <f t="shared" si="29"/>
        <v>64</v>
      </c>
      <c r="AC13" s="84">
        <f t="shared" si="30"/>
        <v>90</v>
      </c>
      <c r="AD13" s="96">
        <f t="shared" si="31"/>
        <v>0.7111111111</v>
      </c>
      <c r="AE13" s="98">
        <v>46022.0</v>
      </c>
      <c r="AF13" s="99" t="s">
        <v>56</v>
      </c>
      <c r="AT13" s="36"/>
      <c r="AU13" s="36"/>
      <c r="AV13" s="36"/>
      <c r="AW13" s="36"/>
      <c r="AX13" s="36"/>
      <c r="AY13" s="36"/>
      <c r="AZ13" s="36"/>
      <c r="BA13" s="36"/>
      <c r="BB13" s="36"/>
    </row>
    <row r="14">
      <c r="A14" s="62" t="s">
        <v>53</v>
      </c>
      <c r="B14" s="195"/>
      <c r="C14" s="84">
        <v>40.0</v>
      </c>
      <c r="D14" s="84"/>
      <c r="E14" s="70">
        <f t="shared" si="21"/>
        <v>40</v>
      </c>
      <c r="F14" s="72">
        <v>43.0</v>
      </c>
      <c r="G14" s="76">
        <f t="shared" si="2"/>
        <v>0.9302325581</v>
      </c>
      <c r="H14" s="48">
        <v>36.0</v>
      </c>
      <c r="I14" s="48">
        <v>4.0</v>
      </c>
      <c r="J14" s="48"/>
      <c r="K14" s="70">
        <f t="shared" si="22"/>
        <v>40</v>
      </c>
      <c r="L14" s="72">
        <v>43.0</v>
      </c>
      <c r="M14" s="76">
        <f t="shared" si="4"/>
        <v>0.9302325581</v>
      </c>
      <c r="N14" s="48">
        <v>32.0</v>
      </c>
      <c r="O14" s="48">
        <v>2.0</v>
      </c>
      <c r="P14" s="48"/>
      <c r="Q14" s="48"/>
      <c r="R14" s="70">
        <f t="shared" si="23"/>
        <v>34</v>
      </c>
      <c r="S14" s="72">
        <v>42.0</v>
      </c>
      <c r="T14" s="76">
        <f t="shared" si="6"/>
        <v>0.8095238095</v>
      </c>
      <c r="U14" s="83"/>
      <c r="V14" s="84">
        <f t="shared" si="24"/>
        <v>114</v>
      </c>
      <c r="W14" s="84">
        <f t="shared" si="25"/>
        <v>0</v>
      </c>
      <c r="X14" s="70">
        <f t="shared" si="26"/>
        <v>114</v>
      </c>
      <c r="Y14" s="86">
        <f t="shared" si="27"/>
        <v>128</v>
      </c>
      <c r="Z14" s="88">
        <f t="shared" si="28"/>
        <v>14</v>
      </c>
      <c r="AA14" s="46">
        <f t="shared" si="12"/>
        <v>0</v>
      </c>
      <c r="AB14" s="46">
        <f t="shared" si="29"/>
        <v>114</v>
      </c>
      <c r="AC14" s="84">
        <f t="shared" si="30"/>
        <v>128</v>
      </c>
      <c r="AD14" s="96">
        <f t="shared" si="31"/>
        <v>0.890625</v>
      </c>
      <c r="AE14" s="98">
        <v>46022.0</v>
      </c>
      <c r="AF14" s="99" t="s">
        <v>56</v>
      </c>
      <c r="AT14" s="36"/>
      <c r="AU14" s="36"/>
      <c r="AV14" s="36"/>
      <c r="AW14" s="36"/>
      <c r="AX14" s="36"/>
      <c r="AY14" s="36"/>
      <c r="AZ14" s="36"/>
      <c r="BA14" s="36"/>
      <c r="BB14" s="36"/>
    </row>
    <row r="15">
      <c r="A15" s="112" t="s">
        <v>54</v>
      </c>
      <c r="B15" s="95">
        <f t="shared" ref="B15:F15" si="32">sum(B11:B14)</f>
        <v>0</v>
      </c>
      <c r="C15" s="95">
        <f t="shared" si="32"/>
        <v>97</v>
      </c>
      <c r="D15" s="95">
        <f t="shared" si="32"/>
        <v>2</v>
      </c>
      <c r="E15" s="95">
        <f t="shared" si="32"/>
        <v>99</v>
      </c>
      <c r="F15" s="95">
        <f t="shared" si="32"/>
        <v>136</v>
      </c>
      <c r="G15" s="114">
        <f t="shared" si="2"/>
        <v>0.7279411765</v>
      </c>
      <c r="H15" s="95">
        <f t="shared" ref="H15:L15" si="33">sum(H11:H14)</f>
        <v>122</v>
      </c>
      <c r="I15" s="95">
        <f t="shared" si="33"/>
        <v>16</v>
      </c>
      <c r="J15" s="95">
        <f t="shared" si="33"/>
        <v>0</v>
      </c>
      <c r="K15" s="95">
        <f t="shared" si="33"/>
        <v>138</v>
      </c>
      <c r="L15" s="95">
        <f t="shared" si="33"/>
        <v>126</v>
      </c>
      <c r="M15" s="114">
        <f t="shared" si="4"/>
        <v>1.095238095</v>
      </c>
      <c r="N15" s="95">
        <f t="shared" ref="N15:S15" si="34">sum(N11:N14)</f>
        <v>81</v>
      </c>
      <c r="O15" s="95">
        <f t="shared" si="34"/>
        <v>7</v>
      </c>
      <c r="P15" s="95">
        <f t="shared" si="34"/>
        <v>0</v>
      </c>
      <c r="Q15" s="95">
        <f t="shared" si="34"/>
        <v>0</v>
      </c>
      <c r="R15" s="95">
        <f t="shared" si="34"/>
        <v>88</v>
      </c>
      <c r="S15" s="95">
        <f t="shared" si="34"/>
        <v>119</v>
      </c>
      <c r="T15" s="114">
        <f t="shared" si="6"/>
        <v>0.7394957983</v>
      </c>
      <c r="U15" s="95">
        <f t="shared" ref="U15:Z15" si="35">sum(U11:U14)</f>
        <v>0</v>
      </c>
      <c r="V15" s="95">
        <f t="shared" si="35"/>
        <v>323</v>
      </c>
      <c r="W15" s="95">
        <f t="shared" si="35"/>
        <v>2</v>
      </c>
      <c r="X15" s="95">
        <f t="shared" si="35"/>
        <v>325</v>
      </c>
      <c r="Y15" s="115">
        <f t="shared" si="35"/>
        <v>381</v>
      </c>
      <c r="Z15" s="116">
        <f t="shared" si="35"/>
        <v>56</v>
      </c>
      <c r="AA15" s="116">
        <f t="shared" si="12"/>
        <v>-1</v>
      </c>
      <c r="AB15" s="116">
        <f t="shared" ref="AB15:AC15" si="36">sum(AB11:AB14)</f>
        <v>325</v>
      </c>
      <c r="AC15" s="95">
        <f t="shared" si="36"/>
        <v>381</v>
      </c>
      <c r="AD15" s="118">
        <f>AB15/AC15</f>
        <v>0.8530183727</v>
      </c>
      <c r="AF15" s="99"/>
      <c r="AT15" s="36"/>
      <c r="AU15" s="36"/>
      <c r="AV15" s="36"/>
      <c r="AW15" s="36"/>
      <c r="AX15" s="36"/>
      <c r="AY15" s="36"/>
      <c r="AZ15" s="36"/>
      <c r="BA15" s="36"/>
      <c r="BB15" s="36"/>
    </row>
    <row r="16">
      <c r="A16" s="62" t="s">
        <v>55</v>
      </c>
      <c r="B16" s="195"/>
      <c r="C16" s="84">
        <v>18.0</v>
      </c>
      <c r="D16" s="84">
        <v>5.0</v>
      </c>
      <c r="E16" s="70">
        <f t="shared" ref="E16:E18" si="37">SUM(C16:D16)</f>
        <v>23</v>
      </c>
      <c r="F16" s="72">
        <v>30.0</v>
      </c>
      <c r="G16" s="76">
        <f t="shared" si="2"/>
        <v>0.7666666667</v>
      </c>
      <c r="H16" s="48">
        <v>28.0</v>
      </c>
      <c r="I16" s="48">
        <v>3.0</v>
      </c>
      <c r="J16" s="48">
        <v>3.0</v>
      </c>
      <c r="K16" s="70">
        <f t="shared" ref="K16:K18" si="38">SUM(H16:J16)</f>
        <v>34</v>
      </c>
      <c r="L16" s="72">
        <v>33.0</v>
      </c>
      <c r="M16" s="76">
        <f t="shared" si="4"/>
        <v>1.03030303</v>
      </c>
      <c r="N16" s="48">
        <v>14.0</v>
      </c>
      <c r="O16" s="48">
        <v>4.0</v>
      </c>
      <c r="P16" s="48"/>
      <c r="Q16" s="48">
        <v>12.0</v>
      </c>
      <c r="R16" s="70">
        <f t="shared" ref="R16:R18" si="39">SUM(N16:Q16)</f>
        <v>30</v>
      </c>
      <c r="S16" s="72">
        <v>30.0</v>
      </c>
      <c r="T16" s="76">
        <f t="shared" si="6"/>
        <v>1</v>
      </c>
      <c r="U16" s="83"/>
      <c r="V16" s="84">
        <f t="shared" ref="V16:V18" si="40">N16+H16+C16+O16+P16+I16</f>
        <v>67</v>
      </c>
      <c r="W16" s="84">
        <f t="shared" ref="W16:W18" si="41">Q16+J16+D16</f>
        <v>20</v>
      </c>
      <c r="X16" s="70">
        <f t="shared" ref="X16:X18" si="42">sum(U16:W16)</f>
        <v>87</v>
      </c>
      <c r="Y16" s="86">
        <f t="shared" ref="Y16:Y18" si="43">S16+L16+F16</f>
        <v>93</v>
      </c>
      <c r="Z16" s="88">
        <f t="shared" ref="Z16:Z18" si="44">Y16-X16</f>
        <v>6</v>
      </c>
      <c r="AA16" s="46">
        <f t="shared" si="12"/>
        <v>0</v>
      </c>
      <c r="AB16" s="46">
        <f t="shared" ref="AB16:AB18" si="45">W16+V16</f>
        <v>87</v>
      </c>
      <c r="AC16" s="84">
        <f t="shared" ref="AC16:AC18" si="46">Y16</f>
        <v>93</v>
      </c>
      <c r="AD16" s="96">
        <f t="shared" ref="AD16:AD18" si="47">(V16+W16)/Y16</f>
        <v>0.935483871</v>
      </c>
      <c r="AE16" s="119">
        <v>46022.0</v>
      </c>
      <c r="AF16" s="99" t="s">
        <v>81</v>
      </c>
      <c r="AT16" s="36"/>
      <c r="AU16" s="36"/>
      <c r="AV16" s="36"/>
      <c r="AW16" s="36"/>
      <c r="AX16" s="36"/>
      <c r="AY16" s="36"/>
      <c r="AZ16" s="36"/>
      <c r="BA16" s="36"/>
      <c r="BB16" s="36"/>
    </row>
    <row r="17">
      <c r="A17" s="62" t="s">
        <v>57</v>
      </c>
      <c r="B17" s="195"/>
      <c r="C17" s="84">
        <v>39.0</v>
      </c>
      <c r="D17" s="84"/>
      <c r="E17" s="70">
        <f t="shared" si="37"/>
        <v>39</v>
      </c>
      <c r="F17" s="72">
        <v>28.0</v>
      </c>
      <c r="G17" s="76">
        <f t="shared" si="2"/>
        <v>1.392857143</v>
      </c>
      <c r="H17" s="48">
        <v>18.0</v>
      </c>
      <c r="I17" s="48">
        <v>2.0</v>
      </c>
      <c r="J17" s="48">
        <v>3.0</v>
      </c>
      <c r="K17" s="70">
        <f t="shared" si="38"/>
        <v>23</v>
      </c>
      <c r="L17" s="72">
        <v>27.0</v>
      </c>
      <c r="M17" s="76">
        <f t="shared" si="4"/>
        <v>0.8518518519</v>
      </c>
      <c r="N17" s="48">
        <v>21.0</v>
      </c>
      <c r="O17" s="48">
        <v>1.0</v>
      </c>
      <c r="P17" s="48"/>
      <c r="Q17" s="48">
        <v>4.0</v>
      </c>
      <c r="R17" s="70">
        <f t="shared" si="39"/>
        <v>26</v>
      </c>
      <c r="S17" s="72">
        <v>25.0</v>
      </c>
      <c r="T17" s="76">
        <f t="shared" si="6"/>
        <v>1.04</v>
      </c>
      <c r="U17" s="83"/>
      <c r="V17" s="84">
        <f t="shared" si="40"/>
        <v>81</v>
      </c>
      <c r="W17" s="84">
        <f t="shared" si="41"/>
        <v>7</v>
      </c>
      <c r="X17" s="70">
        <f t="shared" si="42"/>
        <v>88</v>
      </c>
      <c r="Y17" s="86">
        <f t="shared" si="43"/>
        <v>80</v>
      </c>
      <c r="Z17" s="88">
        <f t="shared" si="44"/>
        <v>-8</v>
      </c>
      <c r="AA17" s="46">
        <f t="shared" si="12"/>
        <v>0</v>
      </c>
      <c r="AB17" s="46">
        <f t="shared" si="45"/>
        <v>88</v>
      </c>
      <c r="AC17" s="84">
        <f t="shared" si="46"/>
        <v>80</v>
      </c>
      <c r="AD17" s="96">
        <f t="shared" si="47"/>
        <v>1.1</v>
      </c>
      <c r="AE17" s="119">
        <v>46022.0</v>
      </c>
      <c r="AF17" s="99" t="s">
        <v>81</v>
      </c>
      <c r="AT17" s="36"/>
      <c r="AU17" s="36"/>
      <c r="AV17" s="36"/>
      <c r="AW17" s="36"/>
      <c r="AX17" s="36"/>
      <c r="AY17" s="36"/>
      <c r="AZ17" s="36"/>
      <c r="BA17" s="36"/>
      <c r="BB17" s="36"/>
    </row>
    <row r="18">
      <c r="A18" s="62" t="s">
        <v>58</v>
      </c>
      <c r="B18" s="195"/>
      <c r="C18" s="84">
        <v>12.0</v>
      </c>
      <c r="D18" s="84"/>
      <c r="E18" s="70">
        <f t="shared" si="37"/>
        <v>12</v>
      </c>
      <c r="F18" s="72">
        <v>13.0</v>
      </c>
      <c r="G18" s="76">
        <f t="shared" si="2"/>
        <v>0.9230769231</v>
      </c>
      <c r="H18" s="48">
        <v>9.0</v>
      </c>
      <c r="I18" s="48">
        <v>3.0</v>
      </c>
      <c r="J18" s="48"/>
      <c r="K18" s="70">
        <f t="shared" si="38"/>
        <v>12</v>
      </c>
      <c r="L18" s="72">
        <v>10.0</v>
      </c>
      <c r="M18" s="76">
        <f t="shared" si="4"/>
        <v>1.2</v>
      </c>
      <c r="N18" s="48">
        <v>5.0</v>
      </c>
      <c r="O18" s="48">
        <v>1.0</v>
      </c>
      <c r="P18" s="48"/>
      <c r="Q18" s="48">
        <v>1.0</v>
      </c>
      <c r="R18" s="70">
        <f t="shared" si="39"/>
        <v>7</v>
      </c>
      <c r="S18" s="72">
        <v>10.0</v>
      </c>
      <c r="T18" s="76">
        <f t="shared" si="6"/>
        <v>0.7</v>
      </c>
      <c r="U18" s="83"/>
      <c r="V18" s="84">
        <f t="shared" si="40"/>
        <v>30</v>
      </c>
      <c r="W18" s="84">
        <f t="shared" si="41"/>
        <v>1</v>
      </c>
      <c r="X18" s="70">
        <f t="shared" si="42"/>
        <v>31</v>
      </c>
      <c r="Y18" s="86">
        <f t="shared" si="43"/>
        <v>33</v>
      </c>
      <c r="Z18" s="88">
        <f t="shared" si="44"/>
        <v>2</v>
      </c>
      <c r="AA18" s="46">
        <f t="shared" si="12"/>
        <v>0</v>
      </c>
      <c r="AB18" s="46">
        <f t="shared" si="45"/>
        <v>31</v>
      </c>
      <c r="AC18" s="84">
        <f t="shared" si="46"/>
        <v>33</v>
      </c>
      <c r="AD18" s="96">
        <f t="shared" si="47"/>
        <v>0.9393939394</v>
      </c>
      <c r="AE18" s="119">
        <v>46020.0</v>
      </c>
      <c r="AF18" s="99" t="s">
        <v>81</v>
      </c>
      <c r="AT18" s="36"/>
      <c r="AU18" s="36"/>
      <c r="AV18" s="36"/>
      <c r="AW18" s="36"/>
      <c r="AX18" s="36"/>
      <c r="AY18" s="36"/>
      <c r="AZ18" s="36"/>
      <c r="BA18" s="36"/>
      <c r="BB18" s="36"/>
    </row>
    <row r="19">
      <c r="A19" s="112" t="s">
        <v>59</v>
      </c>
      <c r="B19" s="95">
        <f t="shared" ref="B19:F19" si="48">sum(B16:B18)</f>
        <v>0</v>
      </c>
      <c r="C19" s="95">
        <f t="shared" si="48"/>
        <v>69</v>
      </c>
      <c r="D19" s="95">
        <f t="shared" si="48"/>
        <v>5</v>
      </c>
      <c r="E19" s="95">
        <f t="shared" si="48"/>
        <v>74</v>
      </c>
      <c r="F19" s="95">
        <f t="shared" si="48"/>
        <v>71</v>
      </c>
      <c r="G19" s="114">
        <f t="shared" si="2"/>
        <v>1.042253521</v>
      </c>
      <c r="H19" s="95">
        <f t="shared" ref="H19:L19" si="49">sum(H16:H18)</f>
        <v>55</v>
      </c>
      <c r="I19" s="95">
        <f t="shared" si="49"/>
        <v>8</v>
      </c>
      <c r="J19" s="95">
        <f t="shared" si="49"/>
        <v>6</v>
      </c>
      <c r="K19" s="95">
        <f t="shared" si="49"/>
        <v>69</v>
      </c>
      <c r="L19" s="95">
        <f t="shared" si="49"/>
        <v>70</v>
      </c>
      <c r="M19" s="114">
        <f t="shared" si="4"/>
        <v>0.9857142857</v>
      </c>
      <c r="N19" s="95">
        <f t="shared" ref="N19:S19" si="50">sum(N16:N18)</f>
        <v>40</v>
      </c>
      <c r="O19" s="95">
        <f t="shared" si="50"/>
        <v>6</v>
      </c>
      <c r="P19" s="95">
        <f t="shared" si="50"/>
        <v>0</v>
      </c>
      <c r="Q19" s="95">
        <f t="shared" si="50"/>
        <v>17</v>
      </c>
      <c r="R19" s="95">
        <f t="shared" si="50"/>
        <v>63</v>
      </c>
      <c r="S19" s="95">
        <f t="shared" si="50"/>
        <v>65</v>
      </c>
      <c r="T19" s="114">
        <f t="shared" si="6"/>
        <v>0.9692307692</v>
      </c>
      <c r="U19" s="95">
        <f t="shared" ref="U19:Z19" si="51">sum(U16:U18)</f>
        <v>0</v>
      </c>
      <c r="V19" s="95">
        <f t="shared" si="51"/>
        <v>178</v>
      </c>
      <c r="W19" s="95">
        <f t="shared" si="51"/>
        <v>28</v>
      </c>
      <c r="X19" s="95">
        <f t="shared" si="51"/>
        <v>206</v>
      </c>
      <c r="Y19" s="115">
        <f t="shared" si="51"/>
        <v>206</v>
      </c>
      <c r="Z19" s="116">
        <f t="shared" si="51"/>
        <v>0</v>
      </c>
      <c r="AA19" s="116">
        <f t="shared" si="12"/>
        <v>0</v>
      </c>
      <c r="AB19" s="116">
        <f t="shared" ref="AB19:AC19" si="52">sum(AB16:AB18)</f>
        <v>206</v>
      </c>
      <c r="AC19" s="95">
        <f t="shared" si="52"/>
        <v>206</v>
      </c>
      <c r="AD19" s="118">
        <f>AB19/AC19</f>
        <v>1</v>
      </c>
      <c r="AF19" s="99"/>
      <c r="AT19" s="36"/>
      <c r="AU19" s="36"/>
      <c r="AV19" s="36"/>
      <c r="AW19" s="36"/>
      <c r="AX19" s="36"/>
      <c r="AY19" s="36"/>
      <c r="AZ19" s="36"/>
      <c r="BA19" s="36"/>
      <c r="BB19" s="36"/>
    </row>
    <row r="20">
      <c r="A20" s="112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37"/>
      <c r="Z20" s="121"/>
      <c r="AA20" s="138"/>
      <c r="AB20" s="138"/>
      <c r="AC20" s="139"/>
      <c r="AD20" s="140"/>
      <c r="AF20" s="36"/>
      <c r="AT20" s="36"/>
      <c r="AU20" s="36"/>
      <c r="AV20" s="36"/>
      <c r="AW20" s="36"/>
      <c r="AX20" s="36"/>
      <c r="AY20" s="36"/>
      <c r="AZ20" s="36"/>
      <c r="BA20" s="36"/>
      <c r="BB20" s="36"/>
    </row>
    <row r="21">
      <c r="A21" s="14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37"/>
      <c r="Z21" s="121"/>
      <c r="AA21" s="138"/>
      <c r="AB21" s="138"/>
      <c r="AC21" s="139"/>
      <c r="AD21" s="140"/>
      <c r="AF21" s="36"/>
      <c r="AT21" s="36"/>
      <c r="AU21" s="36"/>
      <c r="AV21" s="36"/>
      <c r="AW21" s="36"/>
      <c r="AX21" s="36"/>
      <c r="AY21" s="36"/>
      <c r="AZ21" s="36"/>
      <c r="BA21" s="36"/>
      <c r="BB21" s="36"/>
    </row>
    <row r="22">
      <c r="A22" s="143" t="s">
        <v>13</v>
      </c>
      <c r="B22" s="144">
        <f t="shared" ref="B22:F22" si="53">B19+B15+B10</f>
        <v>0</v>
      </c>
      <c r="C22" s="144">
        <f t="shared" si="53"/>
        <v>289</v>
      </c>
      <c r="D22" s="144">
        <f t="shared" si="53"/>
        <v>15</v>
      </c>
      <c r="E22" s="144">
        <f t="shared" si="53"/>
        <v>304</v>
      </c>
      <c r="F22" s="144">
        <f t="shared" si="53"/>
        <v>339</v>
      </c>
      <c r="G22" s="146">
        <f>E22/F22</f>
        <v>0.8967551622</v>
      </c>
      <c r="H22" s="144">
        <f t="shared" ref="H22:L22" si="54">H19+H15+H10</f>
        <v>274</v>
      </c>
      <c r="I22" s="144">
        <f t="shared" si="54"/>
        <v>40</v>
      </c>
      <c r="J22" s="144">
        <f t="shared" si="54"/>
        <v>6</v>
      </c>
      <c r="K22" s="144">
        <f t="shared" si="54"/>
        <v>320</v>
      </c>
      <c r="L22" s="144">
        <f t="shared" si="54"/>
        <v>320</v>
      </c>
      <c r="M22" s="146">
        <f>K22/L22</f>
        <v>1</v>
      </c>
      <c r="N22" s="144">
        <f t="shared" ref="N22:S22" si="55">N19+N15+N10</f>
        <v>209</v>
      </c>
      <c r="O22" s="144">
        <f t="shared" si="55"/>
        <v>20</v>
      </c>
      <c r="P22" s="144">
        <f t="shared" si="55"/>
        <v>0</v>
      </c>
      <c r="Q22" s="144">
        <f t="shared" si="55"/>
        <v>17</v>
      </c>
      <c r="R22" s="144">
        <f t="shared" si="55"/>
        <v>246</v>
      </c>
      <c r="S22" s="144">
        <f t="shared" si="55"/>
        <v>308</v>
      </c>
      <c r="T22" s="146">
        <f>R22/S22</f>
        <v>0.7987012987</v>
      </c>
      <c r="U22" s="144">
        <f t="shared" ref="U22:Z22" si="56">U19+U15+U10</f>
        <v>0</v>
      </c>
      <c r="V22" s="144">
        <f t="shared" si="56"/>
        <v>832</v>
      </c>
      <c r="W22" s="144">
        <f t="shared" si="56"/>
        <v>38</v>
      </c>
      <c r="X22" s="144">
        <f t="shared" si="56"/>
        <v>870</v>
      </c>
      <c r="Y22" s="150">
        <f t="shared" si="56"/>
        <v>967</v>
      </c>
      <c r="Z22" s="153">
        <f t="shared" si="56"/>
        <v>97</v>
      </c>
      <c r="AA22" s="155">
        <f>round(Z22/$AA$26*7,0)</f>
        <v>-2</v>
      </c>
      <c r="AB22" s="153">
        <f t="shared" ref="AB22:AC22" si="57">AB19+AB15+AB10</f>
        <v>870</v>
      </c>
      <c r="AC22" s="144">
        <f t="shared" si="57"/>
        <v>967</v>
      </c>
      <c r="AD22" s="157">
        <f>(V22+W22)/Y22</f>
        <v>0.8996897622</v>
      </c>
      <c r="AF22" s="36"/>
      <c r="AT22" s="36"/>
      <c r="AU22" s="36"/>
      <c r="AV22" s="36"/>
      <c r="AW22" s="36"/>
      <c r="AX22" s="36"/>
      <c r="AY22" s="36"/>
      <c r="AZ22" s="36"/>
      <c r="BA22" s="36"/>
      <c r="BB22" s="36"/>
    </row>
    <row r="23">
      <c r="AT23" s="36"/>
      <c r="AU23" s="36"/>
      <c r="AV23" s="36"/>
      <c r="AW23" s="36"/>
      <c r="AX23" s="36"/>
      <c r="AY23" s="36"/>
      <c r="AZ23" s="36"/>
      <c r="BA23" s="36"/>
      <c r="BB23" s="36"/>
    </row>
    <row r="24">
      <c r="AA24" s="1">
        <v>46022.0</v>
      </c>
      <c r="AB24" s="131"/>
      <c r="AC24" s="69">
        <f>AC22-AB22</f>
        <v>97</v>
      </c>
      <c r="AT24" s="36"/>
      <c r="AU24" s="36"/>
      <c r="AV24" s="36"/>
      <c r="AW24" s="36"/>
      <c r="AX24" s="36"/>
      <c r="AY24" s="36"/>
      <c r="AZ24" s="36"/>
      <c r="BA24" s="36"/>
      <c r="BB24" s="36"/>
    </row>
    <row r="25">
      <c r="A25" s="202" t="s">
        <v>84</v>
      </c>
      <c r="B25" s="15"/>
      <c r="C25" s="15"/>
      <c r="D25" s="15"/>
      <c r="E25" s="15"/>
      <c r="F25" s="15"/>
      <c r="G25" s="21"/>
      <c r="AA25" s="162">
        <f>today()-1</f>
        <v>46294</v>
      </c>
      <c r="AT25" s="36"/>
      <c r="AU25" s="36"/>
      <c r="AV25" s="36"/>
      <c r="AW25" s="36"/>
      <c r="AX25" s="36"/>
      <c r="AY25" s="36"/>
      <c r="AZ25" s="36"/>
      <c r="BA25" s="36"/>
      <c r="BB25" s="36"/>
    </row>
    <row r="26">
      <c r="A26" s="25"/>
      <c r="G26" s="41"/>
      <c r="L26" s="203" t="s">
        <v>85</v>
      </c>
      <c r="AA26" s="66">
        <f>AA24-AA25</f>
        <v>-272</v>
      </c>
      <c r="AT26" s="36"/>
      <c r="AU26" s="36"/>
      <c r="AV26" s="36"/>
      <c r="AW26" s="36"/>
      <c r="AX26" s="36"/>
      <c r="AY26" s="36"/>
      <c r="AZ26" s="36"/>
      <c r="BA26" s="36"/>
      <c r="BB26" s="36"/>
    </row>
    <row r="27">
      <c r="A27" s="43"/>
      <c r="B27" s="179" t="s">
        <v>26</v>
      </c>
      <c r="C27" s="179" t="s">
        <v>27</v>
      </c>
      <c r="D27" s="179" t="s">
        <v>86</v>
      </c>
      <c r="F27" s="179" t="s">
        <v>87</v>
      </c>
      <c r="G27" s="41"/>
      <c r="L27" s="179" t="s">
        <v>88</v>
      </c>
      <c r="M27" s="179" t="s">
        <v>89</v>
      </c>
      <c r="N27" s="179" t="s">
        <v>90</v>
      </c>
      <c r="O27" s="179" t="s">
        <v>91</v>
      </c>
      <c r="P27" s="179" t="s">
        <v>26</v>
      </c>
      <c r="Q27" s="204"/>
      <c r="AJ27" s="36"/>
      <c r="AK27" s="36"/>
      <c r="AL27" s="36"/>
      <c r="AM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</row>
    <row r="28">
      <c r="A28" s="46" t="s">
        <v>22</v>
      </c>
      <c r="B28" s="72">
        <f t="shared" ref="B28:B31" si="58">P28</f>
        <v>7</v>
      </c>
      <c r="C28" s="72">
        <f>12+11</f>
        <v>23</v>
      </c>
      <c r="D28" s="205">
        <f t="shared" ref="D28:D31" si="59">C28-B28</f>
        <v>16</v>
      </c>
      <c r="F28" s="205"/>
      <c r="G28" s="41"/>
      <c r="I28" s="23"/>
      <c r="J28" s="23" t="s">
        <v>92</v>
      </c>
      <c r="K28" s="84" t="s">
        <v>22</v>
      </c>
      <c r="L28" s="66">
        <v>5.0</v>
      </c>
      <c r="M28" s="37">
        <v>2.0</v>
      </c>
      <c r="P28" s="70">
        <f t="shared" ref="P28:P31" si="60">sum(L28:O28)</f>
        <v>7</v>
      </c>
      <c r="S28" s="37" t="s">
        <v>0</v>
      </c>
      <c r="AJ28" s="36"/>
      <c r="AK28" s="36"/>
      <c r="AL28" s="36"/>
      <c r="AM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</row>
    <row r="29">
      <c r="A29" s="46" t="s">
        <v>36</v>
      </c>
      <c r="B29" s="72">
        <f t="shared" si="58"/>
        <v>4</v>
      </c>
      <c r="C29" s="72">
        <f>6+7</f>
        <v>13</v>
      </c>
      <c r="D29" s="205">
        <f t="shared" si="59"/>
        <v>9</v>
      </c>
      <c r="F29" s="205">
        <v>4.0</v>
      </c>
      <c r="G29" s="41"/>
      <c r="I29" s="23"/>
      <c r="J29" s="23" t="s">
        <v>93</v>
      </c>
      <c r="K29" s="84" t="s">
        <v>36</v>
      </c>
      <c r="L29" s="66">
        <v>1.0</v>
      </c>
      <c r="N29" s="37">
        <v>3.0</v>
      </c>
      <c r="P29" s="70">
        <f t="shared" si="60"/>
        <v>4</v>
      </c>
      <c r="AJ29" s="36"/>
      <c r="AK29" s="36"/>
      <c r="AL29" s="36"/>
      <c r="AM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</row>
    <row r="30">
      <c r="A30" s="46" t="s">
        <v>40</v>
      </c>
      <c r="B30" s="72">
        <f t="shared" si="58"/>
        <v>0</v>
      </c>
      <c r="C30" s="72">
        <f>5+6</f>
        <v>11</v>
      </c>
      <c r="D30" s="205">
        <f t="shared" si="59"/>
        <v>11</v>
      </c>
      <c r="F30" s="205"/>
      <c r="G30" s="41"/>
      <c r="I30" s="23"/>
      <c r="J30" s="23" t="s">
        <v>94</v>
      </c>
      <c r="K30" s="84" t="s">
        <v>40</v>
      </c>
      <c r="P30" s="70">
        <f t="shared" si="60"/>
        <v>0</v>
      </c>
      <c r="V30" s="204"/>
    </row>
    <row r="31">
      <c r="A31" s="46" t="s">
        <v>41</v>
      </c>
      <c r="B31" s="72">
        <f t="shared" si="58"/>
        <v>2</v>
      </c>
      <c r="C31" s="72">
        <f>7+7</f>
        <v>14</v>
      </c>
      <c r="D31" s="205">
        <f t="shared" si="59"/>
        <v>12</v>
      </c>
      <c r="F31" s="205"/>
      <c r="G31" s="41"/>
      <c r="I31" s="23"/>
      <c r="J31" s="23" t="s">
        <v>95</v>
      </c>
      <c r="K31" s="84" t="s">
        <v>41</v>
      </c>
      <c r="M31" s="37">
        <v>2.0</v>
      </c>
      <c r="P31" s="70">
        <f t="shared" si="60"/>
        <v>2</v>
      </c>
    </row>
    <row r="32">
      <c r="A32" s="94" t="s">
        <v>44</v>
      </c>
      <c r="B32" s="100">
        <f t="shared" ref="B32:D32" si="61">sum(B28:B31)</f>
        <v>13</v>
      </c>
      <c r="C32" s="100">
        <f t="shared" si="61"/>
        <v>61</v>
      </c>
      <c r="D32" s="100">
        <f t="shared" si="61"/>
        <v>48</v>
      </c>
      <c r="F32" s="100">
        <f>sum(F28:F31)</f>
        <v>4</v>
      </c>
      <c r="G32" s="41"/>
      <c r="K32" s="206" t="s">
        <v>44</v>
      </c>
      <c r="L32" s="100">
        <f t="shared" ref="L32:P32" si="62">sum(L28:L31)</f>
        <v>6</v>
      </c>
      <c r="M32" s="100">
        <f t="shared" si="62"/>
        <v>4</v>
      </c>
      <c r="N32" s="100">
        <f t="shared" si="62"/>
        <v>3</v>
      </c>
      <c r="O32" s="100">
        <f t="shared" si="62"/>
        <v>0</v>
      </c>
      <c r="P32" s="100">
        <f t="shared" si="62"/>
        <v>13</v>
      </c>
    </row>
    <row r="33">
      <c r="A33" s="46"/>
      <c r="B33" s="76"/>
      <c r="C33" s="76"/>
      <c r="D33" s="76"/>
      <c r="F33" s="76"/>
      <c r="G33" s="41"/>
      <c r="K33" s="84"/>
      <c r="L33" s="76"/>
      <c r="M33" s="76"/>
      <c r="N33" s="76"/>
      <c r="O33" s="76"/>
      <c r="P33" s="76"/>
    </row>
    <row r="34">
      <c r="A34" s="46" t="s">
        <v>47</v>
      </c>
      <c r="B34" s="72">
        <f>P34</f>
        <v>1</v>
      </c>
      <c r="C34" s="72">
        <f>7+6</f>
        <v>13</v>
      </c>
      <c r="D34" s="205">
        <f t="shared" ref="D34:D37" si="63">C34-B34</f>
        <v>12</v>
      </c>
      <c r="F34" s="205"/>
      <c r="G34" s="41"/>
      <c r="K34" s="84" t="s">
        <v>47</v>
      </c>
      <c r="L34" s="37">
        <v>1.0</v>
      </c>
      <c r="P34" s="70">
        <f t="shared" ref="P34:P37" si="64">sum(L34:O34)</f>
        <v>1</v>
      </c>
    </row>
    <row r="35">
      <c r="A35" s="46" t="s">
        <v>51</v>
      </c>
      <c r="B35" s="72">
        <v>2.0</v>
      </c>
      <c r="C35" s="72">
        <f>9+9</f>
        <v>18</v>
      </c>
      <c r="D35" s="205">
        <f t="shared" si="63"/>
        <v>16</v>
      </c>
      <c r="F35" s="205">
        <v>2.0</v>
      </c>
      <c r="G35" s="41"/>
      <c r="K35" s="84" t="s">
        <v>51</v>
      </c>
      <c r="M35" s="37">
        <v>1.0</v>
      </c>
      <c r="P35" s="70">
        <f t="shared" si="64"/>
        <v>1</v>
      </c>
    </row>
    <row r="36">
      <c r="A36" s="46" t="s">
        <v>52</v>
      </c>
      <c r="B36" s="72">
        <v>1.0</v>
      </c>
      <c r="C36" s="72">
        <f>5+6</f>
        <v>11</v>
      </c>
      <c r="D36" s="205">
        <f t="shared" si="63"/>
        <v>10</v>
      </c>
      <c r="F36" s="205">
        <v>1.0</v>
      </c>
      <c r="G36" s="41"/>
      <c r="K36" s="84" t="s">
        <v>52</v>
      </c>
      <c r="P36" s="70">
        <f t="shared" si="64"/>
        <v>0</v>
      </c>
    </row>
    <row r="37">
      <c r="A37" s="46" t="s">
        <v>53</v>
      </c>
      <c r="B37" s="72">
        <v>1.0</v>
      </c>
      <c r="C37" s="72">
        <f>9+9</f>
        <v>18</v>
      </c>
      <c r="D37" s="205">
        <f t="shared" si="63"/>
        <v>17</v>
      </c>
      <c r="F37" s="205">
        <v>1.0</v>
      </c>
      <c r="G37" s="41"/>
      <c r="K37" s="84" t="s">
        <v>53</v>
      </c>
      <c r="O37" s="37">
        <v>1.0</v>
      </c>
      <c r="P37" s="70">
        <f t="shared" si="64"/>
        <v>1</v>
      </c>
    </row>
    <row r="38">
      <c r="A38" s="94" t="s">
        <v>54</v>
      </c>
      <c r="B38" s="100">
        <f t="shared" ref="B38:D38" si="65">sum(B34:B37)</f>
        <v>5</v>
      </c>
      <c r="C38" s="100">
        <f t="shared" si="65"/>
        <v>60</v>
      </c>
      <c r="D38" s="100">
        <f t="shared" si="65"/>
        <v>55</v>
      </c>
      <c r="F38" s="100">
        <f>sum(F34:F37)</f>
        <v>4</v>
      </c>
      <c r="G38" s="41"/>
      <c r="K38" s="206" t="s">
        <v>54</v>
      </c>
      <c r="L38" s="100">
        <f t="shared" ref="L38:P38" si="66">sum(L34:L37)</f>
        <v>1</v>
      </c>
      <c r="M38" s="100">
        <f t="shared" si="66"/>
        <v>1</v>
      </c>
      <c r="N38" s="100">
        <f t="shared" si="66"/>
        <v>0</v>
      </c>
      <c r="O38" s="100">
        <f t="shared" si="66"/>
        <v>1</v>
      </c>
      <c r="P38" s="100">
        <f t="shared" si="66"/>
        <v>3</v>
      </c>
    </row>
    <row r="39">
      <c r="A39" s="46"/>
      <c r="B39" s="76"/>
      <c r="C39" s="76"/>
      <c r="D39" s="76"/>
      <c r="F39" s="76"/>
      <c r="G39" s="41"/>
      <c r="K39" s="84"/>
      <c r="L39" s="76"/>
      <c r="M39" s="76"/>
      <c r="N39" s="76"/>
      <c r="O39" s="76"/>
      <c r="P39" s="76"/>
    </row>
    <row r="40">
      <c r="A40" s="46" t="s">
        <v>55</v>
      </c>
      <c r="B40" s="72">
        <v>22.0</v>
      </c>
      <c r="C40" s="72">
        <f>9+9</f>
        <v>18</v>
      </c>
      <c r="D40" s="205">
        <f t="shared" ref="D40:D42" si="67">C40-B40</f>
        <v>-4</v>
      </c>
      <c r="F40" s="205">
        <v>0.0</v>
      </c>
      <c r="G40" s="41"/>
      <c r="K40" s="84" t="s">
        <v>55</v>
      </c>
      <c r="L40" s="66">
        <v>3.0</v>
      </c>
      <c r="M40" s="37">
        <v>4.0</v>
      </c>
      <c r="N40" s="37">
        <v>3.0</v>
      </c>
      <c r="O40" s="37">
        <v>12.0</v>
      </c>
      <c r="P40" s="70">
        <f t="shared" ref="P40:P42" si="68">sum(L40:O40)</f>
        <v>22</v>
      </c>
      <c r="R40" s="207"/>
      <c r="S40" s="207"/>
      <c r="T40" s="207"/>
    </row>
    <row r="41">
      <c r="A41" s="46" t="s">
        <v>57</v>
      </c>
      <c r="B41" s="72">
        <v>3.0</v>
      </c>
      <c r="C41" s="72">
        <f>5+6</f>
        <v>11</v>
      </c>
      <c r="D41" s="205">
        <f t="shared" si="67"/>
        <v>8</v>
      </c>
      <c r="F41" s="205">
        <v>0.0</v>
      </c>
      <c r="G41" s="41"/>
      <c r="K41" s="84" t="s">
        <v>57</v>
      </c>
      <c r="N41" s="37">
        <v>2.0</v>
      </c>
      <c r="O41" s="37">
        <v>1.0</v>
      </c>
      <c r="P41" s="70">
        <f t="shared" si="68"/>
        <v>3</v>
      </c>
      <c r="R41" s="207"/>
      <c r="S41" s="207"/>
      <c r="T41" s="207"/>
    </row>
    <row r="42">
      <c r="A42" s="46" t="s">
        <v>58</v>
      </c>
      <c r="B42" s="72">
        <f>P42</f>
        <v>0</v>
      </c>
      <c r="C42" s="72">
        <f>2+3</f>
        <v>5</v>
      </c>
      <c r="D42" s="205">
        <f t="shared" si="67"/>
        <v>5</v>
      </c>
      <c r="F42" s="205">
        <v>0.0</v>
      </c>
      <c r="G42" s="41"/>
      <c r="K42" s="84" t="s">
        <v>58</v>
      </c>
      <c r="P42" s="70">
        <f t="shared" si="68"/>
        <v>0</v>
      </c>
      <c r="R42" s="207"/>
      <c r="S42" s="207"/>
      <c r="T42" s="207"/>
    </row>
    <row r="43">
      <c r="A43" s="94" t="s">
        <v>59</v>
      </c>
      <c r="B43" s="100">
        <f t="shared" ref="B43:D43" si="69">sum(B40:B42)</f>
        <v>25</v>
      </c>
      <c r="C43" s="100">
        <f t="shared" si="69"/>
        <v>34</v>
      </c>
      <c r="D43" s="100">
        <f t="shared" si="69"/>
        <v>9</v>
      </c>
      <c r="F43" s="100">
        <f>sum(F40:F42)</f>
        <v>0</v>
      </c>
      <c r="G43" s="41"/>
      <c r="K43" s="206" t="s">
        <v>59</v>
      </c>
      <c r="L43" s="100">
        <f t="shared" ref="L43:P43" si="70">sum(L40:L42)</f>
        <v>3</v>
      </c>
      <c r="M43" s="100">
        <f t="shared" si="70"/>
        <v>4</v>
      </c>
      <c r="N43" s="100">
        <f t="shared" si="70"/>
        <v>5</v>
      </c>
      <c r="O43" s="100">
        <f t="shared" si="70"/>
        <v>13</v>
      </c>
      <c r="P43" s="100">
        <f t="shared" si="70"/>
        <v>25</v>
      </c>
    </row>
    <row r="44">
      <c r="A44" s="94"/>
      <c r="B44" s="120"/>
      <c r="C44" s="120"/>
      <c r="D44" s="120"/>
      <c r="F44" s="120"/>
      <c r="G44" s="41"/>
      <c r="K44" s="206"/>
      <c r="L44" s="120"/>
      <c r="M44" s="120"/>
      <c r="N44" s="120"/>
      <c r="O44" s="120"/>
      <c r="P44" s="120"/>
    </row>
    <row r="45">
      <c r="A45" s="94"/>
      <c r="B45" s="114"/>
      <c r="C45" s="114"/>
      <c r="D45" s="114"/>
      <c r="F45" s="114"/>
      <c r="G45" s="41"/>
      <c r="K45" s="206"/>
      <c r="L45" s="114"/>
      <c r="M45" s="114"/>
      <c r="N45" s="114"/>
      <c r="O45" s="114"/>
      <c r="P45" s="114"/>
    </row>
    <row r="46">
      <c r="A46" s="94" t="s">
        <v>13</v>
      </c>
      <c r="B46" s="100">
        <f t="shared" ref="B46:D46" si="71">B43+B38+B32</f>
        <v>43</v>
      </c>
      <c r="C46" s="100">
        <f t="shared" si="71"/>
        <v>155</v>
      </c>
      <c r="D46" s="100">
        <f t="shared" si="71"/>
        <v>112</v>
      </c>
      <c r="F46" s="100">
        <f>F43+F38+F32</f>
        <v>8</v>
      </c>
      <c r="G46" s="41"/>
      <c r="K46" s="206" t="s">
        <v>13</v>
      </c>
      <c r="L46" s="100">
        <f t="shared" ref="L46:P46" si="72">L43+L38+L32</f>
        <v>10</v>
      </c>
      <c r="M46" s="100">
        <f t="shared" si="72"/>
        <v>9</v>
      </c>
      <c r="N46" s="100">
        <f t="shared" si="72"/>
        <v>8</v>
      </c>
      <c r="O46" s="100">
        <f t="shared" si="72"/>
        <v>14</v>
      </c>
      <c r="P46" s="100">
        <f t="shared" si="72"/>
        <v>41</v>
      </c>
    </row>
    <row r="47">
      <c r="A47" s="208"/>
      <c r="B47" s="209"/>
      <c r="C47" s="209"/>
      <c r="D47" s="209"/>
      <c r="E47" s="209"/>
      <c r="F47" s="209"/>
      <c r="G47" s="210"/>
    </row>
    <row r="49">
      <c r="A49" s="196" t="s">
        <v>63</v>
      </c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2"/>
      <c r="X49" s="18" t="s">
        <v>2</v>
      </c>
      <c r="Y49" s="160" t="s">
        <v>3</v>
      </c>
    </row>
    <row r="50">
      <c r="A50" s="39"/>
      <c r="B50" s="194"/>
      <c r="C50" s="163" t="str">
        <f>C4</f>
        <v>OCT</v>
      </c>
      <c r="D50" s="30"/>
      <c r="E50" s="30"/>
      <c r="F50" s="30"/>
      <c r="G50" s="163" t="str">
        <f>H4</f>
        <v>NOV</v>
      </c>
      <c r="H50" s="30"/>
      <c r="I50" s="30"/>
      <c r="J50" s="30"/>
      <c r="K50" s="30"/>
      <c r="L50" s="163" t="str">
        <f>N4</f>
        <v>DEC</v>
      </c>
      <c r="M50" s="30"/>
      <c r="N50" s="30"/>
      <c r="O50" s="30"/>
      <c r="P50" s="163"/>
      <c r="Q50" s="163"/>
      <c r="R50" s="164" t="s">
        <v>13</v>
      </c>
      <c r="S50" s="30"/>
      <c r="T50" s="30"/>
      <c r="U50" s="42"/>
      <c r="Y50" s="36"/>
    </row>
    <row r="51">
      <c r="A51" s="43"/>
      <c r="B51" s="194"/>
      <c r="C51" s="179" t="s">
        <v>64</v>
      </c>
      <c r="D51" s="179" t="s">
        <v>65</v>
      </c>
      <c r="E51" s="179" t="s">
        <v>26</v>
      </c>
      <c r="F51" s="179" t="s">
        <v>66</v>
      </c>
      <c r="G51" s="179" t="s">
        <v>64</v>
      </c>
      <c r="H51" s="179" t="s">
        <v>65</v>
      </c>
      <c r="I51" s="179"/>
      <c r="J51" s="179" t="s">
        <v>26</v>
      </c>
      <c r="K51" s="179" t="s">
        <v>66</v>
      </c>
      <c r="L51" s="179" t="s">
        <v>64</v>
      </c>
      <c r="M51" s="179" t="s">
        <v>65</v>
      </c>
      <c r="N51" s="179" t="s">
        <v>26</v>
      </c>
      <c r="O51" s="179" t="s">
        <v>66</v>
      </c>
      <c r="P51" s="211"/>
      <c r="Q51" s="179"/>
      <c r="R51" s="179" t="s">
        <v>64</v>
      </c>
      <c r="S51" s="179" t="s">
        <v>65</v>
      </c>
      <c r="T51" s="179" t="s">
        <v>26</v>
      </c>
      <c r="U51" s="181" t="s">
        <v>66</v>
      </c>
      <c r="Y51" s="36"/>
    </row>
    <row r="52">
      <c r="A52" s="156" t="s">
        <v>22</v>
      </c>
      <c r="B52" s="194"/>
      <c r="C52" s="48">
        <v>127.0</v>
      </c>
      <c r="D52" s="48">
        <v>0.0</v>
      </c>
      <c r="E52" s="70">
        <f>SUM(C52:D52)</f>
        <v>127</v>
      </c>
      <c r="F52" s="72">
        <v>170.0</v>
      </c>
      <c r="G52" s="158">
        <v>199.0</v>
      </c>
      <c r="H52" s="48">
        <v>0.0</v>
      </c>
      <c r="I52" s="70"/>
      <c r="J52" s="70">
        <f>SUM(G52:H52)</f>
        <v>199</v>
      </c>
      <c r="K52" s="72">
        <v>159.0</v>
      </c>
      <c r="L52" s="158">
        <v>192.0</v>
      </c>
      <c r="M52" s="48">
        <v>0.0</v>
      </c>
      <c r="N52" s="70">
        <f>SUM(L52:M52)</f>
        <v>192</v>
      </c>
      <c r="O52" s="72">
        <v>128.0</v>
      </c>
      <c r="P52" s="120"/>
      <c r="Q52" s="83" t="str">
        <f t="shared" ref="Q52:Q58" si="76">B52</f>
        <v/>
      </c>
      <c r="R52" s="84">
        <f t="shared" ref="R52:S52" si="73">L52+G52+C52</f>
        <v>518</v>
      </c>
      <c r="S52" s="84">
        <f t="shared" si="73"/>
        <v>0</v>
      </c>
      <c r="T52" s="70">
        <f>sum(Q52:S52)</f>
        <v>518</v>
      </c>
      <c r="U52" s="86">
        <f>O52+K52+F52</f>
        <v>457</v>
      </c>
      <c r="X52" s="119">
        <v>46006.0</v>
      </c>
      <c r="Y52" s="99" t="s">
        <v>46</v>
      </c>
    </row>
    <row r="53">
      <c r="A53" s="161" t="s">
        <v>44</v>
      </c>
      <c r="B53" s="194"/>
      <c r="C53" s="95">
        <f t="shared" ref="C53:H53" si="74">sum(C52)</f>
        <v>127</v>
      </c>
      <c r="D53" s="95">
        <f t="shared" si="74"/>
        <v>0</v>
      </c>
      <c r="E53" s="95">
        <f t="shared" si="74"/>
        <v>127</v>
      </c>
      <c r="F53" s="95">
        <f t="shared" si="74"/>
        <v>170</v>
      </c>
      <c r="G53" s="95">
        <f t="shared" si="74"/>
        <v>199</v>
      </c>
      <c r="H53" s="95">
        <f t="shared" si="74"/>
        <v>0</v>
      </c>
      <c r="I53" s="95"/>
      <c r="J53" s="95">
        <f t="shared" ref="J53:O53" si="75">sum(J52)</f>
        <v>199</v>
      </c>
      <c r="K53" s="95">
        <f t="shared" si="75"/>
        <v>159</v>
      </c>
      <c r="L53" s="95">
        <f t="shared" si="75"/>
        <v>192</v>
      </c>
      <c r="M53" s="95">
        <f t="shared" si="75"/>
        <v>0</v>
      </c>
      <c r="N53" s="95">
        <f t="shared" si="75"/>
        <v>192</v>
      </c>
      <c r="O53" s="95">
        <f t="shared" si="75"/>
        <v>128</v>
      </c>
      <c r="P53" s="120"/>
      <c r="Q53" s="83" t="str">
        <f t="shared" si="76"/>
        <v/>
      </c>
      <c r="R53" s="95">
        <f t="shared" ref="R53:U53" si="77">sum(R52)</f>
        <v>518</v>
      </c>
      <c r="S53" s="95">
        <f t="shared" si="77"/>
        <v>0</v>
      </c>
      <c r="T53" s="95">
        <f t="shared" si="77"/>
        <v>518</v>
      </c>
      <c r="U53" s="115">
        <f t="shared" si="77"/>
        <v>457</v>
      </c>
      <c r="Y53" s="36"/>
    </row>
    <row r="54">
      <c r="A54" s="156" t="s">
        <v>51</v>
      </c>
      <c r="B54" s="194"/>
      <c r="C54" s="48">
        <v>14.0</v>
      </c>
      <c r="D54" s="84">
        <v>0.0</v>
      </c>
      <c r="E54" s="70">
        <f>SUM(C54:D54)</f>
        <v>14</v>
      </c>
      <c r="F54" s="72">
        <v>32.0</v>
      </c>
      <c r="G54" s="158">
        <v>6.0</v>
      </c>
      <c r="H54" s="84">
        <v>0.0</v>
      </c>
      <c r="I54" s="70"/>
      <c r="J54" s="70">
        <f>SUM(G54:H54)</f>
        <v>6</v>
      </c>
      <c r="K54" s="72">
        <v>25.0</v>
      </c>
      <c r="L54" s="158">
        <v>24.0</v>
      </c>
      <c r="M54" s="84">
        <v>0.0</v>
      </c>
      <c r="N54" s="70">
        <v>10.0</v>
      </c>
      <c r="O54" s="72">
        <v>40.0</v>
      </c>
      <c r="P54" s="120"/>
      <c r="Q54" s="83" t="str">
        <f t="shared" si="76"/>
        <v/>
      </c>
      <c r="R54" s="84">
        <f>L54+G54+P58+C54</f>
        <v>44</v>
      </c>
      <c r="S54" s="84">
        <f>M54+H54+D54</f>
        <v>0</v>
      </c>
      <c r="T54" s="70">
        <f>sum(Q54:S54)</f>
        <v>44</v>
      </c>
      <c r="U54" s="86">
        <f>O54+K54+F54</f>
        <v>97</v>
      </c>
      <c r="X54" s="119">
        <v>46022.0</v>
      </c>
      <c r="Y54" s="99" t="s">
        <v>56</v>
      </c>
    </row>
    <row r="55">
      <c r="A55" s="161" t="s">
        <v>54</v>
      </c>
      <c r="B55" s="194"/>
      <c r="C55" s="95">
        <f t="shared" ref="C55:H55" si="78">sum(C54)</f>
        <v>14</v>
      </c>
      <c r="D55" s="95">
        <f t="shared" si="78"/>
        <v>0</v>
      </c>
      <c r="E55" s="95">
        <f t="shared" si="78"/>
        <v>14</v>
      </c>
      <c r="F55" s="95">
        <f t="shared" si="78"/>
        <v>32</v>
      </c>
      <c r="G55" s="95">
        <f t="shared" si="78"/>
        <v>6</v>
      </c>
      <c r="H55" s="95">
        <f t="shared" si="78"/>
        <v>0</v>
      </c>
      <c r="I55" s="95"/>
      <c r="J55" s="95">
        <f t="shared" ref="J55:O55" si="79">sum(J54)</f>
        <v>6</v>
      </c>
      <c r="K55" s="95">
        <f t="shared" si="79"/>
        <v>25</v>
      </c>
      <c r="L55" s="95">
        <f t="shared" si="79"/>
        <v>24</v>
      </c>
      <c r="M55" s="95">
        <f t="shared" si="79"/>
        <v>0</v>
      </c>
      <c r="N55" s="95">
        <f t="shared" si="79"/>
        <v>10</v>
      </c>
      <c r="O55" s="95">
        <f t="shared" si="79"/>
        <v>40</v>
      </c>
      <c r="P55" s="120"/>
      <c r="Q55" s="83" t="str">
        <f t="shared" si="76"/>
        <v/>
      </c>
      <c r="R55" s="95">
        <f t="shared" ref="R55:U55" si="80">sum(R54)</f>
        <v>44</v>
      </c>
      <c r="S55" s="95">
        <f t="shared" si="80"/>
        <v>0</v>
      </c>
      <c r="T55" s="95">
        <f t="shared" si="80"/>
        <v>44</v>
      </c>
      <c r="U55" s="115">
        <f t="shared" si="80"/>
        <v>97</v>
      </c>
      <c r="Y55" s="36"/>
    </row>
    <row r="56">
      <c r="A56" s="156" t="s">
        <v>55</v>
      </c>
      <c r="B56" s="194"/>
      <c r="C56" s="48">
        <v>144.0</v>
      </c>
      <c r="D56" s="84">
        <v>0.0</v>
      </c>
      <c r="E56" s="70">
        <f>SUM(C56:D56)</f>
        <v>144</v>
      </c>
      <c r="F56" s="72">
        <v>49.0</v>
      </c>
      <c r="G56" s="158">
        <v>61.0</v>
      </c>
      <c r="H56" s="84">
        <v>0.0</v>
      </c>
      <c r="I56" s="70"/>
      <c r="J56" s="70">
        <f>SUM(G56:H56)</f>
        <v>61</v>
      </c>
      <c r="K56" s="72">
        <v>40.0</v>
      </c>
      <c r="L56" s="158">
        <v>49.0</v>
      </c>
      <c r="M56" s="84">
        <v>0.0</v>
      </c>
      <c r="N56" s="70">
        <f>SUM(L56:M56)</f>
        <v>49</v>
      </c>
      <c r="O56" s="72">
        <v>32.0</v>
      </c>
      <c r="P56" s="120"/>
      <c r="Q56" s="83" t="str">
        <f t="shared" si="76"/>
        <v/>
      </c>
      <c r="R56" s="84">
        <f t="shared" ref="R56:S56" si="81">L56+G56+C56</f>
        <v>254</v>
      </c>
      <c r="S56" s="84">
        <f t="shared" si="81"/>
        <v>0</v>
      </c>
      <c r="T56" s="70">
        <f>sum(Q56:S56)</f>
        <v>254</v>
      </c>
      <c r="U56" s="86">
        <f>O56+K56+F56</f>
        <v>121</v>
      </c>
      <c r="Y56" s="36"/>
    </row>
    <row r="57">
      <c r="A57" s="161"/>
      <c r="B57" s="194"/>
      <c r="C57" s="95">
        <f t="shared" ref="C57:H57" si="82">sum(C56)</f>
        <v>144</v>
      </c>
      <c r="D57" s="95">
        <f t="shared" si="82"/>
        <v>0</v>
      </c>
      <c r="E57" s="95">
        <f t="shared" si="82"/>
        <v>144</v>
      </c>
      <c r="F57" s="95">
        <f t="shared" si="82"/>
        <v>49</v>
      </c>
      <c r="G57" s="95">
        <f t="shared" si="82"/>
        <v>61</v>
      </c>
      <c r="H57" s="95">
        <f t="shared" si="82"/>
        <v>0</v>
      </c>
      <c r="I57" s="95"/>
      <c r="J57" s="95">
        <f t="shared" ref="J57:O57" si="83">sum(J56)</f>
        <v>61</v>
      </c>
      <c r="K57" s="95">
        <f t="shared" si="83"/>
        <v>40</v>
      </c>
      <c r="L57" s="95">
        <f t="shared" si="83"/>
        <v>49</v>
      </c>
      <c r="M57" s="95">
        <f t="shared" si="83"/>
        <v>0</v>
      </c>
      <c r="N57" s="95">
        <f t="shared" si="83"/>
        <v>49</v>
      </c>
      <c r="O57" s="95">
        <f t="shared" si="83"/>
        <v>32</v>
      </c>
      <c r="P57" s="120"/>
      <c r="Q57" s="83" t="str">
        <f t="shared" si="76"/>
        <v/>
      </c>
      <c r="R57" s="95">
        <f t="shared" ref="R57:U57" si="84">sum(R56)</f>
        <v>254</v>
      </c>
      <c r="S57" s="95">
        <f t="shared" si="84"/>
        <v>0</v>
      </c>
      <c r="T57" s="95">
        <f t="shared" si="84"/>
        <v>254</v>
      </c>
      <c r="U57" s="115">
        <f t="shared" si="84"/>
        <v>121</v>
      </c>
      <c r="X57" s="119">
        <v>46022.0</v>
      </c>
      <c r="Y57" s="99" t="s">
        <v>81</v>
      </c>
    </row>
    <row r="58">
      <c r="A58" s="161"/>
      <c r="B58" s="194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83" t="str">
        <f t="shared" si="76"/>
        <v/>
      </c>
      <c r="R58" s="120"/>
      <c r="S58" s="120"/>
      <c r="T58" s="120"/>
      <c r="U58" s="137"/>
    </row>
    <row r="59">
      <c r="A59" s="39"/>
      <c r="B59" s="36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37"/>
    </row>
    <row r="60">
      <c r="A60" s="165" t="s">
        <v>13</v>
      </c>
      <c r="B60" s="212"/>
      <c r="C60" s="123">
        <f t="shared" ref="C60:H60" si="85">C57+C55+C53</f>
        <v>285</v>
      </c>
      <c r="D60" s="123">
        <f t="shared" si="85"/>
        <v>0</v>
      </c>
      <c r="E60" s="123">
        <f t="shared" si="85"/>
        <v>285</v>
      </c>
      <c r="F60" s="123">
        <f t="shared" si="85"/>
        <v>251</v>
      </c>
      <c r="G60" s="123">
        <f t="shared" si="85"/>
        <v>266</v>
      </c>
      <c r="H60" s="123">
        <f t="shared" si="85"/>
        <v>0</v>
      </c>
      <c r="I60" s="123"/>
      <c r="J60" s="123">
        <f t="shared" ref="J60:O60" si="86">J57+J55+J53</f>
        <v>266</v>
      </c>
      <c r="K60" s="123">
        <f t="shared" si="86"/>
        <v>224</v>
      </c>
      <c r="L60" s="123">
        <f t="shared" si="86"/>
        <v>265</v>
      </c>
      <c r="M60" s="123">
        <f t="shared" si="86"/>
        <v>0</v>
      </c>
      <c r="N60" s="123">
        <f t="shared" si="86"/>
        <v>251</v>
      </c>
      <c r="O60" s="123">
        <f t="shared" si="86"/>
        <v>200</v>
      </c>
      <c r="P60" s="166"/>
      <c r="Q60" s="166"/>
      <c r="R60" s="123">
        <f t="shared" ref="R60:U60" si="87">R57+R55+R53</f>
        <v>816</v>
      </c>
      <c r="S60" s="123">
        <f t="shared" si="87"/>
        <v>0</v>
      </c>
      <c r="T60" s="123">
        <f t="shared" si="87"/>
        <v>816</v>
      </c>
      <c r="U60" s="125">
        <f t="shared" si="87"/>
        <v>675</v>
      </c>
    </row>
    <row r="62">
      <c r="A62" s="198" t="s">
        <v>71</v>
      </c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70"/>
      <c r="P62" s="18" t="s">
        <v>2</v>
      </c>
      <c r="Q62" s="160" t="s">
        <v>3</v>
      </c>
      <c r="R62" s="18"/>
      <c r="S62" s="160"/>
    </row>
    <row r="63">
      <c r="A63" s="22"/>
      <c r="B63" s="194" t="str">
        <f>C50</f>
        <v>OCT</v>
      </c>
      <c r="E63" s="194"/>
      <c r="F63" s="178" t="str">
        <f>G50</f>
        <v>NOV</v>
      </c>
      <c r="I63" s="178"/>
      <c r="J63" s="178" t="str">
        <f>L50</f>
        <v>DEC</v>
      </c>
      <c r="M63" s="178"/>
      <c r="N63" s="178" t="s">
        <v>13</v>
      </c>
      <c r="O63" s="199"/>
      <c r="P63" s="36"/>
      <c r="Q63" s="36"/>
    </row>
    <row r="64">
      <c r="A64" s="47"/>
      <c r="B64" s="179" t="s">
        <v>12</v>
      </c>
      <c r="C64" s="179" t="s">
        <v>24</v>
      </c>
      <c r="D64" s="179" t="s">
        <v>27</v>
      </c>
      <c r="E64" s="179"/>
      <c r="F64" s="179" t="s">
        <v>24</v>
      </c>
      <c r="G64" s="179" t="s">
        <v>27</v>
      </c>
      <c r="H64" s="179"/>
      <c r="I64" s="179"/>
      <c r="J64" s="179" t="s">
        <v>24</v>
      </c>
      <c r="K64" s="179" t="s">
        <v>27</v>
      </c>
      <c r="L64" s="179"/>
      <c r="M64" s="179" t="s">
        <v>12</v>
      </c>
      <c r="N64" s="179" t="s">
        <v>24</v>
      </c>
      <c r="O64" s="181" t="s">
        <v>27</v>
      </c>
      <c r="Q64" s="36"/>
    </row>
    <row r="65">
      <c r="A65" s="62" t="s">
        <v>36</v>
      </c>
      <c r="B65" s="195"/>
      <c r="C65" s="48">
        <v>69.0</v>
      </c>
      <c r="D65" s="72">
        <v>48.0</v>
      </c>
      <c r="E65" s="76">
        <f t="shared" ref="E65:E78" si="89">C65/D65</f>
        <v>1.4375</v>
      </c>
      <c r="F65" s="48">
        <v>49.0</v>
      </c>
      <c r="G65" s="72">
        <v>45.0</v>
      </c>
      <c r="H65" s="76">
        <f t="shared" ref="H65:H78" si="90">F65/G65</f>
        <v>1.088888889</v>
      </c>
      <c r="I65" s="48"/>
      <c r="J65" s="48">
        <v>23.0</v>
      </c>
      <c r="K65" s="72">
        <v>32.0</v>
      </c>
      <c r="L65" s="76">
        <f t="shared" ref="L65:L78" si="91">J65/K65</f>
        <v>0.71875</v>
      </c>
      <c r="M65" s="83" t="str">
        <f t="shared" ref="M65:M68" si="92">B65</f>
        <v/>
      </c>
      <c r="N65" s="84">
        <f t="shared" ref="N65:O65" si="88">J65+F65+C65</f>
        <v>141</v>
      </c>
      <c r="O65" s="86">
        <f t="shared" si="88"/>
        <v>125</v>
      </c>
      <c r="P65" s="213"/>
      <c r="Q65" s="99" t="s">
        <v>46</v>
      </c>
    </row>
    <row r="66">
      <c r="A66" s="62" t="s">
        <v>40</v>
      </c>
      <c r="B66" s="195"/>
      <c r="C66" s="48">
        <v>47.0</v>
      </c>
      <c r="D66" s="72">
        <v>47.0</v>
      </c>
      <c r="E66" s="76">
        <f t="shared" si="89"/>
        <v>1</v>
      </c>
      <c r="F66" s="48">
        <v>36.0</v>
      </c>
      <c r="G66" s="72">
        <v>43.0</v>
      </c>
      <c r="H66" s="76">
        <f t="shared" si="90"/>
        <v>0.8372093023</v>
      </c>
      <c r="I66" s="48"/>
      <c r="J66" s="48">
        <v>29.0</v>
      </c>
      <c r="K66" s="72">
        <v>31.0</v>
      </c>
      <c r="L66" s="76">
        <f t="shared" si="91"/>
        <v>0.935483871</v>
      </c>
      <c r="M66" s="83" t="str">
        <f t="shared" si="92"/>
        <v/>
      </c>
      <c r="N66" s="84">
        <f t="shared" ref="N66:O66" si="93">J66+F66+C66</f>
        <v>112</v>
      </c>
      <c r="O66" s="86">
        <f t="shared" si="93"/>
        <v>121</v>
      </c>
      <c r="P66" s="213"/>
      <c r="Q66" s="99" t="s">
        <v>46</v>
      </c>
    </row>
    <row r="67">
      <c r="A67" s="62" t="s">
        <v>41</v>
      </c>
      <c r="B67" s="195"/>
      <c r="C67" s="48">
        <v>46.0</v>
      </c>
      <c r="D67" s="72">
        <v>59.0</v>
      </c>
      <c r="E67" s="76">
        <f t="shared" si="89"/>
        <v>0.7796610169</v>
      </c>
      <c r="F67" s="48">
        <v>40.0</v>
      </c>
      <c r="G67" s="72">
        <v>54.0</v>
      </c>
      <c r="H67" s="76">
        <f t="shared" si="90"/>
        <v>0.7407407407</v>
      </c>
      <c r="I67" s="48"/>
      <c r="J67" s="48">
        <v>23.0</v>
      </c>
      <c r="K67" s="72">
        <v>39.0</v>
      </c>
      <c r="L67" s="76">
        <f t="shared" si="91"/>
        <v>0.5897435897</v>
      </c>
      <c r="M67" s="83" t="str">
        <f t="shared" si="92"/>
        <v/>
      </c>
      <c r="N67" s="84">
        <f t="shared" ref="N67:O67" si="94">J67+F67+C67</f>
        <v>109</v>
      </c>
      <c r="O67" s="86">
        <f t="shared" si="94"/>
        <v>152</v>
      </c>
      <c r="P67" s="119">
        <v>46024.0</v>
      </c>
      <c r="Q67" s="99" t="s">
        <v>46</v>
      </c>
    </row>
    <row r="68">
      <c r="A68" s="62" t="s">
        <v>49</v>
      </c>
      <c r="B68" s="195"/>
      <c r="C68" s="87">
        <v>64.0</v>
      </c>
      <c r="D68" s="72">
        <v>62.0</v>
      </c>
      <c r="E68" s="76">
        <f t="shared" si="89"/>
        <v>1.032258065</v>
      </c>
      <c r="F68" s="48">
        <v>50.0</v>
      </c>
      <c r="G68" s="72">
        <v>57.0</v>
      </c>
      <c r="H68" s="76">
        <f t="shared" si="90"/>
        <v>0.8771929825</v>
      </c>
      <c r="I68" s="48"/>
      <c r="J68" s="48">
        <v>32.0</v>
      </c>
      <c r="K68" s="72">
        <v>40.0</v>
      </c>
      <c r="L68" s="76">
        <f t="shared" si="91"/>
        <v>0.8</v>
      </c>
      <c r="M68" s="83" t="str">
        <f t="shared" si="92"/>
        <v/>
      </c>
      <c r="N68" s="84">
        <f t="shared" ref="N68:O68" si="95">J68+F68+C68</f>
        <v>146</v>
      </c>
      <c r="O68" s="86">
        <f t="shared" si="95"/>
        <v>159</v>
      </c>
      <c r="P68" s="213">
        <v>46024.0</v>
      </c>
      <c r="Q68" s="99" t="s">
        <v>46</v>
      </c>
    </row>
    <row r="69">
      <c r="A69" s="112" t="s">
        <v>44</v>
      </c>
      <c r="B69" s="95">
        <f t="shared" ref="B69:D69" si="96">sum(B65:B68)</f>
        <v>0</v>
      </c>
      <c r="C69" s="95">
        <f t="shared" si="96"/>
        <v>226</v>
      </c>
      <c r="D69" s="95">
        <f t="shared" si="96"/>
        <v>216</v>
      </c>
      <c r="E69" s="76">
        <f t="shared" si="89"/>
        <v>1.046296296</v>
      </c>
      <c r="F69" s="95">
        <f t="shared" ref="F69:G69" si="97">sum(F65:F68)</f>
        <v>175</v>
      </c>
      <c r="G69" s="95">
        <f t="shared" si="97"/>
        <v>199</v>
      </c>
      <c r="H69" s="76">
        <f t="shared" si="90"/>
        <v>0.8793969849</v>
      </c>
      <c r="I69" s="184"/>
      <c r="J69" s="95">
        <f t="shared" ref="J69:K69" si="98">sum(J65:J68)</f>
        <v>107</v>
      </c>
      <c r="K69" s="95">
        <f t="shared" si="98"/>
        <v>142</v>
      </c>
      <c r="L69" s="76">
        <f t="shared" si="91"/>
        <v>0.7535211268</v>
      </c>
      <c r="M69" s="95">
        <f t="shared" ref="M69:O69" si="99">sum(M65:M68)</f>
        <v>0</v>
      </c>
      <c r="N69" s="95">
        <f t="shared" si="99"/>
        <v>508</v>
      </c>
      <c r="O69" s="115">
        <f t="shared" si="99"/>
        <v>557</v>
      </c>
      <c r="Q69" s="36"/>
    </row>
    <row r="70">
      <c r="A70" s="62" t="s">
        <v>52</v>
      </c>
      <c r="B70" s="195"/>
      <c r="C70" s="84">
        <v>43.0</v>
      </c>
      <c r="D70" s="72">
        <v>44.0</v>
      </c>
      <c r="E70" s="76">
        <f t="shared" si="89"/>
        <v>0.9772727273</v>
      </c>
      <c r="F70" s="48">
        <v>42.0</v>
      </c>
      <c r="G70" s="72">
        <v>41.0</v>
      </c>
      <c r="H70" s="76">
        <f t="shared" si="90"/>
        <v>1.024390244</v>
      </c>
      <c r="I70" s="48"/>
      <c r="J70" s="48">
        <v>28.0</v>
      </c>
      <c r="K70" s="72">
        <v>28.0</v>
      </c>
      <c r="L70" s="76">
        <f t="shared" si="91"/>
        <v>1</v>
      </c>
      <c r="M70" s="83" t="str">
        <f t="shared" ref="M70:M73" si="101">B70</f>
        <v/>
      </c>
      <c r="N70" s="84">
        <f t="shared" ref="N70:O70" si="100">J70+F70+C70</f>
        <v>113</v>
      </c>
      <c r="O70" s="86">
        <f t="shared" si="100"/>
        <v>113</v>
      </c>
      <c r="P70" s="119">
        <v>46020.0</v>
      </c>
      <c r="Q70" s="99" t="s">
        <v>56</v>
      </c>
    </row>
    <row r="71">
      <c r="A71" s="62" t="s">
        <v>51</v>
      </c>
      <c r="B71" s="195"/>
      <c r="C71" s="84">
        <v>36.0</v>
      </c>
      <c r="D71" s="72">
        <v>51.0</v>
      </c>
      <c r="E71" s="76">
        <f t="shared" si="89"/>
        <v>0.7058823529</v>
      </c>
      <c r="F71" s="48">
        <v>27.0</v>
      </c>
      <c r="G71" s="72">
        <v>47.0</v>
      </c>
      <c r="H71" s="76">
        <f t="shared" si="90"/>
        <v>0.5744680851</v>
      </c>
      <c r="I71" s="48"/>
      <c r="J71" s="48">
        <v>31.0</v>
      </c>
      <c r="K71" s="72">
        <v>33.0</v>
      </c>
      <c r="L71" s="76">
        <f t="shared" si="91"/>
        <v>0.9393939394</v>
      </c>
      <c r="M71" s="83" t="str">
        <f t="shared" si="101"/>
        <v/>
      </c>
      <c r="N71" s="84">
        <f t="shared" ref="N71:O71" si="102">J71+F71+C71</f>
        <v>94</v>
      </c>
      <c r="O71" s="86">
        <f t="shared" si="102"/>
        <v>131</v>
      </c>
      <c r="P71" s="119">
        <v>46020.0</v>
      </c>
      <c r="Q71" s="99" t="s">
        <v>56</v>
      </c>
    </row>
    <row r="72">
      <c r="A72" s="62" t="s">
        <v>47</v>
      </c>
      <c r="B72" s="195"/>
      <c r="C72" s="84">
        <v>44.0</v>
      </c>
      <c r="D72" s="72">
        <v>41.0</v>
      </c>
      <c r="E72" s="76">
        <f t="shared" si="89"/>
        <v>1.073170732</v>
      </c>
      <c r="F72" s="48">
        <v>27.0</v>
      </c>
      <c r="G72" s="72">
        <v>38.0</v>
      </c>
      <c r="H72" s="76">
        <f t="shared" si="90"/>
        <v>0.7105263158</v>
      </c>
      <c r="I72" s="48"/>
      <c r="J72" s="48">
        <v>28.0</v>
      </c>
      <c r="K72" s="72">
        <v>25.0</v>
      </c>
      <c r="L72" s="76">
        <f t="shared" si="91"/>
        <v>1.12</v>
      </c>
      <c r="M72" s="83" t="str">
        <f t="shared" si="101"/>
        <v/>
      </c>
      <c r="N72" s="84">
        <f t="shared" ref="N72:O72" si="103">J72+F72+C72</f>
        <v>99</v>
      </c>
      <c r="O72" s="86">
        <f t="shared" si="103"/>
        <v>104</v>
      </c>
      <c r="P72" s="119">
        <v>46020.0</v>
      </c>
      <c r="Q72" s="99" t="s">
        <v>56</v>
      </c>
    </row>
    <row r="73">
      <c r="A73" s="62" t="s">
        <v>53</v>
      </c>
      <c r="B73" s="195"/>
      <c r="C73" s="84">
        <v>88.0</v>
      </c>
      <c r="D73" s="72">
        <v>94.0</v>
      </c>
      <c r="E73" s="76">
        <f t="shared" si="89"/>
        <v>0.9361702128</v>
      </c>
      <c r="F73" s="48">
        <v>63.0</v>
      </c>
      <c r="G73" s="72">
        <v>86.0</v>
      </c>
      <c r="H73" s="76">
        <f t="shared" si="90"/>
        <v>0.7325581395</v>
      </c>
      <c r="I73" s="48"/>
      <c r="J73" s="48">
        <v>54.0</v>
      </c>
      <c r="K73" s="72">
        <v>60.0</v>
      </c>
      <c r="L73" s="76">
        <f t="shared" si="91"/>
        <v>0.9</v>
      </c>
      <c r="M73" s="83" t="str">
        <f t="shared" si="101"/>
        <v/>
      </c>
      <c r="N73" s="84">
        <f t="shared" ref="N73:O73" si="104">J73+F73+C73</f>
        <v>205</v>
      </c>
      <c r="O73" s="86">
        <f t="shared" si="104"/>
        <v>240</v>
      </c>
      <c r="P73" s="119">
        <v>46020.0</v>
      </c>
      <c r="Q73" s="99" t="s">
        <v>56</v>
      </c>
    </row>
    <row r="74">
      <c r="A74" s="112" t="s">
        <v>54</v>
      </c>
      <c r="B74" s="95">
        <f t="shared" ref="B74:D74" si="105">sum(B70:B73)</f>
        <v>0</v>
      </c>
      <c r="C74" s="95">
        <f t="shared" si="105"/>
        <v>211</v>
      </c>
      <c r="D74" s="95">
        <f t="shared" si="105"/>
        <v>230</v>
      </c>
      <c r="E74" s="76">
        <f t="shared" si="89"/>
        <v>0.9173913043</v>
      </c>
      <c r="F74" s="95">
        <f t="shared" ref="F74:G74" si="106">sum(F70:F73)</f>
        <v>159</v>
      </c>
      <c r="G74" s="95">
        <f t="shared" si="106"/>
        <v>212</v>
      </c>
      <c r="H74" s="76">
        <f t="shared" si="90"/>
        <v>0.75</v>
      </c>
      <c r="I74" s="184"/>
      <c r="J74" s="95">
        <f t="shared" ref="J74:K74" si="107">sum(J70:J73)</f>
        <v>141</v>
      </c>
      <c r="K74" s="95">
        <f t="shared" si="107"/>
        <v>146</v>
      </c>
      <c r="L74" s="76">
        <f t="shared" si="91"/>
        <v>0.9657534247</v>
      </c>
      <c r="M74" s="95">
        <f t="shared" ref="M74:O74" si="108">sum(M70:M73)</f>
        <v>0</v>
      </c>
      <c r="N74" s="95">
        <f t="shared" si="108"/>
        <v>511</v>
      </c>
      <c r="O74" s="115">
        <f t="shared" si="108"/>
        <v>588</v>
      </c>
      <c r="Q74" s="36"/>
    </row>
    <row r="75">
      <c r="A75" s="62" t="s">
        <v>55</v>
      </c>
      <c r="B75" s="195"/>
      <c r="C75" s="84">
        <v>33.0</v>
      </c>
      <c r="D75" s="72">
        <v>38.0</v>
      </c>
      <c r="E75" s="76">
        <f t="shared" si="89"/>
        <v>0.8684210526</v>
      </c>
      <c r="F75" s="48">
        <v>25.0</v>
      </c>
      <c r="G75" s="72">
        <v>35.0</v>
      </c>
      <c r="H75" s="76">
        <f t="shared" si="90"/>
        <v>0.7142857143</v>
      </c>
      <c r="I75" s="48"/>
      <c r="J75" s="48">
        <v>23.0</v>
      </c>
      <c r="K75" s="72">
        <v>25.0</v>
      </c>
      <c r="L75" s="76">
        <f t="shared" si="91"/>
        <v>0.92</v>
      </c>
      <c r="M75" s="83" t="str">
        <f t="shared" ref="M75:M77" si="110">B75</f>
        <v/>
      </c>
      <c r="N75" s="84">
        <f t="shared" ref="N75:O75" si="109">J75+F75+C75</f>
        <v>81</v>
      </c>
      <c r="O75" s="86">
        <f t="shared" si="109"/>
        <v>98</v>
      </c>
      <c r="P75" s="119">
        <v>46020.0</v>
      </c>
      <c r="Q75" s="99" t="s">
        <v>81</v>
      </c>
    </row>
    <row r="76">
      <c r="A76" s="62" t="s">
        <v>57</v>
      </c>
      <c r="B76" s="195"/>
      <c r="C76" s="84">
        <v>39.0</v>
      </c>
      <c r="D76" s="72">
        <v>51.0</v>
      </c>
      <c r="E76" s="76">
        <f t="shared" si="89"/>
        <v>0.7647058824</v>
      </c>
      <c r="F76" s="48">
        <v>27.0</v>
      </c>
      <c r="G76" s="72">
        <v>47.0</v>
      </c>
      <c r="H76" s="76">
        <f t="shared" si="90"/>
        <v>0.5744680851</v>
      </c>
      <c r="I76" s="48"/>
      <c r="J76" s="48">
        <v>23.0</v>
      </c>
      <c r="K76" s="72">
        <v>33.0</v>
      </c>
      <c r="L76" s="76">
        <f t="shared" si="91"/>
        <v>0.696969697</v>
      </c>
      <c r="M76" s="83" t="str">
        <f t="shared" si="110"/>
        <v/>
      </c>
      <c r="N76" s="84">
        <f t="shared" ref="N76:O76" si="111">J76+F76+C76</f>
        <v>89</v>
      </c>
      <c r="O76" s="86">
        <f t="shared" si="111"/>
        <v>131</v>
      </c>
      <c r="P76" s="119">
        <v>46020.0</v>
      </c>
      <c r="Q76" s="99" t="s">
        <v>81</v>
      </c>
    </row>
    <row r="77">
      <c r="A77" s="62" t="s">
        <v>58</v>
      </c>
      <c r="B77" s="195"/>
      <c r="C77" s="84">
        <v>24.0</v>
      </c>
      <c r="D77" s="72">
        <v>23.0</v>
      </c>
      <c r="E77" s="76">
        <f t="shared" si="89"/>
        <v>1.043478261</v>
      </c>
      <c r="F77" s="48">
        <v>11.0</v>
      </c>
      <c r="G77" s="72">
        <v>21.0</v>
      </c>
      <c r="H77" s="76">
        <f t="shared" si="90"/>
        <v>0.5238095238</v>
      </c>
      <c r="I77" s="48"/>
      <c r="J77" s="48">
        <v>7.0</v>
      </c>
      <c r="K77" s="72">
        <v>15.0</v>
      </c>
      <c r="L77" s="76">
        <f t="shared" si="91"/>
        <v>0.4666666667</v>
      </c>
      <c r="M77" s="83" t="str">
        <f t="shared" si="110"/>
        <v/>
      </c>
      <c r="N77" s="84">
        <f t="shared" ref="N77:O77" si="112">J77+F77+C77</f>
        <v>42</v>
      </c>
      <c r="O77" s="86">
        <f t="shared" si="112"/>
        <v>59</v>
      </c>
      <c r="P77" s="119">
        <v>46020.0</v>
      </c>
      <c r="Q77" s="99" t="s">
        <v>81</v>
      </c>
    </row>
    <row r="78">
      <c r="A78" s="112" t="s">
        <v>59</v>
      </c>
      <c r="B78" s="95">
        <f t="shared" ref="B78:D78" si="113">sum(B75:B77)</f>
        <v>0</v>
      </c>
      <c r="C78" s="95">
        <f t="shared" si="113"/>
        <v>96</v>
      </c>
      <c r="D78" s="95">
        <f t="shared" si="113"/>
        <v>112</v>
      </c>
      <c r="E78" s="76">
        <f t="shared" si="89"/>
        <v>0.8571428571</v>
      </c>
      <c r="F78" s="95">
        <f t="shared" ref="F78:G78" si="114">sum(F75:F77)</f>
        <v>63</v>
      </c>
      <c r="G78" s="95">
        <f t="shared" si="114"/>
        <v>103</v>
      </c>
      <c r="H78" s="76">
        <f t="shared" si="90"/>
        <v>0.6116504854</v>
      </c>
      <c r="I78" s="184"/>
      <c r="J78" s="95">
        <f t="shared" ref="J78:K78" si="115">sum(J75:J77)</f>
        <v>53</v>
      </c>
      <c r="K78" s="95">
        <f t="shared" si="115"/>
        <v>73</v>
      </c>
      <c r="L78" s="76">
        <f t="shared" si="91"/>
        <v>0.7260273973</v>
      </c>
      <c r="M78" s="95">
        <f t="shared" ref="M78:O78" si="116">sum(M75:M77)</f>
        <v>0</v>
      </c>
      <c r="N78" s="95">
        <f t="shared" si="116"/>
        <v>212</v>
      </c>
      <c r="O78" s="115">
        <f t="shared" si="116"/>
        <v>288</v>
      </c>
      <c r="Q78" s="36"/>
    </row>
    <row r="79">
      <c r="A79" s="112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37"/>
      <c r="Q79" s="36"/>
    </row>
    <row r="80">
      <c r="A80" s="141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37"/>
    </row>
    <row r="81">
      <c r="A81" s="143" t="s">
        <v>13</v>
      </c>
      <c r="B81" s="144">
        <f t="shared" ref="B81:D81" si="117">B78+B74+B69</f>
        <v>0</v>
      </c>
      <c r="C81" s="144">
        <f t="shared" si="117"/>
        <v>533</v>
      </c>
      <c r="D81" s="144">
        <f t="shared" si="117"/>
        <v>558</v>
      </c>
      <c r="E81" s="146">
        <f>C81/D81</f>
        <v>0.9551971326</v>
      </c>
      <c r="F81" s="144">
        <f t="shared" ref="F81:G81" si="118">F78+F74+F69</f>
        <v>397</v>
      </c>
      <c r="G81" s="144">
        <f t="shared" si="118"/>
        <v>514</v>
      </c>
      <c r="H81" s="146">
        <f>F81/G81</f>
        <v>0.7723735409</v>
      </c>
      <c r="I81" s="201"/>
      <c r="J81" s="144">
        <f t="shared" ref="J81:K81" si="119">J78+J74+J69</f>
        <v>301</v>
      </c>
      <c r="K81" s="144">
        <f t="shared" si="119"/>
        <v>361</v>
      </c>
      <c r="L81" s="146">
        <f>J81/K81</f>
        <v>0.8337950139</v>
      </c>
      <c r="M81" s="144">
        <f t="shared" ref="M81:O81" si="120">M78+M74+M69</f>
        <v>0</v>
      </c>
      <c r="N81" s="144">
        <f t="shared" si="120"/>
        <v>1231</v>
      </c>
      <c r="O81" s="150">
        <f t="shared" si="120"/>
        <v>1433</v>
      </c>
    </row>
  </sheetData>
  <mergeCells count="16">
    <mergeCell ref="A3:Y3"/>
    <mergeCell ref="C4:F4"/>
    <mergeCell ref="H4:L4"/>
    <mergeCell ref="N4:S4"/>
    <mergeCell ref="V4:Y4"/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9" width="10.38"/>
    <col customWidth="1" min="10" max="12" width="8.5"/>
    <col customWidth="1" min="13" max="13" width="9.38"/>
    <col customWidth="1" min="14" max="16" width="9.75"/>
    <col customWidth="1" min="17" max="17" width="9.25"/>
    <col customWidth="1" min="18" max="18" width="9.88"/>
    <col customWidth="1" min="19" max="19" width="9.38"/>
    <col customWidth="1" min="20" max="20" width="7.13"/>
    <col customWidth="1" min="21" max="21" width="10.13"/>
    <col customWidth="1" min="22" max="22" width="9.0"/>
    <col customWidth="1" min="23" max="23" width="11.38"/>
    <col customWidth="1" min="24" max="24" width="5.88"/>
    <col customWidth="1" min="25" max="25" width="7.13"/>
    <col customWidth="1" min="26" max="26" width="9.88"/>
    <col customWidth="1" hidden="1" min="27" max="27" width="9.88"/>
    <col customWidth="1" hidden="1" min="28" max="28" width="7.75"/>
    <col customWidth="1" min="33" max="35" width="8.75"/>
    <col customWidth="1" min="36" max="36" width="10.5"/>
    <col customWidth="1" min="37" max="51" width="8.75"/>
  </cols>
  <sheetData>
    <row r="1">
      <c r="A1" s="4" t="s">
        <v>0</v>
      </c>
      <c r="AD1" s="7"/>
    </row>
    <row r="3">
      <c r="A3" s="175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10"/>
      <c r="Y3" s="12"/>
      <c r="Z3" s="13"/>
      <c r="AA3" s="13"/>
      <c r="AB3" s="14"/>
      <c r="AC3" s="16"/>
      <c r="AD3" s="18" t="s">
        <v>2</v>
      </c>
      <c r="AE3" s="160" t="s">
        <v>3</v>
      </c>
    </row>
    <row r="4">
      <c r="A4" s="22"/>
      <c r="B4" s="194"/>
      <c r="C4" s="163" t="s">
        <v>20</v>
      </c>
      <c r="D4" s="30"/>
      <c r="E4" s="30"/>
      <c r="F4" s="30"/>
      <c r="G4" s="164"/>
      <c r="H4" s="164" t="s">
        <v>21</v>
      </c>
      <c r="I4" s="30"/>
      <c r="J4" s="30"/>
      <c r="K4" s="30"/>
      <c r="L4" s="164"/>
      <c r="M4" s="164" t="s">
        <v>96</v>
      </c>
      <c r="N4" s="30"/>
      <c r="O4" s="30"/>
      <c r="P4" s="30"/>
      <c r="Q4" s="30"/>
      <c r="R4" s="30"/>
      <c r="S4" s="36"/>
      <c r="T4" s="178"/>
      <c r="U4" s="164" t="s">
        <v>13</v>
      </c>
      <c r="V4" s="30"/>
      <c r="W4" s="30"/>
      <c r="X4" s="42"/>
      <c r="Y4" s="25"/>
      <c r="Z4" s="25"/>
      <c r="AA4" s="25"/>
      <c r="AC4" s="44"/>
      <c r="AE4" s="36"/>
    </row>
    <row r="5">
      <c r="A5" s="47"/>
      <c r="B5" s="179" t="s">
        <v>12</v>
      </c>
      <c r="C5" s="179" t="s">
        <v>24</v>
      </c>
      <c r="D5" s="179" t="s">
        <v>25</v>
      </c>
      <c r="E5" s="179" t="s">
        <v>26</v>
      </c>
      <c r="F5" s="179" t="s">
        <v>27</v>
      </c>
      <c r="G5" s="179"/>
      <c r="H5" s="179" t="s">
        <v>24</v>
      </c>
      <c r="I5" s="179" t="s">
        <v>25</v>
      </c>
      <c r="J5" s="179" t="s">
        <v>26</v>
      </c>
      <c r="K5" s="179" t="s">
        <v>27</v>
      </c>
      <c r="L5" s="179"/>
      <c r="M5" s="179" t="s">
        <v>24</v>
      </c>
      <c r="N5" s="180" t="s">
        <v>28</v>
      </c>
      <c r="O5" s="179" t="s">
        <v>82</v>
      </c>
      <c r="P5" s="179" t="s">
        <v>25</v>
      </c>
      <c r="Q5" s="179" t="s">
        <v>26</v>
      </c>
      <c r="R5" s="179" t="s">
        <v>27</v>
      </c>
      <c r="S5" s="179"/>
      <c r="T5" s="179" t="s">
        <v>12</v>
      </c>
      <c r="U5" s="179" t="s">
        <v>24</v>
      </c>
      <c r="V5" s="179" t="s">
        <v>25</v>
      </c>
      <c r="W5" s="179" t="s">
        <v>26</v>
      </c>
      <c r="X5" s="181" t="s">
        <v>27</v>
      </c>
      <c r="Y5" s="183" t="s">
        <v>31</v>
      </c>
      <c r="Z5" s="59" t="s">
        <v>33</v>
      </c>
      <c r="AA5" s="59" t="s">
        <v>34</v>
      </c>
      <c r="AB5" s="23" t="s">
        <v>14</v>
      </c>
      <c r="AC5" s="61" t="s">
        <v>35</v>
      </c>
      <c r="AE5" s="36"/>
      <c r="AF5" s="1">
        <v>45908.0</v>
      </c>
      <c r="AG5" s="23" t="s">
        <v>97</v>
      </c>
      <c r="AH5" s="27" t="s">
        <v>98</v>
      </c>
      <c r="AI5" s="27" t="s">
        <v>99</v>
      </c>
      <c r="AK5" s="27" t="s">
        <v>100</v>
      </c>
    </row>
    <row r="6">
      <c r="A6" s="62" t="s">
        <v>36</v>
      </c>
      <c r="B6" s="195"/>
      <c r="C6" s="48">
        <v>19.0</v>
      </c>
      <c r="D6" s="48">
        <v>3.0</v>
      </c>
      <c r="E6" s="70">
        <f t="shared" ref="E6:E9" si="1">SUM(C6:D6)</f>
        <v>22</v>
      </c>
      <c r="F6" s="72">
        <v>34.0</v>
      </c>
      <c r="G6" s="76">
        <f t="shared" ref="G6:G19" si="2">E6/F6</f>
        <v>0.6470588235</v>
      </c>
      <c r="H6" s="48">
        <v>16.0</v>
      </c>
      <c r="I6" s="48">
        <v>1.0</v>
      </c>
      <c r="J6" s="70">
        <f t="shared" ref="J6:J9" si="3">SUM(H6:I6)</f>
        <v>17</v>
      </c>
      <c r="K6" s="72">
        <v>10.0</v>
      </c>
      <c r="L6" s="76">
        <f t="shared" ref="L6:L19" si="4">J6/K6</f>
        <v>1.7</v>
      </c>
      <c r="M6" s="48">
        <v>77.0</v>
      </c>
      <c r="N6" s="48">
        <v>10.0</v>
      </c>
      <c r="O6" s="48">
        <v>4.0</v>
      </c>
      <c r="P6" s="48">
        <v>1.0</v>
      </c>
      <c r="Q6" s="70">
        <f t="shared" ref="Q6:Q9" si="5">SUM(M6:P6)</f>
        <v>92</v>
      </c>
      <c r="R6" s="72">
        <v>98.0</v>
      </c>
      <c r="S6" s="76">
        <f t="shared" ref="S6:S19" si="6">Q6/R6</f>
        <v>0.9387755102</v>
      </c>
      <c r="T6" s="83"/>
      <c r="U6" s="84">
        <f t="shared" ref="U6:U9" si="7">M6+H6+C6+N6+O6</f>
        <v>126</v>
      </c>
      <c r="V6" s="84">
        <f t="shared" ref="V6:V9" si="8">P6+I6+D6</f>
        <v>5</v>
      </c>
      <c r="W6" s="70">
        <f t="shared" ref="W6:W9" si="9">sum(T6:V6)</f>
        <v>131</v>
      </c>
      <c r="X6" s="86">
        <f t="shared" ref="X6:X9" si="10">R6+K6+F6</f>
        <v>142</v>
      </c>
      <c r="Y6" s="88">
        <f t="shared" ref="Y6:Y9" si="11">X6-W6</f>
        <v>11</v>
      </c>
      <c r="Z6" s="46">
        <f t="shared" ref="Z6:Z19" si="12">round(Y6/$Z$26*7,0)</f>
        <v>0</v>
      </c>
      <c r="AA6" s="46">
        <f t="shared" ref="AA6:AA9" si="13">V6+U6</f>
        <v>131</v>
      </c>
      <c r="AB6" s="84">
        <f t="shared" ref="AB6:AB9" si="14">X6</f>
        <v>142</v>
      </c>
      <c r="AC6" s="96">
        <f t="shared" ref="AC6:AC9" si="15">(U6+V6)/X6</f>
        <v>0.9225352113</v>
      </c>
      <c r="AD6" s="98">
        <v>45930.0</v>
      </c>
      <c r="AE6" s="99" t="s">
        <v>46</v>
      </c>
      <c r="AS6" s="36"/>
      <c r="AT6" s="36"/>
      <c r="AU6" s="36"/>
      <c r="AV6" s="36"/>
      <c r="AW6" s="36"/>
      <c r="AX6" s="36"/>
      <c r="AY6" s="36"/>
      <c r="AZ6" s="36"/>
      <c r="BA6" s="36"/>
    </row>
    <row r="7">
      <c r="A7" s="62" t="s">
        <v>40</v>
      </c>
      <c r="B7" s="195"/>
      <c r="C7" s="48">
        <v>20.0</v>
      </c>
      <c r="D7" s="48"/>
      <c r="E7" s="70">
        <f t="shared" si="1"/>
        <v>20</v>
      </c>
      <c r="F7" s="72">
        <v>26.0</v>
      </c>
      <c r="G7" s="76">
        <f t="shared" si="2"/>
        <v>0.7692307692</v>
      </c>
      <c r="H7" s="48">
        <v>3.0</v>
      </c>
      <c r="I7" s="48"/>
      <c r="J7" s="70">
        <f t="shared" si="3"/>
        <v>3</v>
      </c>
      <c r="K7" s="72">
        <v>10.0</v>
      </c>
      <c r="L7" s="76">
        <f t="shared" si="4"/>
        <v>0.3</v>
      </c>
      <c r="M7" s="48">
        <v>52.0</v>
      </c>
      <c r="N7" s="48">
        <v>12.0</v>
      </c>
      <c r="O7" s="48">
        <v>3.0</v>
      </c>
      <c r="P7" s="48"/>
      <c r="Q7" s="70">
        <f t="shared" si="5"/>
        <v>67</v>
      </c>
      <c r="R7" s="72">
        <v>84.0</v>
      </c>
      <c r="S7" s="76">
        <f t="shared" si="6"/>
        <v>0.7976190476</v>
      </c>
      <c r="T7" s="83"/>
      <c r="U7" s="84">
        <f t="shared" si="7"/>
        <v>90</v>
      </c>
      <c r="V7" s="84">
        <f t="shared" si="8"/>
        <v>0</v>
      </c>
      <c r="W7" s="70">
        <f t="shared" si="9"/>
        <v>90</v>
      </c>
      <c r="X7" s="86">
        <f t="shared" si="10"/>
        <v>120</v>
      </c>
      <c r="Y7" s="88">
        <f t="shared" si="11"/>
        <v>30</v>
      </c>
      <c r="Z7" s="46">
        <f t="shared" si="12"/>
        <v>-1</v>
      </c>
      <c r="AA7" s="46">
        <f t="shared" si="13"/>
        <v>90</v>
      </c>
      <c r="AB7" s="84">
        <f t="shared" si="14"/>
        <v>120</v>
      </c>
      <c r="AC7" s="96">
        <f t="shared" si="15"/>
        <v>0.75</v>
      </c>
      <c r="AD7" s="98">
        <v>45930.0</v>
      </c>
      <c r="AE7" s="99" t="s">
        <v>46</v>
      </c>
      <c r="AS7" s="36"/>
      <c r="AT7" s="36"/>
      <c r="AU7" s="36"/>
      <c r="AV7" s="36"/>
      <c r="AW7" s="36"/>
      <c r="AX7" s="36"/>
      <c r="AY7" s="36"/>
      <c r="AZ7" s="36"/>
      <c r="BA7" s="36"/>
    </row>
    <row r="8">
      <c r="A8" s="62" t="s">
        <v>41</v>
      </c>
      <c r="B8" s="195"/>
      <c r="C8" s="48">
        <v>26.0</v>
      </c>
      <c r="D8" s="214"/>
      <c r="E8" s="70">
        <f t="shared" si="1"/>
        <v>26</v>
      </c>
      <c r="F8" s="72">
        <v>36.0</v>
      </c>
      <c r="G8" s="76">
        <f t="shared" si="2"/>
        <v>0.7222222222</v>
      </c>
      <c r="H8" s="48">
        <v>4.0</v>
      </c>
      <c r="I8" s="48"/>
      <c r="J8" s="70">
        <f t="shared" si="3"/>
        <v>4</v>
      </c>
      <c r="K8" s="72">
        <v>10.0</v>
      </c>
      <c r="L8" s="76">
        <f t="shared" si="4"/>
        <v>0.4</v>
      </c>
      <c r="M8" s="48">
        <v>79.0</v>
      </c>
      <c r="N8" s="48">
        <v>11.0</v>
      </c>
      <c r="O8" s="48">
        <v>3.0</v>
      </c>
      <c r="P8" s="48"/>
      <c r="Q8" s="70">
        <f t="shared" si="5"/>
        <v>93</v>
      </c>
      <c r="R8" s="72">
        <v>104.0</v>
      </c>
      <c r="S8" s="76">
        <f t="shared" si="6"/>
        <v>0.8942307692</v>
      </c>
      <c r="T8" s="83"/>
      <c r="U8" s="84">
        <f t="shared" si="7"/>
        <v>123</v>
      </c>
      <c r="V8" s="84">
        <f t="shared" si="8"/>
        <v>0</v>
      </c>
      <c r="W8" s="70">
        <f t="shared" si="9"/>
        <v>123</v>
      </c>
      <c r="X8" s="86">
        <f t="shared" si="10"/>
        <v>150</v>
      </c>
      <c r="Y8" s="88">
        <f t="shared" si="11"/>
        <v>27</v>
      </c>
      <c r="Z8" s="46">
        <f t="shared" si="12"/>
        <v>-1</v>
      </c>
      <c r="AA8" s="46">
        <f t="shared" si="13"/>
        <v>123</v>
      </c>
      <c r="AB8" s="84">
        <f t="shared" si="14"/>
        <v>150</v>
      </c>
      <c r="AC8" s="96">
        <f t="shared" si="15"/>
        <v>0.82</v>
      </c>
      <c r="AD8" s="98">
        <v>45930.0</v>
      </c>
      <c r="AE8" s="99" t="s">
        <v>46</v>
      </c>
      <c r="AS8" s="36"/>
      <c r="AT8" s="36"/>
      <c r="AU8" s="36"/>
      <c r="AV8" s="36"/>
      <c r="AW8" s="36"/>
      <c r="AX8" s="36"/>
      <c r="AY8" s="36"/>
      <c r="AZ8" s="36"/>
      <c r="BA8" s="36"/>
    </row>
    <row r="9">
      <c r="A9" s="62" t="s">
        <v>49</v>
      </c>
      <c r="B9" s="195"/>
      <c r="C9" s="87">
        <v>42.0</v>
      </c>
      <c r="D9" s="111">
        <v>4.0</v>
      </c>
      <c r="E9" s="70">
        <f t="shared" si="1"/>
        <v>46</v>
      </c>
      <c r="F9" s="72">
        <v>40.0</v>
      </c>
      <c r="G9" s="76">
        <f t="shared" si="2"/>
        <v>1.15</v>
      </c>
      <c r="H9" s="48">
        <v>17.0</v>
      </c>
      <c r="I9" s="48">
        <v>1.0</v>
      </c>
      <c r="J9" s="70">
        <f t="shared" si="3"/>
        <v>18</v>
      </c>
      <c r="K9" s="72">
        <v>15.0</v>
      </c>
      <c r="L9" s="76">
        <f t="shared" si="4"/>
        <v>1.2</v>
      </c>
      <c r="M9" s="48">
        <v>72.0</v>
      </c>
      <c r="N9" s="48">
        <v>14.0</v>
      </c>
      <c r="O9" s="48">
        <v>3.0</v>
      </c>
      <c r="P9" s="48">
        <v>4.0</v>
      </c>
      <c r="Q9" s="70">
        <f t="shared" si="5"/>
        <v>93</v>
      </c>
      <c r="R9" s="72">
        <v>124.0</v>
      </c>
      <c r="S9" s="76">
        <f t="shared" si="6"/>
        <v>0.75</v>
      </c>
      <c r="T9" s="83"/>
      <c r="U9" s="84">
        <f t="shared" si="7"/>
        <v>148</v>
      </c>
      <c r="V9" s="84">
        <f t="shared" si="8"/>
        <v>9</v>
      </c>
      <c r="W9" s="70">
        <f t="shared" si="9"/>
        <v>157</v>
      </c>
      <c r="X9" s="86">
        <f t="shared" si="10"/>
        <v>179</v>
      </c>
      <c r="Y9" s="88">
        <f t="shared" si="11"/>
        <v>22</v>
      </c>
      <c r="Z9" s="46">
        <f t="shared" si="12"/>
        <v>0</v>
      </c>
      <c r="AA9" s="46">
        <f t="shared" si="13"/>
        <v>157</v>
      </c>
      <c r="AB9" s="84">
        <f t="shared" si="14"/>
        <v>179</v>
      </c>
      <c r="AC9" s="96">
        <f t="shared" si="15"/>
        <v>0.8770949721</v>
      </c>
      <c r="AD9" s="98">
        <v>45930.0</v>
      </c>
      <c r="AE9" s="99" t="s">
        <v>46</v>
      </c>
      <c r="AS9" s="36"/>
      <c r="AT9" s="36"/>
      <c r="AU9" s="36"/>
      <c r="AV9" s="36"/>
      <c r="AW9" s="36"/>
      <c r="AX9" s="36"/>
      <c r="AY9" s="36"/>
      <c r="AZ9" s="36"/>
      <c r="BA9" s="36"/>
    </row>
    <row r="10">
      <c r="A10" s="112" t="s">
        <v>44</v>
      </c>
      <c r="B10" s="95">
        <f t="shared" ref="B10:F10" si="16">sum(B6:B9)</f>
        <v>0</v>
      </c>
      <c r="C10" s="95">
        <f t="shared" si="16"/>
        <v>107</v>
      </c>
      <c r="D10" s="95">
        <f t="shared" si="16"/>
        <v>7</v>
      </c>
      <c r="E10" s="95">
        <f t="shared" si="16"/>
        <v>114</v>
      </c>
      <c r="F10" s="95">
        <f t="shared" si="16"/>
        <v>136</v>
      </c>
      <c r="G10" s="114">
        <f t="shared" si="2"/>
        <v>0.8382352941</v>
      </c>
      <c r="H10" s="95">
        <f t="shared" ref="H10:K10" si="17">sum(H6:H9)</f>
        <v>40</v>
      </c>
      <c r="I10" s="95">
        <f t="shared" si="17"/>
        <v>2</v>
      </c>
      <c r="J10" s="95">
        <f t="shared" si="17"/>
        <v>42</v>
      </c>
      <c r="K10" s="95">
        <f t="shared" si="17"/>
        <v>45</v>
      </c>
      <c r="L10" s="114">
        <f t="shared" si="4"/>
        <v>0.9333333333</v>
      </c>
      <c r="M10" s="95">
        <f t="shared" ref="M10:R10" si="18">sum(M6:M9)</f>
        <v>280</v>
      </c>
      <c r="N10" s="95">
        <f t="shared" si="18"/>
        <v>47</v>
      </c>
      <c r="O10" s="95">
        <f t="shared" si="18"/>
        <v>13</v>
      </c>
      <c r="P10" s="95">
        <f t="shared" si="18"/>
        <v>5</v>
      </c>
      <c r="Q10" s="95">
        <f t="shared" si="18"/>
        <v>345</v>
      </c>
      <c r="R10" s="95">
        <f t="shared" si="18"/>
        <v>410</v>
      </c>
      <c r="S10" s="114">
        <f t="shared" si="6"/>
        <v>0.8414634146</v>
      </c>
      <c r="T10" s="95">
        <f t="shared" ref="T10:Y10" si="19">sum(T6:T9)</f>
        <v>0</v>
      </c>
      <c r="U10" s="95">
        <f t="shared" si="19"/>
        <v>487</v>
      </c>
      <c r="V10" s="95">
        <f t="shared" si="19"/>
        <v>14</v>
      </c>
      <c r="W10" s="95">
        <f t="shared" si="19"/>
        <v>501</v>
      </c>
      <c r="X10" s="115">
        <f t="shared" si="19"/>
        <v>591</v>
      </c>
      <c r="Y10" s="116">
        <f t="shared" si="19"/>
        <v>90</v>
      </c>
      <c r="Z10" s="116">
        <f t="shared" si="12"/>
        <v>-2</v>
      </c>
      <c r="AA10" s="116">
        <f t="shared" ref="AA10:AB10" si="20">sum(AA6:AA9)</f>
        <v>501</v>
      </c>
      <c r="AB10" s="95">
        <f t="shared" si="20"/>
        <v>591</v>
      </c>
      <c r="AC10" s="118">
        <f>AA10/AB10</f>
        <v>0.847715736</v>
      </c>
      <c r="AE10" s="99"/>
      <c r="AF10" s="37">
        <v>400.0</v>
      </c>
      <c r="AG10" s="37">
        <f>12*4</f>
        <v>48</v>
      </c>
      <c r="AH10" s="37">
        <v>48.0</v>
      </c>
      <c r="AI10" s="131">
        <f>AF10+AG10+AH10</f>
        <v>496</v>
      </c>
      <c r="AJ10" s="215">
        <f>AI10/X10</f>
        <v>0.8392554992</v>
      </c>
      <c r="AK10" s="66">
        <f>AI10-W10</f>
        <v>-5</v>
      </c>
      <c r="AS10" s="36"/>
      <c r="AT10" s="36"/>
      <c r="AU10" s="36"/>
      <c r="AV10" s="36"/>
      <c r="AW10" s="36"/>
      <c r="AX10" s="36"/>
      <c r="AY10" s="36"/>
      <c r="AZ10" s="36"/>
      <c r="BA10" s="36"/>
    </row>
    <row r="11">
      <c r="A11" s="62" t="s">
        <v>52</v>
      </c>
      <c r="B11" s="195"/>
      <c r="C11" s="84">
        <v>19.0</v>
      </c>
      <c r="D11" s="84"/>
      <c r="E11" s="70">
        <f t="shared" ref="E11:E14" si="21">SUM(C11:D11)</f>
        <v>19</v>
      </c>
      <c r="F11" s="72">
        <v>28.0</v>
      </c>
      <c r="G11" s="76">
        <f t="shared" si="2"/>
        <v>0.6785714286</v>
      </c>
      <c r="H11" s="48">
        <v>11.0</v>
      </c>
      <c r="I11" s="48"/>
      <c r="J11" s="70">
        <f t="shared" ref="J11:J14" si="22">SUM(H11:I11)</f>
        <v>11</v>
      </c>
      <c r="K11" s="72">
        <v>9.0</v>
      </c>
      <c r="L11" s="76">
        <f t="shared" si="4"/>
        <v>1.222222222</v>
      </c>
      <c r="M11" s="48">
        <v>39.0</v>
      </c>
      <c r="N11" s="48">
        <v>9.0</v>
      </c>
      <c r="O11" s="48">
        <v>3.0</v>
      </c>
      <c r="P11" s="48"/>
      <c r="Q11" s="70">
        <f t="shared" ref="Q11:Q14" si="23">SUM(M11:P11)</f>
        <v>51</v>
      </c>
      <c r="R11" s="72">
        <v>88.0</v>
      </c>
      <c r="S11" s="76">
        <f t="shared" si="6"/>
        <v>0.5795454545</v>
      </c>
      <c r="T11" s="83"/>
      <c r="U11" s="84">
        <f t="shared" ref="U11:U14" si="24">M11+H11+C11+N11+O11</f>
        <v>81</v>
      </c>
      <c r="V11" s="84">
        <f t="shared" ref="V11:V14" si="25">P11+I11+D11</f>
        <v>0</v>
      </c>
      <c r="W11" s="70">
        <f t="shared" ref="W11:W14" si="26">sum(T11:V11)</f>
        <v>81</v>
      </c>
      <c r="X11" s="86">
        <f t="shared" ref="X11:X14" si="27">R11+K11+F11</f>
        <v>125</v>
      </c>
      <c r="Y11" s="88">
        <f t="shared" ref="Y11:Y14" si="28">X11-W11</f>
        <v>44</v>
      </c>
      <c r="Z11" s="46">
        <f t="shared" si="12"/>
        <v>-1</v>
      </c>
      <c r="AA11" s="46">
        <f t="shared" ref="AA11:AA14" si="29">V11+U11</f>
        <v>81</v>
      </c>
      <c r="AB11" s="84">
        <f t="shared" ref="AB11:AB14" si="30">X11</f>
        <v>125</v>
      </c>
      <c r="AC11" s="96">
        <f t="shared" ref="AC11:AC14" si="31">(U11+V11)/X11</f>
        <v>0.648</v>
      </c>
      <c r="AD11" s="98"/>
      <c r="AE11" s="99" t="s">
        <v>56</v>
      </c>
      <c r="AS11" s="36"/>
      <c r="AT11" s="36"/>
      <c r="AU11" s="36"/>
      <c r="AV11" s="36"/>
      <c r="AW11" s="36"/>
      <c r="AX11" s="36"/>
      <c r="AY11" s="36"/>
      <c r="AZ11" s="36"/>
      <c r="BA11" s="36"/>
    </row>
    <row r="12">
      <c r="A12" s="62" t="s">
        <v>51</v>
      </c>
      <c r="B12" s="195"/>
      <c r="C12" s="84">
        <v>15.0</v>
      </c>
      <c r="D12" s="84"/>
      <c r="E12" s="70">
        <f t="shared" si="21"/>
        <v>15</v>
      </c>
      <c r="F12" s="72">
        <v>33.0</v>
      </c>
      <c r="G12" s="76">
        <f t="shared" si="2"/>
        <v>0.4545454545</v>
      </c>
      <c r="H12" s="48">
        <v>16.0</v>
      </c>
      <c r="I12" s="48"/>
      <c r="J12" s="70">
        <f t="shared" si="22"/>
        <v>16</v>
      </c>
      <c r="K12" s="72">
        <v>10.0</v>
      </c>
      <c r="L12" s="76">
        <f t="shared" si="4"/>
        <v>1.6</v>
      </c>
      <c r="M12" s="48">
        <v>79.0</v>
      </c>
      <c r="N12" s="48">
        <v>11.0</v>
      </c>
      <c r="O12" s="48">
        <v>2.0</v>
      </c>
      <c r="P12" s="48"/>
      <c r="Q12" s="70">
        <f t="shared" si="23"/>
        <v>92</v>
      </c>
      <c r="R12" s="72">
        <v>100.0</v>
      </c>
      <c r="S12" s="76">
        <f t="shared" si="6"/>
        <v>0.92</v>
      </c>
      <c r="T12" s="83"/>
      <c r="U12" s="84">
        <f t="shared" si="24"/>
        <v>123</v>
      </c>
      <c r="V12" s="84">
        <f t="shared" si="25"/>
        <v>0</v>
      </c>
      <c r="W12" s="70">
        <f t="shared" si="26"/>
        <v>123</v>
      </c>
      <c r="X12" s="86">
        <f t="shared" si="27"/>
        <v>143</v>
      </c>
      <c r="Y12" s="88">
        <f t="shared" si="28"/>
        <v>20</v>
      </c>
      <c r="Z12" s="46">
        <f t="shared" si="12"/>
        <v>0</v>
      </c>
      <c r="AA12" s="46">
        <f t="shared" si="29"/>
        <v>123</v>
      </c>
      <c r="AB12" s="84">
        <f t="shared" si="30"/>
        <v>143</v>
      </c>
      <c r="AC12" s="96">
        <f t="shared" si="31"/>
        <v>0.8601398601</v>
      </c>
      <c r="AD12" s="98"/>
      <c r="AE12" s="99" t="s">
        <v>56</v>
      </c>
      <c r="AS12" s="36"/>
      <c r="AT12" s="36"/>
      <c r="AU12" s="36"/>
      <c r="AV12" s="36"/>
      <c r="AW12" s="36"/>
      <c r="AX12" s="36"/>
      <c r="AY12" s="36"/>
      <c r="AZ12" s="36"/>
      <c r="BA12" s="36"/>
    </row>
    <row r="13">
      <c r="A13" s="62" t="s">
        <v>47</v>
      </c>
      <c r="B13" s="195"/>
      <c r="C13" s="84">
        <v>13.0</v>
      </c>
      <c r="D13" s="84"/>
      <c r="E13" s="70">
        <f t="shared" si="21"/>
        <v>13</v>
      </c>
      <c r="F13" s="72">
        <v>32.0</v>
      </c>
      <c r="G13" s="76">
        <f t="shared" si="2"/>
        <v>0.40625</v>
      </c>
      <c r="H13" s="48">
        <v>5.0</v>
      </c>
      <c r="I13" s="48"/>
      <c r="J13" s="70">
        <f t="shared" si="22"/>
        <v>5</v>
      </c>
      <c r="K13" s="72">
        <v>12.0</v>
      </c>
      <c r="L13" s="76">
        <f t="shared" si="4"/>
        <v>0.4166666667</v>
      </c>
      <c r="M13" s="48">
        <v>81.0</v>
      </c>
      <c r="N13" s="48">
        <v>10.0</v>
      </c>
      <c r="O13" s="48">
        <v>3.0</v>
      </c>
      <c r="P13" s="48"/>
      <c r="Q13" s="70">
        <f t="shared" si="23"/>
        <v>94</v>
      </c>
      <c r="R13" s="72">
        <v>103.0</v>
      </c>
      <c r="S13" s="76">
        <f t="shared" si="6"/>
        <v>0.9126213592</v>
      </c>
      <c r="T13" s="83"/>
      <c r="U13" s="84">
        <f t="shared" si="24"/>
        <v>112</v>
      </c>
      <c r="V13" s="84">
        <f t="shared" si="25"/>
        <v>0</v>
      </c>
      <c r="W13" s="70">
        <f t="shared" si="26"/>
        <v>112</v>
      </c>
      <c r="X13" s="86">
        <f t="shared" si="27"/>
        <v>147</v>
      </c>
      <c r="Y13" s="88">
        <f t="shared" si="28"/>
        <v>35</v>
      </c>
      <c r="Z13" s="46">
        <f t="shared" si="12"/>
        <v>-1</v>
      </c>
      <c r="AA13" s="46">
        <f t="shared" si="29"/>
        <v>112</v>
      </c>
      <c r="AB13" s="84">
        <f t="shared" si="30"/>
        <v>147</v>
      </c>
      <c r="AC13" s="96">
        <f t="shared" si="31"/>
        <v>0.7619047619</v>
      </c>
      <c r="AD13" s="98"/>
      <c r="AE13" s="99" t="s">
        <v>56</v>
      </c>
      <c r="AS13" s="36"/>
      <c r="AT13" s="36"/>
      <c r="AU13" s="36"/>
      <c r="AV13" s="36"/>
      <c r="AW13" s="36"/>
      <c r="AX13" s="36"/>
      <c r="AY13" s="36"/>
      <c r="AZ13" s="36"/>
      <c r="BA13" s="36"/>
    </row>
    <row r="14">
      <c r="A14" s="62" t="s">
        <v>53</v>
      </c>
      <c r="B14" s="195"/>
      <c r="C14" s="84">
        <v>33.0</v>
      </c>
      <c r="D14" s="84"/>
      <c r="E14" s="70">
        <f t="shared" si="21"/>
        <v>33</v>
      </c>
      <c r="F14" s="72">
        <v>44.0</v>
      </c>
      <c r="G14" s="76">
        <f t="shared" si="2"/>
        <v>0.75</v>
      </c>
      <c r="H14" s="48">
        <v>6.0</v>
      </c>
      <c r="I14" s="48"/>
      <c r="J14" s="70">
        <f t="shared" si="22"/>
        <v>6</v>
      </c>
      <c r="K14" s="72">
        <v>18.0</v>
      </c>
      <c r="L14" s="76">
        <f t="shared" si="4"/>
        <v>0.3333333333</v>
      </c>
      <c r="M14" s="48">
        <v>96.0</v>
      </c>
      <c r="N14" s="48">
        <v>16.0</v>
      </c>
      <c r="O14" s="48">
        <v>3.0</v>
      </c>
      <c r="P14" s="48">
        <v>0.0</v>
      </c>
      <c r="Q14" s="70">
        <f t="shared" si="23"/>
        <v>115</v>
      </c>
      <c r="R14" s="72">
        <v>140.0</v>
      </c>
      <c r="S14" s="76">
        <f t="shared" si="6"/>
        <v>0.8214285714</v>
      </c>
      <c r="T14" s="83"/>
      <c r="U14" s="84">
        <f t="shared" si="24"/>
        <v>154</v>
      </c>
      <c r="V14" s="84">
        <f t="shared" si="25"/>
        <v>0</v>
      </c>
      <c r="W14" s="70">
        <f t="shared" si="26"/>
        <v>154</v>
      </c>
      <c r="X14" s="86">
        <f t="shared" si="27"/>
        <v>202</v>
      </c>
      <c r="Y14" s="88">
        <f t="shared" si="28"/>
        <v>48</v>
      </c>
      <c r="Z14" s="46">
        <f t="shared" si="12"/>
        <v>-1</v>
      </c>
      <c r="AA14" s="46">
        <f t="shared" si="29"/>
        <v>154</v>
      </c>
      <c r="AB14" s="84">
        <f t="shared" si="30"/>
        <v>202</v>
      </c>
      <c r="AC14" s="96">
        <f t="shared" si="31"/>
        <v>0.7623762376</v>
      </c>
      <c r="AD14" s="98"/>
      <c r="AE14" s="99" t="s">
        <v>56</v>
      </c>
      <c r="AS14" s="36"/>
      <c r="AT14" s="36"/>
      <c r="AU14" s="36"/>
      <c r="AV14" s="36"/>
      <c r="AW14" s="36"/>
      <c r="AX14" s="36"/>
      <c r="AY14" s="36"/>
      <c r="AZ14" s="36"/>
      <c r="BA14" s="36"/>
    </row>
    <row r="15">
      <c r="A15" s="112" t="s">
        <v>54</v>
      </c>
      <c r="B15" s="95">
        <f t="shared" ref="B15:F15" si="32">sum(B11:B14)</f>
        <v>0</v>
      </c>
      <c r="C15" s="95">
        <f t="shared" si="32"/>
        <v>80</v>
      </c>
      <c r="D15" s="95">
        <f t="shared" si="32"/>
        <v>0</v>
      </c>
      <c r="E15" s="95">
        <f t="shared" si="32"/>
        <v>80</v>
      </c>
      <c r="F15" s="95">
        <f t="shared" si="32"/>
        <v>137</v>
      </c>
      <c r="G15" s="114">
        <f t="shared" si="2"/>
        <v>0.5839416058</v>
      </c>
      <c r="H15" s="95">
        <f t="shared" ref="H15:K15" si="33">sum(H11:H14)</f>
        <v>38</v>
      </c>
      <c r="I15" s="95">
        <f t="shared" si="33"/>
        <v>0</v>
      </c>
      <c r="J15" s="95">
        <f t="shared" si="33"/>
        <v>38</v>
      </c>
      <c r="K15" s="95">
        <f t="shared" si="33"/>
        <v>49</v>
      </c>
      <c r="L15" s="114">
        <f t="shared" si="4"/>
        <v>0.7755102041</v>
      </c>
      <c r="M15" s="95">
        <f t="shared" ref="M15:R15" si="34">sum(M11:M14)</f>
        <v>295</v>
      </c>
      <c r="N15" s="95">
        <f t="shared" si="34"/>
        <v>46</v>
      </c>
      <c r="O15" s="95">
        <f t="shared" si="34"/>
        <v>11</v>
      </c>
      <c r="P15" s="95">
        <f t="shared" si="34"/>
        <v>0</v>
      </c>
      <c r="Q15" s="95">
        <f t="shared" si="34"/>
        <v>352</v>
      </c>
      <c r="R15" s="95">
        <f t="shared" si="34"/>
        <v>431</v>
      </c>
      <c r="S15" s="114">
        <f t="shared" si="6"/>
        <v>0.8167053364</v>
      </c>
      <c r="T15" s="95">
        <f t="shared" ref="T15:Y15" si="35">sum(T11:T14)</f>
        <v>0</v>
      </c>
      <c r="U15" s="95">
        <f t="shared" si="35"/>
        <v>470</v>
      </c>
      <c r="V15" s="95">
        <f t="shared" si="35"/>
        <v>0</v>
      </c>
      <c r="W15" s="95">
        <f t="shared" si="35"/>
        <v>470</v>
      </c>
      <c r="X15" s="115">
        <f t="shared" si="35"/>
        <v>617</v>
      </c>
      <c r="Y15" s="116">
        <f t="shared" si="35"/>
        <v>147</v>
      </c>
      <c r="Z15" s="116">
        <f t="shared" si="12"/>
        <v>-3</v>
      </c>
      <c r="AA15" s="116">
        <f t="shared" ref="AA15:AB15" si="36">sum(AA11:AA14)</f>
        <v>470</v>
      </c>
      <c r="AB15" s="95">
        <f t="shared" si="36"/>
        <v>617</v>
      </c>
      <c r="AC15" s="118">
        <f>AA15/AB15</f>
        <v>0.7617504052</v>
      </c>
      <c r="AE15" s="99"/>
      <c r="AF15" s="37">
        <v>363.0</v>
      </c>
      <c r="AG15" s="37">
        <v>48.0</v>
      </c>
      <c r="AH15" s="37">
        <v>56.0</v>
      </c>
      <c r="AI15" s="131">
        <f>AF15+AG15+AH15</f>
        <v>467</v>
      </c>
      <c r="AJ15" s="215">
        <f>AI15/X15</f>
        <v>0.7568881686</v>
      </c>
      <c r="AK15" s="66">
        <f>AI15-W15</f>
        <v>-3</v>
      </c>
      <c r="AS15" s="36"/>
      <c r="AT15" s="36"/>
      <c r="AU15" s="36"/>
      <c r="AV15" s="36"/>
      <c r="AW15" s="36"/>
      <c r="AX15" s="36"/>
      <c r="AY15" s="36"/>
      <c r="AZ15" s="36"/>
      <c r="BA15" s="36"/>
    </row>
    <row r="16">
      <c r="A16" s="62" t="s">
        <v>55</v>
      </c>
      <c r="B16" s="195"/>
      <c r="C16" s="84">
        <v>15.0</v>
      </c>
      <c r="D16" s="84">
        <v>9.0</v>
      </c>
      <c r="E16" s="70">
        <f t="shared" ref="E16:E18" si="37">SUM(C16:D16)</f>
        <v>24</v>
      </c>
      <c r="F16" s="72">
        <v>32.0</v>
      </c>
      <c r="G16" s="76">
        <f t="shared" si="2"/>
        <v>0.75</v>
      </c>
      <c r="H16" s="48">
        <v>2.0</v>
      </c>
      <c r="I16" s="48">
        <v>3.0</v>
      </c>
      <c r="J16" s="70">
        <f t="shared" ref="J16:J18" si="38">SUM(H16:I16)</f>
        <v>5</v>
      </c>
      <c r="K16" s="72">
        <v>11.0</v>
      </c>
      <c r="L16" s="76">
        <f t="shared" si="4"/>
        <v>0.4545454545</v>
      </c>
      <c r="M16" s="48">
        <v>32.0</v>
      </c>
      <c r="N16" s="48">
        <v>16.0</v>
      </c>
      <c r="O16" s="48">
        <v>9.0</v>
      </c>
      <c r="P16" s="48">
        <v>4.0</v>
      </c>
      <c r="Q16" s="70">
        <f t="shared" ref="Q16:Q18" si="39">SUM(M16:P16)</f>
        <v>61</v>
      </c>
      <c r="R16" s="72">
        <v>101.0</v>
      </c>
      <c r="S16" s="76">
        <f t="shared" si="6"/>
        <v>0.603960396</v>
      </c>
      <c r="T16" s="83"/>
      <c r="U16" s="84">
        <f t="shared" ref="U16:U18" si="40">M16+H16+C16+N16+O16</f>
        <v>74</v>
      </c>
      <c r="V16" s="84">
        <f t="shared" ref="V16:V18" si="41">P16+I16+D16</f>
        <v>16</v>
      </c>
      <c r="W16" s="70">
        <f t="shared" ref="W16:W18" si="42">sum(T16:V16)</f>
        <v>90</v>
      </c>
      <c r="X16" s="86">
        <f t="shared" ref="X16:X18" si="43">R16+K16+F16</f>
        <v>144</v>
      </c>
      <c r="Y16" s="88">
        <f t="shared" ref="Y16:Y18" si="44">X16-W16</f>
        <v>54</v>
      </c>
      <c r="Z16" s="46">
        <f t="shared" si="12"/>
        <v>-1</v>
      </c>
      <c r="AA16" s="46">
        <f t="shared" ref="AA16:AA18" si="45">V16+U16</f>
        <v>90</v>
      </c>
      <c r="AB16" s="84">
        <f t="shared" ref="AB16:AB18" si="46">X16</f>
        <v>144</v>
      </c>
      <c r="AC16" s="96">
        <f t="shared" ref="AC16:AC18" si="47">(U16+V16)/X16</f>
        <v>0.625</v>
      </c>
      <c r="AD16" s="119">
        <v>45930.0</v>
      </c>
      <c r="AE16" s="99" t="s">
        <v>81</v>
      </c>
      <c r="AS16" s="36"/>
      <c r="AT16" s="36"/>
      <c r="AU16" s="36"/>
      <c r="AV16" s="36"/>
      <c r="AW16" s="36"/>
      <c r="AX16" s="36"/>
      <c r="AY16" s="36"/>
      <c r="AZ16" s="36"/>
      <c r="BA16" s="36"/>
    </row>
    <row r="17">
      <c r="A17" s="62" t="s">
        <v>57</v>
      </c>
      <c r="B17" s="195"/>
      <c r="C17" s="84">
        <v>28.0</v>
      </c>
      <c r="D17" s="84"/>
      <c r="E17" s="70">
        <f t="shared" si="37"/>
        <v>28</v>
      </c>
      <c r="F17" s="72">
        <v>31.0</v>
      </c>
      <c r="G17" s="76">
        <f t="shared" si="2"/>
        <v>0.9032258065</v>
      </c>
      <c r="H17" s="48">
        <v>7.0</v>
      </c>
      <c r="I17" s="48"/>
      <c r="J17" s="70">
        <f t="shared" si="38"/>
        <v>7</v>
      </c>
      <c r="K17" s="72">
        <v>9.0</v>
      </c>
      <c r="L17" s="76">
        <f t="shared" si="4"/>
        <v>0.7777777778</v>
      </c>
      <c r="M17" s="48">
        <v>59.0</v>
      </c>
      <c r="N17" s="48">
        <v>15.0</v>
      </c>
      <c r="O17" s="48">
        <v>5.0</v>
      </c>
      <c r="P17" s="48"/>
      <c r="Q17" s="70">
        <f t="shared" si="39"/>
        <v>79</v>
      </c>
      <c r="R17" s="72">
        <v>90.0</v>
      </c>
      <c r="S17" s="76">
        <f t="shared" si="6"/>
        <v>0.8777777778</v>
      </c>
      <c r="T17" s="83"/>
      <c r="U17" s="84">
        <f t="shared" si="40"/>
        <v>114</v>
      </c>
      <c r="V17" s="84">
        <f t="shared" si="41"/>
        <v>0</v>
      </c>
      <c r="W17" s="70">
        <f t="shared" si="42"/>
        <v>114</v>
      </c>
      <c r="X17" s="86">
        <f t="shared" si="43"/>
        <v>130</v>
      </c>
      <c r="Y17" s="88">
        <f t="shared" si="44"/>
        <v>16</v>
      </c>
      <c r="Z17" s="46">
        <f t="shared" si="12"/>
        <v>0</v>
      </c>
      <c r="AA17" s="46">
        <f t="shared" si="45"/>
        <v>114</v>
      </c>
      <c r="AB17" s="84">
        <f t="shared" si="46"/>
        <v>130</v>
      </c>
      <c r="AC17" s="96">
        <f t="shared" si="47"/>
        <v>0.8769230769</v>
      </c>
      <c r="AD17" s="119">
        <v>45930.0</v>
      </c>
      <c r="AE17" s="99" t="s">
        <v>81</v>
      </c>
      <c r="AS17" s="36"/>
      <c r="AT17" s="36"/>
      <c r="AU17" s="36"/>
      <c r="AV17" s="36"/>
      <c r="AW17" s="36"/>
      <c r="AX17" s="36"/>
      <c r="AY17" s="36"/>
      <c r="AZ17" s="36"/>
      <c r="BA17" s="36"/>
    </row>
    <row r="18">
      <c r="A18" s="62" t="s">
        <v>58</v>
      </c>
      <c r="B18" s="195"/>
      <c r="C18" s="84">
        <v>11.0</v>
      </c>
      <c r="D18" s="84"/>
      <c r="E18" s="70">
        <f t="shared" si="37"/>
        <v>11</v>
      </c>
      <c r="F18" s="72">
        <v>12.0</v>
      </c>
      <c r="G18" s="76">
        <f t="shared" si="2"/>
        <v>0.9166666667</v>
      </c>
      <c r="H18" s="48">
        <v>7.0</v>
      </c>
      <c r="I18" s="48"/>
      <c r="J18" s="70">
        <f t="shared" si="38"/>
        <v>7</v>
      </c>
      <c r="K18" s="72">
        <v>3.0</v>
      </c>
      <c r="L18" s="76">
        <f t="shared" si="4"/>
        <v>2.333333333</v>
      </c>
      <c r="M18" s="48">
        <v>15.0</v>
      </c>
      <c r="N18" s="48">
        <v>5.0</v>
      </c>
      <c r="O18" s="48">
        <v>2.0</v>
      </c>
      <c r="P18" s="48"/>
      <c r="Q18" s="70">
        <f t="shared" si="39"/>
        <v>22</v>
      </c>
      <c r="R18" s="72">
        <v>35.0</v>
      </c>
      <c r="S18" s="76">
        <f t="shared" si="6"/>
        <v>0.6285714286</v>
      </c>
      <c r="T18" s="83"/>
      <c r="U18" s="84">
        <f t="shared" si="40"/>
        <v>40</v>
      </c>
      <c r="V18" s="84">
        <f t="shared" si="41"/>
        <v>0</v>
      </c>
      <c r="W18" s="70">
        <f t="shared" si="42"/>
        <v>40</v>
      </c>
      <c r="X18" s="86">
        <f t="shared" si="43"/>
        <v>50</v>
      </c>
      <c r="Y18" s="88">
        <f t="shared" si="44"/>
        <v>10</v>
      </c>
      <c r="Z18" s="46">
        <f t="shared" si="12"/>
        <v>0</v>
      </c>
      <c r="AA18" s="46">
        <f t="shared" si="45"/>
        <v>40</v>
      </c>
      <c r="AB18" s="84">
        <f t="shared" si="46"/>
        <v>50</v>
      </c>
      <c r="AC18" s="96">
        <f t="shared" si="47"/>
        <v>0.8</v>
      </c>
      <c r="AD18" s="119">
        <v>45930.0</v>
      </c>
      <c r="AE18" s="99" t="s">
        <v>81</v>
      </c>
      <c r="AS18" s="36"/>
      <c r="AT18" s="36"/>
      <c r="AU18" s="36"/>
      <c r="AV18" s="36"/>
      <c r="AW18" s="36"/>
      <c r="AX18" s="36"/>
      <c r="AY18" s="36"/>
      <c r="AZ18" s="36"/>
      <c r="BA18" s="36"/>
    </row>
    <row r="19">
      <c r="A19" s="112" t="s">
        <v>59</v>
      </c>
      <c r="B19" s="95">
        <f t="shared" ref="B19:F19" si="48">sum(B16:B18)</f>
        <v>0</v>
      </c>
      <c r="C19" s="95">
        <f t="shared" si="48"/>
        <v>54</v>
      </c>
      <c r="D19" s="95">
        <f t="shared" si="48"/>
        <v>9</v>
      </c>
      <c r="E19" s="95">
        <f t="shared" si="48"/>
        <v>63</v>
      </c>
      <c r="F19" s="95">
        <f t="shared" si="48"/>
        <v>75</v>
      </c>
      <c r="G19" s="114">
        <f t="shared" si="2"/>
        <v>0.84</v>
      </c>
      <c r="H19" s="95">
        <f t="shared" ref="H19:K19" si="49">sum(H16:H18)</f>
        <v>16</v>
      </c>
      <c r="I19" s="95">
        <f t="shared" si="49"/>
        <v>3</v>
      </c>
      <c r="J19" s="95">
        <f t="shared" si="49"/>
        <v>19</v>
      </c>
      <c r="K19" s="95">
        <f t="shared" si="49"/>
        <v>23</v>
      </c>
      <c r="L19" s="114">
        <f t="shared" si="4"/>
        <v>0.8260869565</v>
      </c>
      <c r="M19" s="95">
        <f t="shared" ref="M19:R19" si="50">sum(M16:M18)</f>
        <v>106</v>
      </c>
      <c r="N19" s="95">
        <f t="shared" si="50"/>
        <v>36</v>
      </c>
      <c r="O19" s="95">
        <f t="shared" si="50"/>
        <v>16</v>
      </c>
      <c r="P19" s="95">
        <f t="shared" si="50"/>
        <v>4</v>
      </c>
      <c r="Q19" s="95">
        <f t="shared" si="50"/>
        <v>162</v>
      </c>
      <c r="R19" s="95">
        <f t="shared" si="50"/>
        <v>226</v>
      </c>
      <c r="S19" s="114">
        <f t="shared" si="6"/>
        <v>0.7168141593</v>
      </c>
      <c r="T19" s="95">
        <f t="shared" ref="T19:Y19" si="51">sum(T16:T18)</f>
        <v>0</v>
      </c>
      <c r="U19" s="95">
        <f t="shared" si="51"/>
        <v>228</v>
      </c>
      <c r="V19" s="95">
        <f t="shared" si="51"/>
        <v>16</v>
      </c>
      <c r="W19" s="95">
        <f t="shared" si="51"/>
        <v>244</v>
      </c>
      <c r="X19" s="115">
        <f t="shared" si="51"/>
        <v>324</v>
      </c>
      <c r="Y19" s="116">
        <f t="shared" si="51"/>
        <v>80</v>
      </c>
      <c r="Z19" s="116">
        <f t="shared" si="12"/>
        <v>-2</v>
      </c>
      <c r="AA19" s="116">
        <f t="shared" ref="AA19:AB19" si="52">sum(AA16:AA18)</f>
        <v>244</v>
      </c>
      <c r="AB19" s="95">
        <f t="shared" si="52"/>
        <v>324</v>
      </c>
      <c r="AC19" s="118">
        <f>AA19/AB19</f>
        <v>0.7530864198</v>
      </c>
      <c r="AE19" s="99"/>
      <c r="AF19" s="37">
        <v>186.0</v>
      </c>
      <c r="AG19" s="37">
        <v>24.0</v>
      </c>
      <c r="AH19" s="37">
        <v>27.0</v>
      </c>
      <c r="AI19" s="131">
        <f>AF19+AG19+AH19</f>
        <v>237</v>
      </c>
      <c r="AJ19" s="215">
        <f>AI19/X19</f>
        <v>0.7314814815</v>
      </c>
      <c r="AK19" s="66">
        <f>AI19-W19</f>
        <v>-7</v>
      </c>
      <c r="AS19" s="36"/>
      <c r="AT19" s="36"/>
      <c r="AU19" s="36"/>
      <c r="AV19" s="36"/>
      <c r="AW19" s="36"/>
      <c r="AX19" s="36"/>
      <c r="AY19" s="36"/>
      <c r="AZ19" s="36"/>
      <c r="BA19" s="36"/>
    </row>
    <row r="20">
      <c r="A20" s="112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37"/>
      <c r="Y20" s="121"/>
      <c r="Z20" s="138"/>
      <c r="AA20" s="138"/>
      <c r="AB20" s="139"/>
      <c r="AC20" s="140"/>
      <c r="AE20" s="36"/>
      <c r="AS20" s="36"/>
      <c r="AT20" s="36"/>
      <c r="AU20" s="36"/>
      <c r="AV20" s="36"/>
      <c r="AW20" s="36"/>
      <c r="AX20" s="36"/>
      <c r="AY20" s="36"/>
      <c r="AZ20" s="36"/>
      <c r="BA20" s="36"/>
    </row>
    <row r="21">
      <c r="A21" s="14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37"/>
      <c r="Y21" s="121"/>
      <c r="Z21" s="138"/>
      <c r="AA21" s="138"/>
      <c r="AB21" s="139"/>
      <c r="AC21" s="140"/>
      <c r="AE21" s="36"/>
      <c r="AS21" s="36"/>
      <c r="AT21" s="36"/>
      <c r="AU21" s="36"/>
      <c r="AV21" s="36"/>
      <c r="AW21" s="36"/>
      <c r="AX21" s="36"/>
      <c r="AY21" s="36"/>
      <c r="AZ21" s="36"/>
      <c r="BA21" s="36"/>
    </row>
    <row r="22">
      <c r="A22" s="143" t="s">
        <v>13</v>
      </c>
      <c r="B22" s="144">
        <f t="shared" ref="B22:F22" si="53">B19+B15+B10</f>
        <v>0</v>
      </c>
      <c r="C22" s="144">
        <f t="shared" si="53"/>
        <v>241</v>
      </c>
      <c r="D22" s="144">
        <f t="shared" si="53"/>
        <v>16</v>
      </c>
      <c r="E22" s="144">
        <f t="shared" si="53"/>
        <v>257</v>
      </c>
      <c r="F22" s="144">
        <f t="shared" si="53"/>
        <v>348</v>
      </c>
      <c r="G22" s="146">
        <f>E22/F22</f>
        <v>0.7385057471</v>
      </c>
      <c r="H22" s="144">
        <f t="shared" ref="H22:K22" si="54">H19+H15+H10</f>
        <v>94</v>
      </c>
      <c r="I22" s="144">
        <f t="shared" si="54"/>
        <v>5</v>
      </c>
      <c r="J22" s="144">
        <f t="shared" si="54"/>
        <v>99</v>
      </c>
      <c r="K22" s="144">
        <f t="shared" si="54"/>
        <v>117</v>
      </c>
      <c r="L22" s="146">
        <f>J22/K22</f>
        <v>0.8461538462</v>
      </c>
      <c r="M22" s="144">
        <f t="shared" ref="M22:R22" si="55">M19+M15+M10</f>
        <v>681</v>
      </c>
      <c r="N22" s="144">
        <f t="shared" si="55"/>
        <v>129</v>
      </c>
      <c r="O22" s="144">
        <f t="shared" si="55"/>
        <v>40</v>
      </c>
      <c r="P22" s="144">
        <f t="shared" si="55"/>
        <v>9</v>
      </c>
      <c r="Q22" s="144">
        <f t="shared" si="55"/>
        <v>859</v>
      </c>
      <c r="R22" s="144">
        <f t="shared" si="55"/>
        <v>1067</v>
      </c>
      <c r="S22" s="146">
        <f>Q22/R22</f>
        <v>0.8050609185</v>
      </c>
      <c r="T22" s="144">
        <f t="shared" ref="T22:Y22" si="56">T19+T15+T10</f>
        <v>0</v>
      </c>
      <c r="U22" s="144">
        <f t="shared" si="56"/>
        <v>1185</v>
      </c>
      <c r="V22" s="144">
        <f t="shared" si="56"/>
        <v>30</v>
      </c>
      <c r="W22" s="144">
        <f t="shared" si="56"/>
        <v>1215</v>
      </c>
      <c r="X22" s="150">
        <f t="shared" si="56"/>
        <v>1532</v>
      </c>
      <c r="Y22" s="153">
        <f t="shared" si="56"/>
        <v>317</v>
      </c>
      <c r="Z22" s="155">
        <f>round(Y22/$Z$26*7,0)</f>
        <v>-6</v>
      </c>
      <c r="AA22" s="153">
        <f t="shared" ref="AA22:AB22" si="57">AA19+AA15+AA10</f>
        <v>1215</v>
      </c>
      <c r="AB22" s="144">
        <f t="shared" si="57"/>
        <v>1532</v>
      </c>
      <c r="AC22" s="157">
        <f>(U22+V22)/X22</f>
        <v>0.7930809399</v>
      </c>
      <c r="AE22" s="36"/>
      <c r="AG22" s="66">
        <f t="shared" ref="AG22:AI22" si="58">sum(AG10:AG21)</f>
        <v>120</v>
      </c>
      <c r="AH22" s="66">
        <f t="shared" si="58"/>
        <v>131</v>
      </c>
      <c r="AI22" s="131">
        <f t="shared" si="58"/>
        <v>1200</v>
      </c>
      <c r="AJ22" s="215">
        <f>AI22/X22</f>
        <v>0.7832898172</v>
      </c>
      <c r="AK22" s="131">
        <f>sum(AK10:AK21)</f>
        <v>-15</v>
      </c>
      <c r="AS22" s="36"/>
      <c r="AT22" s="36"/>
      <c r="AU22" s="36"/>
      <c r="AV22" s="36"/>
      <c r="AW22" s="36"/>
      <c r="AX22" s="36"/>
      <c r="AY22" s="36"/>
      <c r="AZ22" s="36"/>
      <c r="BA22" s="36"/>
    </row>
    <row r="23">
      <c r="AI23" s="131">
        <f>roundup(X22*AJ23,0)</f>
        <v>1226</v>
      </c>
      <c r="AJ23" s="216">
        <v>0.8</v>
      </c>
      <c r="AS23" s="36"/>
      <c r="AT23" s="36"/>
      <c r="AU23" s="36"/>
      <c r="AV23" s="36"/>
      <c r="AW23" s="36"/>
      <c r="AX23" s="36"/>
      <c r="AY23" s="36"/>
      <c r="AZ23" s="36"/>
      <c r="BA23" s="36"/>
    </row>
    <row r="24">
      <c r="Z24" s="1">
        <v>45930.0</v>
      </c>
      <c r="AA24" s="131"/>
      <c r="AB24" s="69">
        <f>AB22-AA22</f>
        <v>317</v>
      </c>
      <c r="AS24" s="36"/>
      <c r="AT24" s="36"/>
      <c r="AU24" s="36"/>
      <c r="AV24" s="36"/>
      <c r="AW24" s="36"/>
      <c r="AX24" s="36"/>
      <c r="AY24" s="36"/>
      <c r="AZ24" s="36"/>
      <c r="BA24" s="36"/>
    </row>
    <row r="25">
      <c r="A25" s="202" t="s">
        <v>84</v>
      </c>
      <c r="B25" s="15"/>
      <c r="C25" s="15"/>
      <c r="D25" s="15"/>
      <c r="E25" s="15"/>
      <c r="F25" s="15"/>
      <c r="G25" s="21"/>
      <c r="Z25" s="162">
        <f>today()-1</f>
        <v>46294</v>
      </c>
      <c r="AS25" s="36"/>
      <c r="AT25" s="36"/>
      <c r="AU25" s="36"/>
      <c r="AV25" s="36"/>
      <c r="AW25" s="36"/>
      <c r="AX25" s="36"/>
      <c r="AY25" s="36"/>
      <c r="AZ25" s="36"/>
      <c r="BA25" s="36"/>
    </row>
    <row r="26">
      <c r="A26" s="25"/>
      <c r="G26" s="41"/>
      <c r="Z26" s="66">
        <f>Z24-Z25</f>
        <v>-364</v>
      </c>
      <c r="AS26" s="36"/>
      <c r="AT26" s="36"/>
      <c r="AU26" s="36"/>
      <c r="AV26" s="36"/>
      <c r="AW26" s="36"/>
      <c r="AX26" s="36"/>
      <c r="AY26" s="36"/>
      <c r="AZ26" s="36"/>
      <c r="BA26" s="36"/>
    </row>
    <row r="27">
      <c r="A27" s="43"/>
      <c r="B27" s="179" t="s">
        <v>26</v>
      </c>
      <c r="C27" s="179" t="s">
        <v>27</v>
      </c>
      <c r="D27" s="179" t="s">
        <v>86</v>
      </c>
      <c r="F27" s="179" t="s">
        <v>87</v>
      </c>
      <c r="G27" s="41"/>
      <c r="N27" s="204"/>
      <c r="O27" s="204"/>
      <c r="P27" s="204"/>
      <c r="AI27" s="36"/>
      <c r="AJ27" s="36"/>
      <c r="AK27" s="36"/>
      <c r="AL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</row>
    <row r="28">
      <c r="A28" s="46" t="s">
        <v>22</v>
      </c>
      <c r="B28" s="70">
        <v>3.0</v>
      </c>
      <c r="C28" s="72">
        <f>12+11</f>
        <v>23</v>
      </c>
      <c r="D28" s="205">
        <f t="shared" ref="D28:D31" si="59">C28-B28</f>
        <v>20</v>
      </c>
      <c r="F28" s="205"/>
      <c r="G28" s="41"/>
      <c r="I28" s="23" t="s">
        <v>92</v>
      </c>
      <c r="R28" s="37" t="s">
        <v>0</v>
      </c>
      <c r="AI28" s="36"/>
      <c r="AJ28" s="36"/>
      <c r="AK28" s="36"/>
      <c r="AL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</row>
    <row r="29">
      <c r="A29" s="46" t="s">
        <v>36</v>
      </c>
      <c r="B29" s="70">
        <v>1.0</v>
      </c>
      <c r="C29" s="72">
        <f>6+7</f>
        <v>13</v>
      </c>
      <c r="D29" s="205">
        <f t="shared" si="59"/>
        <v>12</v>
      </c>
      <c r="F29" s="205"/>
      <c r="G29" s="41"/>
      <c r="I29" s="23" t="s">
        <v>93</v>
      </c>
      <c r="AI29" s="36"/>
      <c r="AJ29" s="36"/>
      <c r="AK29" s="36"/>
      <c r="AL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</row>
    <row r="30">
      <c r="A30" s="46" t="s">
        <v>40</v>
      </c>
      <c r="B30" s="70"/>
      <c r="C30" s="72">
        <f>5+6</f>
        <v>11</v>
      </c>
      <c r="D30" s="205">
        <f t="shared" si="59"/>
        <v>11</v>
      </c>
      <c r="F30" s="205"/>
      <c r="G30" s="41"/>
      <c r="I30" s="23" t="s">
        <v>94</v>
      </c>
      <c r="U30" s="204"/>
    </row>
    <row r="31">
      <c r="A31" s="46" t="s">
        <v>41</v>
      </c>
      <c r="B31" s="70"/>
      <c r="C31" s="72">
        <f>7+7</f>
        <v>14</v>
      </c>
      <c r="D31" s="205">
        <f t="shared" si="59"/>
        <v>14</v>
      </c>
      <c r="F31" s="205"/>
      <c r="G31" s="41"/>
      <c r="I31" s="23" t="s">
        <v>95</v>
      </c>
    </row>
    <row r="32">
      <c r="A32" s="94" t="s">
        <v>44</v>
      </c>
      <c r="B32" s="100">
        <f t="shared" ref="B32:D32" si="60">sum(B28:B31)</f>
        <v>4</v>
      </c>
      <c r="C32" s="100">
        <f t="shared" si="60"/>
        <v>61</v>
      </c>
      <c r="D32" s="100">
        <f t="shared" si="60"/>
        <v>57</v>
      </c>
      <c r="F32" s="100">
        <f>sum(F28:F31)</f>
        <v>0</v>
      </c>
      <c r="G32" s="41"/>
    </row>
    <row r="33">
      <c r="A33" s="46"/>
      <c r="B33" s="76"/>
      <c r="C33" s="76"/>
      <c r="D33" s="76"/>
      <c r="F33" s="76"/>
      <c r="G33" s="41"/>
    </row>
    <row r="34">
      <c r="A34" s="46" t="s">
        <v>47</v>
      </c>
      <c r="B34" s="70">
        <v>1.0</v>
      </c>
      <c r="C34" s="72">
        <f>7+6</f>
        <v>13</v>
      </c>
      <c r="D34" s="205">
        <f t="shared" ref="D34:D37" si="61">C34-B34</f>
        <v>12</v>
      </c>
      <c r="F34" s="205"/>
      <c r="G34" s="41"/>
    </row>
    <row r="35">
      <c r="A35" s="46" t="s">
        <v>51</v>
      </c>
      <c r="B35" s="70">
        <v>1.0</v>
      </c>
      <c r="C35" s="72">
        <f>9+9</f>
        <v>18</v>
      </c>
      <c r="D35" s="205">
        <f t="shared" si="61"/>
        <v>17</v>
      </c>
      <c r="F35" s="205">
        <v>1.0</v>
      </c>
      <c r="G35" s="41"/>
    </row>
    <row r="36">
      <c r="A36" s="46" t="s">
        <v>52</v>
      </c>
      <c r="B36" s="70"/>
      <c r="C36" s="72">
        <f>5+6</f>
        <v>11</v>
      </c>
      <c r="D36" s="205">
        <f t="shared" si="61"/>
        <v>11</v>
      </c>
      <c r="F36" s="205"/>
      <c r="G36" s="41"/>
    </row>
    <row r="37">
      <c r="A37" s="46" t="s">
        <v>53</v>
      </c>
      <c r="B37" s="70"/>
      <c r="C37" s="72">
        <f>9+9</f>
        <v>18</v>
      </c>
      <c r="D37" s="205">
        <f t="shared" si="61"/>
        <v>18</v>
      </c>
      <c r="F37" s="205"/>
      <c r="G37" s="41"/>
    </row>
    <row r="38">
      <c r="A38" s="94" t="s">
        <v>54</v>
      </c>
      <c r="B38" s="100">
        <f t="shared" ref="B38:D38" si="62">sum(B34:B37)</f>
        <v>2</v>
      </c>
      <c r="C38" s="100">
        <f t="shared" si="62"/>
        <v>60</v>
      </c>
      <c r="D38" s="100">
        <f t="shared" si="62"/>
        <v>58</v>
      </c>
      <c r="F38" s="100">
        <f>sum(F34:F37)</f>
        <v>1</v>
      </c>
      <c r="G38" s="41"/>
    </row>
    <row r="39">
      <c r="A39" s="46"/>
      <c r="B39" s="76"/>
      <c r="C39" s="76"/>
      <c r="D39" s="76"/>
      <c r="F39" s="76"/>
      <c r="G39" s="41"/>
    </row>
    <row r="40">
      <c r="A40" s="46" t="s">
        <v>55</v>
      </c>
      <c r="B40" s="70">
        <v>3.0</v>
      </c>
      <c r="C40" s="72">
        <f>9+9</f>
        <v>18</v>
      </c>
      <c r="D40" s="205">
        <f t="shared" ref="D40:D42" si="63">C40-B40</f>
        <v>15</v>
      </c>
      <c r="F40" s="205">
        <v>6.0</v>
      </c>
      <c r="G40" s="41"/>
      <c r="Q40" s="207"/>
      <c r="R40" s="207"/>
      <c r="S40" s="207"/>
    </row>
    <row r="41">
      <c r="A41" s="46" t="s">
        <v>57</v>
      </c>
      <c r="B41" s="70"/>
      <c r="C41" s="72">
        <f>5+6</f>
        <v>11</v>
      </c>
      <c r="D41" s="205">
        <f t="shared" si="63"/>
        <v>11</v>
      </c>
      <c r="F41" s="205"/>
      <c r="G41" s="41"/>
      <c r="Q41" s="207"/>
      <c r="R41" s="207"/>
      <c r="S41" s="207"/>
    </row>
    <row r="42">
      <c r="A42" s="46" t="s">
        <v>58</v>
      </c>
      <c r="B42" s="70"/>
      <c r="C42" s="72">
        <f>2+3</f>
        <v>5</v>
      </c>
      <c r="D42" s="205">
        <f t="shared" si="63"/>
        <v>5</v>
      </c>
      <c r="F42" s="205"/>
      <c r="G42" s="41"/>
      <c r="Q42" s="207"/>
      <c r="R42" s="207"/>
      <c r="S42" s="207"/>
    </row>
    <row r="43">
      <c r="A43" s="94" t="s">
        <v>59</v>
      </c>
      <c r="B43" s="100">
        <f t="shared" ref="B43:D43" si="64">sum(B40:B42)</f>
        <v>3</v>
      </c>
      <c r="C43" s="100">
        <f t="shared" si="64"/>
        <v>34</v>
      </c>
      <c r="D43" s="100">
        <f t="shared" si="64"/>
        <v>31</v>
      </c>
      <c r="F43" s="100">
        <f>sum(F40:F42)</f>
        <v>6</v>
      </c>
      <c r="G43" s="41"/>
    </row>
    <row r="44">
      <c r="A44" s="94"/>
      <c r="B44" s="120"/>
      <c r="C44" s="120"/>
      <c r="D44" s="120"/>
      <c r="F44" s="120"/>
      <c r="G44" s="41"/>
    </row>
    <row r="45">
      <c r="A45" s="94"/>
      <c r="B45" s="114"/>
      <c r="C45" s="114"/>
      <c r="D45" s="114"/>
      <c r="F45" s="114"/>
      <c r="G45" s="41"/>
    </row>
    <row r="46">
      <c r="A46" s="94" t="s">
        <v>13</v>
      </c>
      <c r="B46" s="100">
        <f t="shared" ref="B46:D46" si="65">B43+B38+B32</f>
        <v>9</v>
      </c>
      <c r="C46" s="100">
        <f t="shared" si="65"/>
        <v>155</v>
      </c>
      <c r="D46" s="100">
        <f t="shared" si="65"/>
        <v>146</v>
      </c>
      <c r="F46" s="100">
        <f>F43+F38+F32</f>
        <v>7</v>
      </c>
      <c r="G46" s="41"/>
    </row>
    <row r="47">
      <c r="A47" s="208"/>
      <c r="B47" s="209"/>
      <c r="C47" s="209"/>
      <c r="D47" s="209"/>
      <c r="E47" s="209"/>
      <c r="F47" s="209"/>
      <c r="G47" s="210"/>
    </row>
    <row r="49">
      <c r="A49" s="196" t="s">
        <v>63</v>
      </c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2"/>
      <c r="W49" s="18" t="s">
        <v>2</v>
      </c>
      <c r="X49" s="160" t="s">
        <v>3</v>
      </c>
    </row>
    <row r="50">
      <c r="A50" s="39"/>
      <c r="B50" s="194"/>
      <c r="C50" s="163" t="str">
        <f>C4</f>
        <v>JULY</v>
      </c>
      <c r="D50" s="30"/>
      <c r="E50" s="30"/>
      <c r="F50" s="30"/>
      <c r="G50" s="163" t="str">
        <f>H4</f>
        <v>AUG</v>
      </c>
      <c r="H50" s="30"/>
      <c r="I50" s="30"/>
      <c r="J50" s="30"/>
      <c r="K50" s="163" t="str">
        <f>M4</f>
        <v>SEP</v>
      </c>
      <c r="L50" s="30"/>
      <c r="M50" s="30"/>
      <c r="N50" s="30"/>
      <c r="O50" s="163"/>
      <c r="P50" s="163"/>
      <c r="Q50" s="164" t="s">
        <v>13</v>
      </c>
      <c r="R50" s="30"/>
      <c r="S50" s="30"/>
      <c r="T50" s="42"/>
      <c r="X50" s="36"/>
    </row>
    <row r="51">
      <c r="A51" s="43"/>
      <c r="B51" s="194"/>
      <c r="C51" s="179" t="s">
        <v>64</v>
      </c>
      <c r="D51" s="179" t="s">
        <v>65</v>
      </c>
      <c r="E51" s="179" t="s">
        <v>26</v>
      </c>
      <c r="F51" s="179" t="s">
        <v>66</v>
      </c>
      <c r="G51" s="179" t="s">
        <v>64</v>
      </c>
      <c r="H51" s="179" t="s">
        <v>65</v>
      </c>
      <c r="I51" s="179" t="s">
        <v>26</v>
      </c>
      <c r="J51" s="179" t="s">
        <v>66</v>
      </c>
      <c r="K51" s="179" t="s">
        <v>64</v>
      </c>
      <c r="L51" s="179" t="s">
        <v>65</v>
      </c>
      <c r="M51" s="179" t="s">
        <v>26</v>
      </c>
      <c r="N51" s="179" t="s">
        <v>66</v>
      </c>
      <c r="O51" s="211"/>
      <c r="P51" s="179"/>
      <c r="Q51" s="179" t="s">
        <v>64</v>
      </c>
      <c r="R51" s="179" t="s">
        <v>65</v>
      </c>
      <c r="S51" s="179" t="s">
        <v>26</v>
      </c>
      <c r="T51" s="181" t="s">
        <v>66</v>
      </c>
      <c r="X51" s="36"/>
    </row>
    <row r="52">
      <c r="A52" s="156" t="s">
        <v>22</v>
      </c>
      <c r="B52" s="194"/>
      <c r="C52" s="48">
        <v>146.0</v>
      </c>
      <c r="D52" s="48">
        <v>0.0</v>
      </c>
      <c r="E52" s="70">
        <f>SUM(C52:D52)</f>
        <v>146</v>
      </c>
      <c r="F52" s="72">
        <v>127.0</v>
      </c>
      <c r="G52" s="158">
        <v>81.0</v>
      </c>
      <c r="H52" s="48">
        <v>0.0</v>
      </c>
      <c r="I52" s="70">
        <f>SUM(G52:H52)</f>
        <v>81</v>
      </c>
      <c r="J52" s="72">
        <v>81.0</v>
      </c>
      <c r="K52" s="158">
        <v>346.0</v>
      </c>
      <c r="L52" s="48">
        <v>0.0</v>
      </c>
      <c r="M52" s="70">
        <f>SUM(K52:L52)</f>
        <v>346</v>
      </c>
      <c r="N52" s="72">
        <v>315.0</v>
      </c>
      <c r="O52" s="120"/>
      <c r="P52" s="83" t="str">
        <f t="shared" ref="P52:P58" si="68">B52</f>
        <v/>
      </c>
      <c r="Q52" s="84">
        <f t="shared" ref="Q52:R52" si="66">K52+G52+C52</f>
        <v>573</v>
      </c>
      <c r="R52" s="84">
        <f t="shared" si="66"/>
        <v>0</v>
      </c>
      <c r="S52" s="70">
        <f>sum(P52:R52)</f>
        <v>573</v>
      </c>
      <c r="T52" s="86">
        <f>N52+J52+F52</f>
        <v>523</v>
      </c>
      <c r="W52" s="98">
        <v>45929.0</v>
      </c>
      <c r="X52" s="99" t="s">
        <v>42</v>
      </c>
    </row>
    <row r="53">
      <c r="A53" s="161" t="s">
        <v>44</v>
      </c>
      <c r="B53" s="194"/>
      <c r="C53" s="95">
        <f t="shared" ref="C53:N53" si="67">sum(C52)</f>
        <v>146</v>
      </c>
      <c r="D53" s="95">
        <f t="shared" si="67"/>
        <v>0</v>
      </c>
      <c r="E53" s="95">
        <f t="shared" si="67"/>
        <v>146</v>
      </c>
      <c r="F53" s="95">
        <f t="shared" si="67"/>
        <v>127</v>
      </c>
      <c r="G53" s="95">
        <f t="shared" si="67"/>
        <v>81</v>
      </c>
      <c r="H53" s="95">
        <f t="shared" si="67"/>
        <v>0</v>
      </c>
      <c r="I53" s="95">
        <f t="shared" si="67"/>
        <v>81</v>
      </c>
      <c r="J53" s="95">
        <f t="shared" si="67"/>
        <v>81</v>
      </c>
      <c r="K53" s="95">
        <f t="shared" si="67"/>
        <v>346</v>
      </c>
      <c r="L53" s="95">
        <f t="shared" si="67"/>
        <v>0</v>
      </c>
      <c r="M53" s="95">
        <f t="shared" si="67"/>
        <v>346</v>
      </c>
      <c r="N53" s="95">
        <f t="shared" si="67"/>
        <v>315</v>
      </c>
      <c r="O53" s="120"/>
      <c r="P53" s="83" t="str">
        <f t="shared" si="68"/>
        <v/>
      </c>
      <c r="Q53" s="95">
        <f t="shared" ref="Q53:T53" si="69">sum(Q52)</f>
        <v>573</v>
      </c>
      <c r="R53" s="95">
        <f t="shared" si="69"/>
        <v>0</v>
      </c>
      <c r="S53" s="95">
        <f t="shared" si="69"/>
        <v>573</v>
      </c>
      <c r="T53" s="115">
        <f t="shared" si="69"/>
        <v>523</v>
      </c>
      <c r="X53" s="36"/>
    </row>
    <row r="54">
      <c r="A54" s="156" t="s">
        <v>51</v>
      </c>
      <c r="B54" s="194"/>
      <c r="C54" s="48">
        <v>27.0</v>
      </c>
      <c r="D54" s="84"/>
      <c r="E54" s="70">
        <f>SUM(C54:D54)</f>
        <v>27</v>
      </c>
      <c r="F54" s="72">
        <v>25.0</v>
      </c>
      <c r="G54" s="158">
        <v>31.0</v>
      </c>
      <c r="H54" s="84">
        <v>0.0</v>
      </c>
      <c r="I54" s="70">
        <f>SUM(G54:H54)</f>
        <v>31</v>
      </c>
      <c r="J54" s="72">
        <v>15.0</v>
      </c>
      <c r="K54" s="158">
        <v>45.0</v>
      </c>
      <c r="L54" s="84">
        <v>0.0</v>
      </c>
      <c r="M54" s="70">
        <f>SUM(K54:L54)</f>
        <v>45</v>
      </c>
      <c r="N54" s="72">
        <v>63.0</v>
      </c>
      <c r="O54" s="120"/>
      <c r="P54" s="83" t="str">
        <f t="shared" si="68"/>
        <v/>
      </c>
      <c r="Q54" s="84">
        <f>K54+G54+O58+C54</f>
        <v>103</v>
      </c>
      <c r="R54" s="84">
        <f>L54+H54+D54</f>
        <v>0</v>
      </c>
      <c r="S54" s="70">
        <f>sum(P54:R54)</f>
        <v>103</v>
      </c>
      <c r="T54" s="86">
        <f>N54+J54+F54</f>
        <v>103</v>
      </c>
      <c r="W54" s="217">
        <v>45922.0</v>
      </c>
      <c r="X54" s="99" t="s">
        <v>56</v>
      </c>
    </row>
    <row r="55">
      <c r="A55" s="161" t="s">
        <v>54</v>
      </c>
      <c r="B55" s="194"/>
      <c r="C55" s="95">
        <f t="shared" ref="C55:N55" si="70">sum(C54)</f>
        <v>27</v>
      </c>
      <c r="D55" s="95">
        <f t="shared" si="70"/>
        <v>0</v>
      </c>
      <c r="E55" s="95">
        <f t="shared" si="70"/>
        <v>27</v>
      </c>
      <c r="F55" s="95">
        <f t="shared" si="70"/>
        <v>25</v>
      </c>
      <c r="G55" s="95">
        <f t="shared" si="70"/>
        <v>31</v>
      </c>
      <c r="H55" s="95">
        <f t="shared" si="70"/>
        <v>0</v>
      </c>
      <c r="I55" s="95">
        <f t="shared" si="70"/>
        <v>31</v>
      </c>
      <c r="J55" s="95">
        <f t="shared" si="70"/>
        <v>15</v>
      </c>
      <c r="K55" s="95">
        <f t="shared" si="70"/>
        <v>45</v>
      </c>
      <c r="L55" s="95">
        <f t="shared" si="70"/>
        <v>0</v>
      </c>
      <c r="M55" s="95">
        <f t="shared" si="70"/>
        <v>45</v>
      </c>
      <c r="N55" s="95">
        <f t="shared" si="70"/>
        <v>63</v>
      </c>
      <c r="O55" s="120"/>
      <c r="P55" s="83" t="str">
        <f t="shared" si="68"/>
        <v/>
      </c>
      <c r="Q55" s="95">
        <f t="shared" ref="Q55:T55" si="71">sum(Q54)</f>
        <v>103</v>
      </c>
      <c r="R55" s="95">
        <f t="shared" si="71"/>
        <v>0</v>
      </c>
      <c r="S55" s="95">
        <f t="shared" si="71"/>
        <v>103</v>
      </c>
      <c r="T55" s="115">
        <f t="shared" si="71"/>
        <v>103</v>
      </c>
      <c r="X55" s="36"/>
    </row>
    <row r="56">
      <c r="A56" s="156" t="s">
        <v>55</v>
      </c>
      <c r="B56" s="194"/>
      <c r="C56" s="48">
        <v>87.0</v>
      </c>
      <c r="D56" s="84">
        <v>0.0</v>
      </c>
      <c r="E56" s="70">
        <f>SUM(C56:D56)</f>
        <v>87</v>
      </c>
      <c r="F56" s="72">
        <v>39.0</v>
      </c>
      <c r="G56" s="158">
        <v>108.0</v>
      </c>
      <c r="H56" s="84">
        <v>0.0</v>
      </c>
      <c r="I56" s="70">
        <f>SUM(G56:H56)</f>
        <v>108</v>
      </c>
      <c r="J56" s="72">
        <v>19.0</v>
      </c>
      <c r="K56" s="158">
        <v>177.0</v>
      </c>
      <c r="L56" s="84">
        <v>0.0</v>
      </c>
      <c r="M56" s="70">
        <f>SUM(K56:L56)</f>
        <v>177</v>
      </c>
      <c r="N56" s="72">
        <v>71.0</v>
      </c>
      <c r="O56" s="120"/>
      <c r="P56" s="83" t="str">
        <f t="shared" si="68"/>
        <v/>
      </c>
      <c r="Q56" s="84">
        <f t="shared" ref="Q56:R56" si="72">K56+G56+C56</f>
        <v>372</v>
      </c>
      <c r="R56" s="84">
        <f t="shared" si="72"/>
        <v>0</v>
      </c>
      <c r="S56" s="70">
        <f>sum(P56:R56)</f>
        <v>372</v>
      </c>
      <c r="T56" s="86">
        <f>N56+J56+F56</f>
        <v>129</v>
      </c>
      <c r="W56" s="119">
        <v>45930.0</v>
      </c>
      <c r="X56" s="99" t="s">
        <v>81</v>
      </c>
    </row>
    <row r="57">
      <c r="A57" s="161"/>
      <c r="B57" s="194"/>
      <c r="C57" s="95">
        <f t="shared" ref="C57:N57" si="73">sum(C56)</f>
        <v>87</v>
      </c>
      <c r="D57" s="95">
        <f t="shared" si="73"/>
        <v>0</v>
      </c>
      <c r="E57" s="95">
        <f t="shared" si="73"/>
        <v>87</v>
      </c>
      <c r="F57" s="95">
        <f t="shared" si="73"/>
        <v>39</v>
      </c>
      <c r="G57" s="95">
        <f t="shared" si="73"/>
        <v>108</v>
      </c>
      <c r="H57" s="95">
        <f t="shared" si="73"/>
        <v>0</v>
      </c>
      <c r="I57" s="95">
        <f t="shared" si="73"/>
        <v>108</v>
      </c>
      <c r="J57" s="95">
        <f t="shared" si="73"/>
        <v>19</v>
      </c>
      <c r="K57" s="95">
        <f t="shared" si="73"/>
        <v>177</v>
      </c>
      <c r="L57" s="95">
        <f t="shared" si="73"/>
        <v>0</v>
      </c>
      <c r="M57" s="95">
        <f t="shared" si="73"/>
        <v>177</v>
      </c>
      <c r="N57" s="95">
        <f t="shared" si="73"/>
        <v>71</v>
      </c>
      <c r="O57" s="120"/>
      <c r="P57" s="83" t="str">
        <f t="shared" si="68"/>
        <v/>
      </c>
      <c r="Q57" s="95">
        <f t="shared" ref="Q57:T57" si="74">sum(Q56)</f>
        <v>372</v>
      </c>
      <c r="R57" s="95">
        <f t="shared" si="74"/>
        <v>0</v>
      </c>
      <c r="S57" s="95">
        <f t="shared" si="74"/>
        <v>372</v>
      </c>
      <c r="T57" s="115">
        <f t="shared" si="74"/>
        <v>129</v>
      </c>
      <c r="X57" s="36"/>
    </row>
    <row r="58">
      <c r="A58" s="161"/>
      <c r="B58" s="194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83" t="str">
        <f t="shared" si="68"/>
        <v/>
      </c>
      <c r="Q58" s="120"/>
      <c r="R58" s="120"/>
      <c r="S58" s="120"/>
      <c r="T58" s="137"/>
    </row>
    <row r="59">
      <c r="A59" s="39"/>
      <c r="B59" s="36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37"/>
    </row>
    <row r="60">
      <c r="A60" s="165" t="s">
        <v>13</v>
      </c>
      <c r="B60" s="212"/>
      <c r="C60" s="123">
        <f t="shared" ref="C60:N60" si="75">C57+C55+C53</f>
        <v>260</v>
      </c>
      <c r="D60" s="123">
        <f t="shared" si="75"/>
        <v>0</v>
      </c>
      <c r="E60" s="123">
        <f t="shared" si="75"/>
        <v>260</v>
      </c>
      <c r="F60" s="123">
        <f t="shared" si="75"/>
        <v>191</v>
      </c>
      <c r="G60" s="123">
        <f t="shared" si="75"/>
        <v>220</v>
      </c>
      <c r="H60" s="123">
        <f t="shared" si="75"/>
        <v>0</v>
      </c>
      <c r="I60" s="123">
        <f t="shared" si="75"/>
        <v>220</v>
      </c>
      <c r="J60" s="123">
        <f t="shared" si="75"/>
        <v>115</v>
      </c>
      <c r="K60" s="123">
        <f t="shared" si="75"/>
        <v>568</v>
      </c>
      <c r="L60" s="123">
        <f t="shared" si="75"/>
        <v>0</v>
      </c>
      <c r="M60" s="123">
        <f t="shared" si="75"/>
        <v>568</v>
      </c>
      <c r="N60" s="123">
        <f t="shared" si="75"/>
        <v>449</v>
      </c>
      <c r="O60" s="166"/>
      <c r="P60" s="166"/>
      <c r="Q60" s="123">
        <f t="shared" ref="Q60:T60" si="76">Q57+Q55+Q53</f>
        <v>1048</v>
      </c>
      <c r="R60" s="123">
        <f t="shared" si="76"/>
        <v>0</v>
      </c>
      <c r="S60" s="123">
        <f t="shared" si="76"/>
        <v>1048</v>
      </c>
      <c r="T60" s="125">
        <f t="shared" si="76"/>
        <v>755</v>
      </c>
    </row>
    <row r="62">
      <c r="A62" s="218" t="s">
        <v>71</v>
      </c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2"/>
      <c r="Q62" s="18" t="s">
        <v>2</v>
      </c>
      <c r="R62" s="160" t="s">
        <v>3</v>
      </c>
    </row>
    <row r="63">
      <c r="A63" s="22"/>
      <c r="B63" s="163" t="s">
        <v>101</v>
      </c>
      <c r="C63" s="30"/>
      <c r="D63" s="30"/>
      <c r="E63" s="163"/>
      <c r="F63" s="164" t="s">
        <v>102</v>
      </c>
      <c r="G63" s="30"/>
      <c r="H63" s="30"/>
      <c r="I63" s="164" t="s">
        <v>88</v>
      </c>
      <c r="J63" s="30"/>
      <c r="K63" s="30"/>
      <c r="L63" s="164"/>
      <c r="M63" s="164" t="s">
        <v>13</v>
      </c>
      <c r="N63" s="219"/>
      <c r="P63" s="36"/>
    </row>
    <row r="64">
      <c r="A64" s="47"/>
      <c r="B64" s="179" t="s">
        <v>12</v>
      </c>
      <c r="C64" s="179" t="s">
        <v>24</v>
      </c>
      <c r="D64" s="179" t="s">
        <v>27</v>
      </c>
      <c r="E64" s="179"/>
      <c r="F64" s="179" t="s">
        <v>24</v>
      </c>
      <c r="G64" s="179" t="s">
        <v>27</v>
      </c>
      <c r="H64" s="179"/>
      <c r="I64" s="179" t="s">
        <v>24</v>
      </c>
      <c r="J64" s="179" t="s">
        <v>27</v>
      </c>
      <c r="K64" s="179"/>
      <c r="L64" s="179" t="s">
        <v>12</v>
      </c>
      <c r="M64" s="179" t="s">
        <v>24</v>
      </c>
      <c r="N64" s="181" t="s">
        <v>27</v>
      </c>
      <c r="P64" s="36"/>
    </row>
    <row r="65">
      <c r="A65" s="62" t="s">
        <v>36</v>
      </c>
      <c r="B65" s="195"/>
      <c r="C65" s="48">
        <v>61.0</v>
      </c>
      <c r="D65" s="72">
        <v>49.0</v>
      </c>
      <c r="E65" s="76">
        <f t="shared" ref="E65:E78" si="78">C65/D65</f>
        <v>1.244897959</v>
      </c>
      <c r="F65" s="48">
        <v>61.0</v>
      </c>
      <c r="G65" s="72">
        <v>48.0</v>
      </c>
      <c r="H65" s="76">
        <f t="shared" ref="H65:H78" si="79">F65/G65</f>
        <v>1.270833333</v>
      </c>
      <c r="I65" s="48">
        <v>67.0</v>
      </c>
      <c r="J65" s="72">
        <v>48.0</v>
      </c>
      <c r="K65" s="76">
        <f t="shared" ref="K65:K78" si="80">I65/J65</f>
        <v>1.395833333</v>
      </c>
      <c r="L65" s="83" t="str">
        <f t="shared" ref="L65:L68" si="81">B65</f>
        <v/>
      </c>
      <c r="M65" s="84">
        <f t="shared" ref="M65:N65" si="77">I65+F65+C65</f>
        <v>189</v>
      </c>
      <c r="N65" s="86">
        <f t="shared" si="77"/>
        <v>145</v>
      </c>
      <c r="O65" s="98">
        <v>45929.0</v>
      </c>
      <c r="P65" s="99" t="s">
        <v>42</v>
      </c>
    </row>
    <row r="66">
      <c r="A66" s="62" t="s">
        <v>40</v>
      </c>
      <c r="B66" s="195"/>
      <c r="C66" s="48">
        <v>49.0</v>
      </c>
      <c r="D66" s="72">
        <v>47.0</v>
      </c>
      <c r="E66" s="76">
        <f t="shared" si="78"/>
        <v>1.042553191</v>
      </c>
      <c r="F66" s="48">
        <v>57.0</v>
      </c>
      <c r="G66" s="72">
        <v>46.0</v>
      </c>
      <c r="H66" s="76">
        <f t="shared" si="79"/>
        <v>1.239130435</v>
      </c>
      <c r="I66" s="48">
        <v>53.0</v>
      </c>
      <c r="J66" s="72">
        <v>46.0</v>
      </c>
      <c r="K66" s="76">
        <f t="shared" si="80"/>
        <v>1.152173913</v>
      </c>
      <c r="L66" s="83" t="str">
        <f t="shared" si="81"/>
        <v/>
      </c>
      <c r="M66" s="84">
        <f t="shared" ref="M66:N66" si="82">I66+F66+C66</f>
        <v>159</v>
      </c>
      <c r="N66" s="86">
        <f t="shared" si="82"/>
        <v>139</v>
      </c>
      <c r="O66" s="98">
        <v>45929.0</v>
      </c>
      <c r="P66" s="99" t="s">
        <v>42</v>
      </c>
    </row>
    <row r="67">
      <c r="A67" s="62" t="s">
        <v>41</v>
      </c>
      <c r="B67" s="195"/>
      <c r="C67" s="48">
        <v>44.0</v>
      </c>
      <c r="D67" s="72">
        <v>60.0</v>
      </c>
      <c r="E67" s="76">
        <f t="shared" si="78"/>
        <v>0.7333333333</v>
      </c>
      <c r="F67" s="48">
        <v>53.0</v>
      </c>
      <c r="G67" s="72">
        <v>58.0</v>
      </c>
      <c r="H67" s="76">
        <f t="shared" si="79"/>
        <v>0.9137931034</v>
      </c>
      <c r="I67" s="48">
        <v>39.0</v>
      </c>
      <c r="J67" s="72">
        <v>58.0</v>
      </c>
      <c r="K67" s="76">
        <f t="shared" si="80"/>
        <v>0.6724137931</v>
      </c>
      <c r="L67" s="83" t="str">
        <f t="shared" si="81"/>
        <v/>
      </c>
      <c r="M67" s="84">
        <f t="shared" ref="M67:N67" si="83">I67+F67+C67</f>
        <v>136</v>
      </c>
      <c r="N67" s="86">
        <f t="shared" si="83"/>
        <v>176</v>
      </c>
      <c r="O67" s="98">
        <v>45929.0</v>
      </c>
      <c r="P67" s="99" t="s">
        <v>42</v>
      </c>
    </row>
    <row r="68">
      <c r="A68" s="62" t="s">
        <v>49</v>
      </c>
      <c r="B68" s="195"/>
      <c r="C68" s="87">
        <v>59.0</v>
      </c>
      <c r="D68" s="72">
        <v>62.0</v>
      </c>
      <c r="E68" s="76">
        <f t="shared" si="78"/>
        <v>0.9516129032</v>
      </c>
      <c r="F68" s="48">
        <v>64.0</v>
      </c>
      <c r="G68" s="72">
        <v>61.0</v>
      </c>
      <c r="H68" s="76">
        <f t="shared" si="79"/>
        <v>1.049180328</v>
      </c>
      <c r="I68" s="48">
        <v>68.0</v>
      </c>
      <c r="J68" s="72">
        <v>61.0</v>
      </c>
      <c r="K68" s="76">
        <f t="shared" si="80"/>
        <v>1.114754098</v>
      </c>
      <c r="L68" s="83" t="str">
        <f t="shared" si="81"/>
        <v/>
      </c>
      <c r="M68" s="84">
        <f t="shared" ref="M68:N68" si="84">I68+F68+C68</f>
        <v>191</v>
      </c>
      <c r="N68" s="86">
        <f t="shared" si="84"/>
        <v>184</v>
      </c>
      <c r="O68" s="98">
        <v>45929.0</v>
      </c>
      <c r="P68" s="99" t="s">
        <v>42</v>
      </c>
    </row>
    <row r="69">
      <c r="A69" s="112" t="s">
        <v>44</v>
      </c>
      <c r="B69" s="95">
        <f t="shared" ref="B69:D69" si="85">sum(B65:B68)</f>
        <v>0</v>
      </c>
      <c r="C69" s="95">
        <f t="shared" si="85"/>
        <v>213</v>
      </c>
      <c r="D69" s="95">
        <f t="shared" si="85"/>
        <v>218</v>
      </c>
      <c r="E69" s="76">
        <f t="shared" si="78"/>
        <v>0.9770642202</v>
      </c>
      <c r="F69" s="95">
        <f t="shared" ref="F69:G69" si="86">sum(F65:F68)</f>
        <v>235</v>
      </c>
      <c r="G69" s="95">
        <f t="shared" si="86"/>
        <v>213</v>
      </c>
      <c r="H69" s="76">
        <f t="shared" si="79"/>
        <v>1.103286385</v>
      </c>
      <c r="I69" s="95">
        <f t="shared" ref="I69:J69" si="87">sum(I65:I68)</f>
        <v>227</v>
      </c>
      <c r="J69" s="95">
        <f t="shared" si="87"/>
        <v>213</v>
      </c>
      <c r="K69" s="76">
        <f t="shared" si="80"/>
        <v>1.0657277</v>
      </c>
      <c r="L69" s="95">
        <f t="shared" ref="L69:N69" si="88">sum(L65:L68)</f>
        <v>0</v>
      </c>
      <c r="M69" s="95">
        <f t="shared" si="88"/>
        <v>675</v>
      </c>
      <c r="N69" s="115">
        <f t="shared" si="88"/>
        <v>644</v>
      </c>
    </row>
    <row r="70">
      <c r="A70" s="62" t="s">
        <v>52</v>
      </c>
      <c r="B70" s="195"/>
      <c r="C70" s="84">
        <v>52.0</v>
      </c>
      <c r="D70" s="72">
        <v>45.0</v>
      </c>
      <c r="E70" s="76">
        <f t="shared" si="78"/>
        <v>1.155555556</v>
      </c>
      <c r="F70" s="48">
        <v>52.0</v>
      </c>
      <c r="G70" s="72">
        <v>44.0</v>
      </c>
      <c r="H70" s="76">
        <f t="shared" si="79"/>
        <v>1.181818182</v>
      </c>
      <c r="I70" s="48">
        <v>37.0</v>
      </c>
      <c r="J70" s="72">
        <v>44.0</v>
      </c>
      <c r="K70" s="76">
        <f t="shared" si="80"/>
        <v>0.8409090909</v>
      </c>
      <c r="L70" s="83" t="str">
        <f t="shared" ref="L70:L73" si="90">B70</f>
        <v/>
      </c>
      <c r="M70" s="84">
        <f t="shared" ref="M70:N70" si="89">I70+F70+C70</f>
        <v>141</v>
      </c>
      <c r="N70" s="86">
        <f t="shared" si="89"/>
        <v>133</v>
      </c>
      <c r="O70" s="98">
        <v>45922.0</v>
      </c>
      <c r="P70" s="99" t="s">
        <v>56</v>
      </c>
    </row>
    <row r="71">
      <c r="A71" s="62" t="s">
        <v>51</v>
      </c>
      <c r="B71" s="195"/>
      <c r="C71" s="84">
        <v>62.0</v>
      </c>
      <c r="D71" s="72">
        <v>51.0</v>
      </c>
      <c r="E71" s="76">
        <f t="shared" si="78"/>
        <v>1.215686275</v>
      </c>
      <c r="F71" s="48">
        <v>60.0</v>
      </c>
      <c r="G71" s="72">
        <v>50.0</v>
      </c>
      <c r="H71" s="76">
        <f t="shared" si="79"/>
        <v>1.2</v>
      </c>
      <c r="I71" s="48">
        <v>34.0</v>
      </c>
      <c r="J71" s="72">
        <v>50.0</v>
      </c>
      <c r="K71" s="76">
        <f t="shared" si="80"/>
        <v>0.68</v>
      </c>
      <c r="L71" s="83" t="str">
        <f t="shared" si="90"/>
        <v/>
      </c>
      <c r="M71" s="84">
        <f t="shared" ref="M71:N71" si="91">I71+F71+C71</f>
        <v>156</v>
      </c>
      <c r="N71" s="86">
        <f t="shared" si="91"/>
        <v>151</v>
      </c>
      <c r="O71" s="98">
        <v>45922.0</v>
      </c>
      <c r="P71" s="99" t="s">
        <v>56</v>
      </c>
    </row>
    <row r="72">
      <c r="A72" s="62" t="s">
        <v>47</v>
      </c>
      <c r="B72" s="195"/>
      <c r="C72" s="84">
        <v>52.0</v>
      </c>
      <c r="D72" s="72">
        <v>42.0</v>
      </c>
      <c r="E72" s="76">
        <f t="shared" si="78"/>
        <v>1.238095238</v>
      </c>
      <c r="F72" s="48">
        <v>44.0</v>
      </c>
      <c r="G72" s="72">
        <v>41.0</v>
      </c>
      <c r="H72" s="76">
        <f t="shared" si="79"/>
        <v>1.073170732</v>
      </c>
      <c r="I72" s="48">
        <v>34.0</v>
      </c>
      <c r="J72" s="72">
        <v>41.0</v>
      </c>
      <c r="K72" s="76">
        <f t="shared" si="80"/>
        <v>0.8292682927</v>
      </c>
      <c r="L72" s="83" t="str">
        <f t="shared" si="90"/>
        <v/>
      </c>
      <c r="M72" s="84">
        <f t="shared" ref="M72:N72" si="92">I72+F72+C72</f>
        <v>130</v>
      </c>
      <c r="N72" s="86">
        <f t="shared" si="92"/>
        <v>124</v>
      </c>
      <c r="O72" s="98">
        <v>45922.0</v>
      </c>
      <c r="P72" s="99" t="s">
        <v>56</v>
      </c>
    </row>
    <row r="73">
      <c r="A73" s="62" t="s">
        <v>53</v>
      </c>
      <c r="B73" s="195"/>
      <c r="C73" s="84">
        <v>86.0</v>
      </c>
      <c r="D73" s="72">
        <v>95.0</v>
      </c>
      <c r="E73" s="76">
        <f t="shared" si="78"/>
        <v>0.9052631579</v>
      </c>
      <c r="F73" s="48">
        <v>90.0</v>
      </c>
      <c r="G73" s="72">
        <v>93.0</v>
      </c>
      <c r="H73" s="76">
        <f t="shared" si="79"/>
        <v>0.9677419355</v>
      </c>
      <c r="I73" s="48">
        <v>77.0</v>
      </c>
      <c r="J73" s="72">
        <v>93.0</v>
      </c>
      <c r="K73" s="76">
        <f t="shared" si="80"/>
        <v>0.8279569892</v>
      </c>
      <c r="L73" s="83" t="str">
        <f t="shared" si="90"/>
        <v/>
      </c>
      <c r="M73" s="84">
        <f t="shared" ref="M73:N73" si="93">I73+F73+C73</f>
        <v>253</v>
      </c>
      <c r="N73" s="86">
        <f t="shared" si="93"/>
        <v>281</v>
      </c>
      <c r="O73" s="98">
        <v>45922.0</v>
      </c>
      <c r="P73" s="99" t="s">
        <v>56</v>
      </c>
    </row>
    <row r="74">
      <c r="A74" s="112" t="s">
        <v>54</v>
      </c>
      <c r="B74" s="95">
        <f t="shared" ref="B74:D74" si="94">sum(B70:B73)</f>
        <v>0</v>
      </c>
      <c r="C74" s="95">
        <f t="shared" si="94"/>
        <v>252</v>
      </c>
      <c r="D74" s="95">
        <f t="shared" si="94"/>
        <v>233</v>
      </c>
      <c r="E74" s="76">
        <f t="shared" si="78"/>
        <v>1.081545064</v>
      </c>
      <c r="F74" s="95">
        <f t="shared" ref="F74:G74" si="95">sum(F70:F73)</f>
        <v>246</v>
      </c>
      <c r="G74" s="95">
        <f t="shared" si="95"/>
        <v>228</v>
      </c>
      <c r="H74" s="76">
        <f t="shared" si="79"/>
        <v>1.078947368</v>
      </c>
      <c r="I74" s="95">
        <f t="shared" ref="I74:J74" si="96">sum(I70:I73)</f>
        <v>182</v>
      </c>
      <c r="J74" s="95">
        <f t="shared" si="96"/>
        <v>228</v>
      </c>
      <c r="K74" s="76">
        <f t="shared" si="80"/>
        <v>0.798245614</v>
      </c>
      <c r="L74" s="95">
        <f t="shared" ref="L74:N74" si="97">sum(L70:L73)</f>
        <v>0</v>
      </c>
      <c r="M74" s="95">
        <f t="shared" si="97"/>
        <v>680</v>
      </c>
      <c r="N74" s="115">
        <f t="shared" si="97"/>
        <v>689</v>
      </c>
      <c r="P74" s="36"/>
    </row>
    <row r="75">
      <c r="A75" s="62" t="s">
        <v>55</v>
      </c>
      <c r="B75" s="195"/>
      <c r="C75" s="84">
        <v>47.0</v>
      </c>
      <c r="D75" s="72">
        <v>38.0</v>
      </c>
      <c r="E75" s="76">
        <f t="shared" si="78"/>
        <v>1.236842105</v>
      </c>
      <c r="F75" s="48">
        <v>28.0</v>
      </c>
      <c r="G75" s="72">
        <v>37.0</v>
      </c>
      <c r="H75" s="76">
        <f t="shared" si="79"/>
        <v>0.7567567568</v>
      </c>
      <c r="I75" s="48">
        <v>34.0</v>
      </c>
      <c r="J75" s="72">
        <v>37.0</v>
      </c>
      <c r="K75" s="76">
        <f t="shared" si="80"/>
        <v>0.9189189189</v>
      </c>
      <c r="L75" s="83" t="str">
        <f t="shared" ref="L75:L77" si="99">B75</f>
        <v/>
      </c>
      <c r="M75" s="84">
        <f t="shared" ref="M75:N75" si="98">I75+F75+C75</f>
        <v>109</v>
      </c>
      <c r="N75" s="86">
        <f t="shared" si="98"/>
        <v>112</v>
      </c>
      <c r="O75" s="119">
        <v>45930.0</v>
      </c>
      <c r="P75" s="99" t="s">
        <v>81</v>
      </c>
    </row>
    <row r="76">
      <c r="A76" s="62" t="s">
        <v>57</v>
      </c>
      <c r="B76" s="195"/>
      <c r="C76" s="84">
        <v>50.0</v>
      </c>
      <c r="D76" s="72">
        <v>52.0</v>
      </c>
      <c r="E76" s="76">
        <f t="shared" si="78"/>
        <v>0.9615384615</v>
      </c>
      <c r="F76" s="48">
        <v>59.0</v>
      </c>
      <c r="G76" s="72">
        <v>50.0</v>
      </c>
      <c r="H76" s="76">
        <f t="shared" si="79"/>
        <v>1.18</v>
      </c>
      <c r="I76" s="48">
        <v>53.0</v>
      </c>
      <c r="J76" s="72">
        <v>50.0</v>
      </c>
      <c r="K76" s="76">
        <f t="shared" si="80"/>
        <v>1.06</v>
      </c>
      <c r="L76" s="83" t="str">
        <f t="shared" si="99"/>
        <v/>
      </c>
      <c r="M76" s="84">
        <f t="shared" ref="M76:N76" si="100">I76+F76+C76</f>
        <v>162</v>
      </c>
      <c r="N76" s="86">
        <f t="shared" si="100"/>
        <v>152</v>
      </c>
      <c r="O76" s="119">
        <v>45930.0</v>
      </c>
      <c r="P76" s="99" t="s">
        <v>81</v>
      </c>
    </row>
    <row r="77">
      <c r="A77" s="62" t="s">
        <v>58</v>
      </c>
      <c r="B77" s="195"/>
      <c r="C77" s="84">
        <v>23.0</v>
      </c>
      <c r="D77" s="72">
        <v>23.0</v>
      </c>
      <c r="E77" s="76">
        <f t="shared" si="78"/>
        <v>1</v>
      </c>
      <c r="F77" s="48">
        <v>28.0</v>
      </c>
      <c r="G77" s="72">
        <v>22.0</v>
      </c>
      <c r="H77" s="76">
        <f t="shared" si="79"/>
        <v>1.272727273</v>
      </c>
      <c r="I77" s="48">
        <v>21.0</v>
      </c>
      <c r="J77" s="72">
        <v>22.0</v>
      </c>
      <c r="K77" s="76">
        <f t="shared" si="80"/>
        <v>0.9545454545</v>
      </c>
      <c r="L77" s="83" t="str">
        <f t="shared" si="99"/>
        <v/>
      </c>
      <c r="M77" s="84">
        <f t="shared" ref="M77:N77" si="101">I77+F77+C77</f>
        <v>72</v>
      </c>
      <c r="N77" s="86">
        <f t="shared" si="101"/>
        <v>67</v>
      </c>
      <c r="O77" s="119">
        <v>45930.0</v>
      </c>
      <c r="P77" s="99" t="s">
        <v>81</v>
      </c>
    </row>
    <row r="78">
      <c r="A78" s="112" t="s">
        <v>59</v>
      </c>
      <c r="B78" s="95">
        <f t="shared" ref="B78:D78" si="102">sum(B75:B77)</f>
        <v>0</v>
      </c>
      <c r="C78" s="95">
        <f t="shared" si="102"/>
        <v>120</v>
      </c>
      <c r="D78" s="95">
        <f t="shared" si="102"/>
        <v>113</v>
      </c>
      <c r="E78" s="76">
        <f t="shared" si="78"/>
        <v>1.061946903</v>
      </c>
      <c r="F78" s="95">
        <f t="shared" ref="F78:G78" si="103">sum(F75:F77)</f>
        <v>115</v>
      </c>
      <c r="G78" s="95">
        <f t="shared" si="103"/>
        <v>109</v>
      </c>
      <c r="H78" s="76">
        <f t="shared" si="79"/>
        <v>1.055045872</v>
      </c>
      <c r="I78" s="95">
        <f t="shared" ref="I78:J78" si="104">sum(I75:I77)</f>
        <v>108</v>
      </c>
      <c r="J78" s="95">
        <f t="shared" si="104"/>
        <v>109</v>
      </c>
      <c r="K78" s="76">
        <f t="shared" si="80"/>
        <v>0.9908256881</v>
      </c>
      <c r="L78" s="95">
        <f t="shared" ref="L78:N78" si="105">sum(L75:L77)</f>
        <v>0</v>
      </c>
      <c r="M78" s="95">
        <f t="shared" si="105"/>
        <v>343</v>
      </c>
      <c r="N78" s="115">
        <f t="shared" si="105"/>
        <v>331</v>
      </c>
    </row>
    <row r="79">
      <c r="A79" s="112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37"/>
    </row>
    <row r="80">
      <c r="A80" s="141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37"/>
    </row>
    <row r="81">
      <c r="A81" s="143" t="s">
        <v>13</v>
      </c>
      <c r="B81" s="144">
        <f t="shared" ref="B81:D81" si="106">B78+B74+B69</f>
        <v>0</v>
      </c>
      <c r="C81" s="144">
        <f t="shared" si="106"/>
        <v>585</v>
      </c>
      <c r="D81" s="144">
        <f t="shared" si="106"/>
        <v>564</v>
      </c>
      <c r="E81" s="146">
        <f>C81/D81</f>
        <v>1.037234043</v>
      </c>
      <c r="F81" s="144">
        <f t="shared" ref="F81:G81" si="107">F78+F74+F69</f>
        <v>596</v>
      </c>
      <c r="G81" s="144">
        <f t="shared" si="107"/>
        <v>550</v>
      </c>
      <c r="H81" s="146">
        <f>F81/G81</f>
        <v>1.083636364</v>
      </c>
      <c r="I81" s="144">
        <f t="shared" ref="I81:J81" si="108">I78+I74+I69</f>
        <v>517</v>
      </c>
      <c r="J81" s="144">
        <f t="shared" si="108"/>
        <v>550</v>
      </c>
      <c r="K81" s="146">
        <f>I81/J81</f>
        <v>0.94</v>
      </c>
      <c r="L81" s="144">
        <f t="shared" ref="L81:N81" si="109">L78+L74+L69</f>
        <v>0</v>
      </c>
      <c r="M81" s="144">
        <f t="shared" si="109"/>
        <v>1698</v>
      </c>
      <c r="N81" s="150">
        <f t="shared" si="109"/>
        <v>1664</v>
      </c>
    </row>
  </sheetData>
  <mergeCells count="15">
    <mergeCell ref="C50:F50"/>
    <mergeCell ref="G50:J50"/>
    <mergeCell ref="K50:N50"/>
    <mergeCell ref="Q50:T50"/>
    <mergeCell ref="A62:P62"/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9" width="10.38"/>
    <col customWidth="1" min="10" max="12" width="8.5"/>
    <col customWidth="1" min="13" max="13" width="9.38"/>
    <col customWidth="1" min="14" max="14" width="9.75"/>
    <col customWidth="1" min="15" max="15" width="9.25"/>
    <col customWidth="1" min="16" max="16" width="9.88"/>
    <col customWidth="1" min="17" max="17" width="9.38"/>
    <col customWidth="1" min="18" max="18" width="7.13"/>
    <col customWidth="1" min="19" max="19" width="10.13"/>
    <col customWidth="1" min="20" max="20" width="9.0"/>
    <col customWidth="1" min="21" max="21" width="11.38"/>
    <col customWidth="1" min="22" max="22" width="5.88"/>
    <col customWidth="1" min="23" max="23" width="7.13"/>
    <col customWidth="1" min="24" max="24" width="9.88"/>
    <col customWidth="1" min="25" max="25" width="7.75"/>
    <col customWidth="1" min="30" max="32" width="8.75"/>
    <col customWidth="1" min="33" max="33" width="10.5"/>
    <col customWidth="1" min="34" max="48" width="8.75"/>
  </cols>
  <sheetData>
    <row r="1">
      <c r="A1" s="37" t="s">
        <v>0</v>
      </c>
      <c r="AA1" s="7"/>
    </row>
    <row r="3">
      <c r="A3" s="175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0"/>
      <c r="W3" s="12"/>
      <c r="X3" s="13"/>
      <c r="Y3" s="14"/>
      <c r="Z3" s="220"/>
      <c r="AA3" s="18" t="s">
        <v>2</v>
      </c>
      <c r="AB3" s="160" t="s">
        <v>3</v>
      </c>
    </row>
    <row r="4">
      <c r="A4" s="22"/>
      <c r="B4" s="194"/>
      <c r="C4" s="163" t="s">
        <v>67</v>
      </c>
      <c r="D4" s="30"/>
      <c r="E4" s="30"/>
      <c r="F4" s="30"/>
      <c r="G4" s="164"/>
      <c r="H4" s="164" t="s">
        <v>16</v>
      </c>
      <c r="I4" s="30"/>
      <c r="J4" s="30"/>
      <c r="K4" s="30"/>
      <c r="L4" s="164"/>
      <c r="M4" s="164" t="s">
        <v>17</v>
      </c>
      <c r="N4" s="30"/>
      <c r="O4" s="30"/>
      <c r="P4" s="30"/>
      <c r="Q4" s="36"/>
      <c r="R4" s="178"/>
      <c r="S4" s="164" t="s">
        <v>13</v>
      </c>
      <c r="T4" s="30"/>
      <c r="U4" s="30"/>
      <c r="V4" s="42"/>
      <c r="W4" s="25"/>
      <c r="X4" s="25"/>
      <c r="Z4" s="221"/>
      <c r="AB4" s="36"/>
    </row>
    <row r="5">
      <c r="A5" s="47"/>
      <c r="B5" s="179" t="s">
        <v>12</v>
      </c>
      <c r="C5" s="179" t="s">
        <v>24</v>
      </c>
      <c r="D5" s="179" t="s">
        <v>25</v>
      </c>
      <c r="E5" s="179" t="s">
        <v>26</v>
      </c>
      <c r="F5" s="179" t="s">
        <v>27</v>
      </c>
      <c r="G5" s="179"/>
      <c r="H5" s="179" t="s">
        <v>24</v>
      </c>
      <c r="I5" s="179" t="s">
        <v>25</v>
      </c>
      <c r="J5" s="179" t="s">
        <v>26</v>
      </c>
      <c r="K5" s="179" t="s">
        <v>27</v>
      </c>
      <c r="L5" s="179"/>
      <c r="M5" s="179" t="s">
        <v>24</v>
      </c>
      <c r="N5" s="179" t="s">
        <v>25</v>
      </c>
      <c r="O5" s="179" t="s">
        <v>26</v>
      </c>
      <c r="P5" s="179" t="s">
        <v>27</v>
      </c>
      <c r="Q5" s="179"/>
      <c r="R5" s="179" t="s">
        <v>12</v>
      </c>
      <c r="S5" s="179" t="s">
        <v>24</v>
      </c>
      <c r="T5" s="179" t="s">
        <v>25</v>
      </c>
      <c r="U5" s="179" t="s">
        <v>26</v>
      </c>
      <c r="V5" s="181" t="s">
        <v>27</v>
      </c>
      <c r="W5" s="183" t="s">
        <v>31</v>
      </c>
      <c r="X5" s="59" t="s">
        <v>34</v>
      </c>
      <c r="Y5" s="23" t="s">
        <v>14</v>
      </c>
      <c r="Z5" s="222" t="s">
        <v>35</v>
      </c>
      <c r="AB5" s="36"/>
    </row>
    <row r="6">
      <c r="A6" s="62" t="s">
        <v>22</v>
      </c>
      <c r="B6" s="223">
        <f>'2025 - Q1'!U6-'2025 - Q1'!V6</f>
        <v>101</v>
      </c>
      <c r="C6" s="48">
        <v>39.0</v>
      </c>
      <c r="D6" s="48">
        <v>1.0</v>
      </c>
      <c r="E6" s="70">
        <f t="shared" ref="E6:E9" si="2">SUM(C6:D6)</f>
        <v>40</v>
      </c>
      <c r="F6" s="72">
        <v>35.0</v>
      </c>
      <c r="G6" s="76">
        <f t="shared" ref="G6:G19" si="3">E6/F6</f>
        <v>1.142857143</v>
      </c>
      <c r="H6" s="48">
        <v>46.0</v>
      </c>
      <c r="I6" s="48">
        <v>2.0</v>
      </c>
      <c r="J6" s="70">
        <f t="shared" ref="J6:J9" si="4">SUM(H6:I6)</f>
        <v>48</v>
      </c>
      <c r="K6" s="72">
        <v>44.0</v>
      </c>
      <c r="L6" s="76">
        <f t="shared" ref="L6:L19" si="5">J6/K6</f>
        <v>1.090909091</v>
      </c>
      <c r="M6" s="48">
        <v>33.0</v>
      </c>
      <c r="N6" s="48">
        <v>2.0</v>
      </c>
      <c r="O6" s="70">
        <f t="shared" ref="O6:O9" si="6">SUM(M6:N6)</f>
        <v>35</v>
      </c>
      <c r="P6" s="72">
        <v>51.0</v>
      </c>
      <c r="Q6" s="76">
        <f t="shared" ref="Q6:Q19" si="7">O6/P6</f>
        <v>0.6862745098</v>
      </c>
      <c r="R6" s="224">
        <f t="shared" ref="R6:R9" si="8">B6</f>
        <v>101</v>
      </c>
      <c r="S6" s="84">
        <f t="shared" ref="S6:T6" si="1">M6+H6+C6</f>
        <v>118</v>
      </c>
      <c r="T6" s="84">
        <f t="shared" si="1"/>
        <v>5</v>
      </c>
      <c r="U6" s="225">
        <f t="shared" ref="U6:U9" si="10">sum(R6:T6)</f>
        <v>224</v>
      </c>
      <c r="V6" s="86">
        <f t="shared" ref="V6:V9" si="11">P6+K6+F6</f>
        <v>130</v>
      </c>
      <c r="W6" s="226">
        <f t="shared" ref="W6:W9" si="12">V6-U6</f>
        <v>-94</v>
      </c>
      <c r="X6" s="46">
        <f t="shared" ref="X6:X9" si="13">T6+S6</f>
        <v>123</v>
      </c>
      <c r="Y6" s="84">
        <f t="shared" ref="Y6:Y9" si="14">V6</f>
        <v>130</v>
      </c>
      <c r="Z6" s="227">
        <f t="shared" ref="Z6:Z9" si="15">(S6+T6)/V6</f>
        <v>0.9461538462</v>
      </c>
      <c r="AA6" s="98">
        <v>45838.0</v>
      </c>
      <c r="AB6" s="99" t="s">
        <v>46</v>
      </c>
      <c r="AO6" s="36"/>
      <c r="AP6" s="36"/>
      <c r="AQ6" s="36"/>
      <c r="AR6" s="36"/>
      <c r="AS6" s="36"/>
      <c r="AT6" s="36"/>
      <c r="AU6" s="36"/>
      <c r="AV6" s="36"/>
      <c r="AW6" s="36"/>
      <c r="AX6" s="36"/>
    </row>
    <row r="7">
      <c r="A7" s="62" t="s">
        <v>36</v>
      </c>
      <c r="B7" s="223">
        <f>'2025 - Q1'!U7-'2025 - Q1'!V7</f>
        <v>-147</v>
      </c>
      <c r="C7" s="48">
        <v>18.0</v>
      </c>
      <c r="D7" s="48"/>
      <c r="E7" s="70">
        <f t="shared" si="2"/>
        <v>18</v>
      </c>
      <c r="F7" s="72">
        <v>28.0</v>
      </c>
      <c r="G7" s="76">
        <f t="shared" si="3"/>
        <v>0.6428571429</v>
      </c>
      <c r="H7" s="48">
        <v>28.0</v>
      </c>
      <c r="I7" s="48"/>
      <c r="J7" s="70">
        <f t="shared" si="4"/>
        <v>28</v>
      </c>
      <c r="K7" s="72">
        <v>34.0</v>
      </c>
      <c r="L7" s="76">
        <f t="shared" si="5"/>
        <v>0.8235294118</v>
      </c>
      <c r="M7" s="48">
        <v>39.0</v>
      </c>
      <c r="N7" s="48"/>
      <c r="O7" s="70">
        <f t="shared" si="6"/>
        <v>39</v>
      </c>
      <c r="P7" s="72">
        <v>42.0</v>
      </c>
      <c r="Q7" s="76">
        <f t="shared" si="7"/>
        <v>0.9285714286</v>
      </c>
      <c r="R7" s="224">
        <f t="shared" si="8"/>
        <v>-147</v>
      </c>
      <c r="S7" s="84">
        <f t="shared" ref="S7:T7" si="9">M7+H7+C7</f>
        <v>85</v>
      </c>
      <c r="T7" s="84">
        <f t="shared" si="9"/>
        <v>0</v>
      </c>
      <c r="U7" s="225">
        <f t="shared" si="10"/>
        <v>-62</v>
      </c>
      <c r="V7" s="86">
        <f t="shared" si="11"/>
        <v>104</v>
      </c>
      <c r="W7" s="226">
        <f t="shared" si="12"/>
        <v>166</v>
      </c>
      <c r="X7" s="46">
        <f t="shared" si="13"/>
        <v>85</v>
      </c>
      <c r="Y7" s="84">
        <f t="shared" si="14"/>
        <v>104</v>
      </c>
      <c r="Z7" s="227">
        <f t="shared" si="15"/>
        <v>0.8173076923</v>
      </c>
      <c r="AA7" s="98">
        <v>45838.0</v>
      </c>
      <c r="AB7" s="99" t="s">
        <v>46</v>
      </c>
      <c r="AO7" s="36"/>
      <c r="AP7" s="36"/>
      <c r="AQ7" s="36"/>
      <c r="AR7" s="36"/>
      <c r="AS7" s="36"/>
      <c r="AT7" s="36"/>
      <c r="AU7" s="36"/>
      <c r="AV7" s="36"/>
      <c r="AW7" s="36"/>
      <c r="AX7" s="36"/>
    </row>
    <row r="8">
      <c r="A8" s="62" t="s">
        <v>40</v>
      </c>
      <c r="B8" s="223">
        <f>'2025 - Q1'!U8-'2025 - Q1'!V8</f>
        <v>2</v>
      </c>
      <c r="C8" s="48">
        <v>14.0</v>
      </c>
      <c r="D8" s="214"/>
      <c r="E8" s="70">
        <f t="shared" si="2"/>
        <v>14</v>
      </c>
      <c r="F8" s="72">
        <v>25.0</v>
      </c>
      <c r="G8" s="76">
        <f t="shared" si="3"/>
        <v>0.56</v>
      </c>
      <c r="H8" s="48">
        <v>20.0</v>
      </c>
      <c r="I8" s="48"/>
      <c r="J8" s="70">
        <f t="shared" si="4"/>
        <v>20</v>
      </c>
      <c r="K8" s="72">
        <v>26.0</v>
      </c>
      <c r="L8" s="76">
        <f t="shared" si="5"/>
        <v>0.7692307692</v>
      </c>
      <c r="M8" s="48">
        <v>25.0</v>
      </c>
      <c r="N8" s="48"/>
      <c r="O8" s="70">
        <f t="shared" si="6"/>
        <v>25</v>
      </c>
      <c r="P8" s="72">
        <v>34.0</v>
      </c>
      <c r="Q8" s="76">
        <f t="shared" si="7"/>
        <v>0.7352941176</v>
      </c>
      <c r="R8" s="224">
        <f t="shared" si="8"/>
        <v>2</v>
      </c>
      <c r="S8" s="84">
        <f t="shared" ref="S8:T8" si="16">M8+H8+C8</f>
        <v>59</v>
      </c>
      <c r="T8" s="84">
        <f t="shared" si="16"/>
        <v>0</v>
      </c>
      <c r="U8" s="225">
        <f t="shared" si="10"/>
        <v>61</v>
      </c>
      <c r="V8" s="86">
        <f t="shared" si="11"/>
        <v>85</v>
      </c>
      <c r="W8" s="226">
        <f t="shared" si="12"/>
        <v>24</v>
      </c>
      <c r="X8" s="46">
        <f t="shared" si="13"/>
        <v>59</v>
      </c>
      <c r="Y8" s="84">
        <f t="shared" si="14"/>
        <v>85</v>
      </c>
      <c r="Z8" s="227">
        <f t="shared" si="15"/>
        <v>0.6941176471</v>
      </c>
      <c r="AA8" s="98">
        <v>45838.0</v>
      </c>
      <c r="AB8" s="99" t="s">
        <v>46</v>
      </c>
      <c r="AO8" s="36"/>
      <c r="AP8" s="36"/>
      <c r="AQ8" s="36"/>
      <c r="AR8" s="36"/>
      <c r="AS8" s="36"/>
      <c r="AT8" s="36"/>
      <c r="AU8" s="36"/>
      <c r="AV8" s="36"/>
      <c r="AW8" s="36"/>
      <c r="AX8" s="36"/>
    </row>
    <row r="9">
      <c r="A9" s="62" t="s">
        <v>41</v>
      </c>
      <c r="B9" s="223">
        <f>'2025 - Q1'!U9-'2025 - Q1'!V9</f>
        <v>-6</v>
      </c>
      <c r="C9" s="87">
        <v>19.0</v>
      </c>
      <c r="D9" s="111"/>
      <c r="E9" s="70">
        <f t="shared" si="2"/>
        <v>19</v>
      </c>
      <c r="F9" s="72">
        <v>32.0</v>
      </c>
      <c r="G9" s="76">
        <f t="shared" si="3"/>
        <v>0.59375</v>
      </c>
      <c r="H9" s="48">
        <v>29.0</v>
      </c>
      <c r="I9" s="48"/>
      <c r="J9" s="70">
        <f t="shared" si="4"/>
        <v>29</v>
      </c>
      <c r="K9" s="72">
        <v>35.0</v>
      </c>
      <c r="L9" s="76">
        <f t="shared" si="5"/>
        <v>0.8285714286</v>
      </c>
      <c r="M9" s="48">
        <v>31.0</v>
      </c>
      <c r="N9" s="48"/>
      <c r="O9" s="70">
        <f t="shared" si="6"/>
        <v>31</v>
      </c>
      <c r="P9" s="72">
        <v>42.0</v>
      </c>
      <c r="Q9" s="76">
        <f t="shared" si="7"/>
        <v>0.7380952381</v>
      </c>
      <c r="R9" s="224">
        <f t="shared" si="8"/>
        <v>-6</v>
      </c>
      <c r="S9" s="84">
        <f t="shared" ref="S9:T9" si="17">M9+H9+C9</f>
        <v>79</v>
      </c>
      <c r="T9" s="84">
        <f t="shared" si="17"/>
        <v>0</v>
      </c>
      <c r="U9" s="225">
        <f t="shared" si="10"/>
        <v>73</v>
      </c>
      <c r="V9" s="86">
        <f t="shared" si="11"/>
        <v>109</v>
      </c>
      <c r="W9" s="226">
        <f t="shared" si="12"/>
        <v>36</v>
      </c>
      <c r="X9" s="46">
        <f t="shared" si="13"/>
        <v>79</v>
      </c>
      <c r="Y9" s="84">
        <f t="shared" si="14"/>
        <v>109</v>
      </c>
      <c r="Z9" s="227">
        <f t="shared" si="15"/>
        <v>0.7247706422</v>
      </c>
      <c r="AA9" s="98">
        <v>45838.0</v>
      </c>
      <c r="AB9" s="99" t="s">
        <v>46</v>
      </c>
      <c r="AO9" s="36"/>
      <c r="AP9" s="36"/>
      <c r="AQ9" s="36"/>
      <c r="AR9" s="36"/>
      <c r="AS9" s="36"/>
      <c r="AT9" s="36"/>
      <c r="AU9" s="36"/>
      <c r="AV9" s="36"/>
      <c r="AW9" s="36"/>
      <c r="AX9" s="36"/>
    </row>
    <row r="10">
      <c r="A10" s="112" t="s">
        <v>44</v>
      </c>
      <c r="B10" s="100">
        <f t="shared" ref="B10:F10" si="18">sum(B6:B9)</f>
        <v>-50</v>
      </c>
      <c r="C10" s="95">
        <f t="shared" si="18"/>
        <v>90</v>
      </c>
      <c r="D10" s="95">
        <f t="shared" si="18"/>
        <v>1</v>
      </c>
      <c r="E10" s="95">
        <f t="shared" si="18"/>
        <v>91</v>
      </c>
      <c r="F10" s="95">
        <f t="shared" si="18"/>
        <v>120</v>
      </c>
      <c r="G10" s="114">
        <f t="shared" si="3"/>
        <v>0.7583333333</v>
      </c>
      <c r="H10" s="95">
        <f t="shared" ref="H10:K10" si="19">sum(H6:H9)</f>
        <v>123</v>
      </c>
      <c r="I10" s="95">
        <f t="shared" si="19"/>
        <v>2</v>
      </c>
      <c r="J10" s="95">
        <f t="shared" si="19"/>
        <v>125</v>
      </c>
      <c r="K10" s="95">
        <f t="shared" si="19"/>
        <v>139</v>
      </c>
      <c r="L10" s="114">
        <f t="shared" si="5"/>
        <v>0.8992805755</v>
      </c>
      <c r="M10" s="95">
        <f t="shared" ref="M10:P10" si="20">sum(M6:M9)</f>
        <v>128</v>
      </c>
      <c r="N10" s="95">
        <f t="shared" si="20"/>
        <v>2</v>
      </c>
      <c r="O10" s="95">
        <f t="shared" si="20"/>
        <v>130</v>
      </c>
      <c r="P10" s="95">
        <f t="shared" si="20"/>
        <v>169</v>
      </c>
      <c r="Q10" s="114">
        <f t="shared" si="7"/>
        <v>0.7692307692</v>
      </c>
      <c r="R10" s="100">
        <f t="shared" ref="R10:Y10" si="21">sum(R6:R9)</f>
        <v>-50</v>
      </c>
      <c r="S10" s="95">
        <f t="shared" si="21"/>
        <v>341</v>
      </c>
      <c r="T10" s="95">
        <f t="shared" si="21"/>
        <v>5</v>
      </c>
      <c r="U10" s="100">
        <f t="shared" si="21"/>
        <v>296</v>
      </c>
      <c r="V10" s="115">
        <f t="shared" si="21"/>
        <v>428</v>
      </c>
      <c r="W10" s="231">
        <f t="shared" si="21"/>
        <v>132</v>
      </c>
      <c r="X10" s="116">
        <f t="shared" si="21"/>
        <v>346</v>
      </c>
      <c r="Y10" s="95">
        <f t="shared" si="21"/>
        <v>428</v>
      </c>
      <c r="Z10" s="232">
        <f>X10/Y10</f>
        <v>0.808411215</v>
      </c>
      <c r="AB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</row>
    <row r="11">
      <c r="A11" s="62" t="s">
        <v>47</v>
      </c>
      <c r="B11" s="223">
        <f>'2025 - Q1'!U11-'2025 - Q1'!V11</f>
        <v>6</v>
      </c>
      <c r="C11" s="84">
        <v>11.0</v>
      </c>
      <c r="D11" s="84"/>
      <c r="E11" s="70">
        <f t="shared" ref="E11:E14" si="23">SUM(C11:D11)</f>
        <v>11</v>
      </c>
      <c r="F11" s="72">
        <v>33.0</v>
      </c>
      <c r="G11" s="76">
        <f t="shared" si="3"/>
        <v>0.3333333333</v>
      </c>
      <c r="H11" s="48">
        <v>28.0</v>
      </c>
      <c r="I11" s="48"/>
      <c r="J11" s="70">
        <f t="shared" ref="J11:J14" si="24">SUM(H11:I11)</f>
        <v>28</v>
      </c>
      <c r="K11" s="72">
        <v>33.0</v>
      </c>
      <c r="L11" s="76">
        <f t="shared" si="5"/>
        <v>0.8484848485</v>
      </c>
      <c r="M11" s="48">
        <v>41.0</v>
      </c>
      <c r="N11" s="48"/>
      <c r="O11" s="70">
        <f t="shared" ref="O11:O14" si="25">SUM(M11:N11)</f>
        <v>41</v>
      </c>
      <c r="P11" s="72">
        <v>42.0</v>
      </c>
      <c r="Q11" s="76">
        <f t="shared" si="7"/>
        <v>0.9761904762</v>
      </c>
      <c r="R11" s="224">
        <f t="shared" ref="R11:R14" si="26">B11</f>
        <v>6</v>
      </c>
      <c r="S11" s="84">
        <f t="shared" ref="S11:T11" si="22">M11+H11+C11</f>
        <v>80</v>
      </c>
      <c r="T11" s="84">
        <f t="shared" si="22"/>
        <v>0</v>
      </c>
      <c r="U11" s="225">
        <f t="shared" ref="U11:U14" si="28">sum(R11:T11)</f>
        <v>86</v>
      </c>
      <c r="V11" s="86">
        <f t="shared" ref="V11:V14" si="29">P11+K11+F11</f>
        <v>108</v>
      </c>
      <c r="W11" s="226">
        <f t="shared" ref="W11:W14" si="30">V11-U11</f>
        <v>22</v>
      </c>
      <c r="X11" s="46">
        <f t="shared" ref="X11:X14" si="31">T11+S11</f>
        <v>80</v>
      </c>
      <c r="Y11" s="84">
        <f t="shared" ref="Y11:Y14" si="32">V11</f>
        <v>108</v>
      </c>
      <c r="Z11" s="227">
        <f t="shared" ref="Z11:Z14" si="33">(S11+T11)/V11</f>
        <v>0.7407407407</v>
      </c>
      <c r="AA11" s="119">
        <v>45838.0</v>
      </c>
      <c r="AB11" s="99" t="s">
        <v>104</v>
      </c>
      <c r="AO11" s="36"/>
      <c r="AP11" s="36"/>
      <c r="AQ11" s="36"/>
      <c r="AR11" s="36"/>
      <c r="AS11" s="36"/>
      <c r="AT11" s="36"/>
      <c r="AU11" s="36"/>
      <c r="AV11" s="36"/>
      <c r="AW11" s="36"/>
      <c r="AX11" s="36"/>
    </row>
    <row r="12">
      <c r="A12" s="62" t="s">
        <v>51</v>
      </c>
      <c r="B12" s="223">
        <f>'2025 - Q1'!U12-'2025 - Q1'!V12</f>
        <v>15</v>
      </c>
      <c r="C12" s="84">
        <v>19.0</v>
      </c>
      <c r="D12" s="84">
        <v>1.0</v>
      </c>
      <c r="E12" s="70">
        <f t="shared" si="23"/>
        <v>20</v>
      </c>
      <c r="F12" s="72">
        <v>28.0</v>
      </c>
      <c r="G12" s="76">
        <f t="shared" si="3"/>
        <v>0.7142857143</v>
      </c>
      <c r="H12" s="48">
        <v>26.0</v>
      </c>
      <c r="I12" s="48">
        <v>2.0</v>
      </c>
      <c r="J12" s="70">
        <f t="shared" si="24"/>
        <v>28</v>
      </c>
      <c r="K12" s="72">
        <v>35.0</v>
      </c>
      <c r="L12" s="76">
        <f t="shared" si="5"/>
        <v>0.8</v>
      </c>
      <c r="M12" s="48">
        <v>43.0</v>
      </c>
      <c r="N12" s="48"/>
      <c r="O12" s="70">
        <f t="shared" si="25"/>
        <v>43</v>
      </c>
      <c r="P12" s="72">
        <v>44.0</v>
      </c>
      <c r="Q12" s="76">
        <f t="shared" si="7"/>
        <v>0.9772727273</v>
      </c>
      <c r="R12" s="224">
        <f t="shared" si="26"/>
        <v>15</v>
      </c>
      <c r="S12" s="84">
        <f t="shared" ref="S12:T12" si="27">M12+H12+C12</f>
        <v>88</v>
      </c>
      <c r="T12" s="84">
        <f t="shared" si="27"/>
        <v>3</v>
      </c>
      <c r="U12" s="225">
        <f t="shared" si="28"/>
        <v>106</v>
      </c>
      <c r="V12" s="86">
        <f t="shared" si="29"/>
        <v>107</v>
      </c>
      <c r="W12" s="226">
        <f t="shared" si="30"/>
        <v>1</v>
      </c>
      <c r="X12" s="46">
        <f t="shared" si="31"/>
        <v>91</v>
      </c>
      <c r="Y12" s="84">
        <f t="shared" si="32"/>
        <v>107</v>
      </c>
      <c r="Z12" s="227">
        <f t="shared" si="33"/>
        <v>0.8504672897</v>
      </c>
      <c r="AA12" s="119">
        <v>45838.0</v>
      </c>
      <c r="AB12" s="99" t="s">
        <v>104</v>
      </c>
      <c r="AO12" s="36"/>
      <c r="AP12" s="36"/>
      <c r="AQ12" s="36"/>
      <c r="AR12" s="36"/>
      <c r="AS12" s="36"/>
      <c r="AT12" s="36"/>
      <c r="AU12" s="36"/>
      <c r="AV12" s="36"/>
      <c r="AW12" s="36"/>
      <c r="AX12" s="36"/>
    </row>
    <row r="13">
      <c r="A13" s="62" t="s">
        <v>52</v>
      </c>
      <c r="B13" s="223">
        <f>'2025 - Q1'!U13-'2025 - Q1'!V13</f>
        <v>26</v>
      </c>
      <c r="C13" s="84">
        <v>29.0</v>
      </c>
      <c r="D13" s="84"/>
      <c r="E13" s="70">
        <f t="shared" si="23"/>
        <v>29</v>
      </c>
      <c r="F13" s="72">
        <v>25.0</v>
      </c>
      <c r="G13" s="76">
        <f t="shared" si="3"/>
        <v>1.16</v>
      </c>
      <c r="H13" s="48">
        <v>21.0</v>
      </c>
      <c r="I13" s="48"/>
      <c r="J13" s="70">
        <f t="shared" si="24"/>
        <v>21</v>
      </c>
      <c r="K13" s="72">
        <v>30.0</v>
      </c>
      <c r="L13" s="76">
        <f t="shared" si="5"/>
        <v>0.7</v>
      </c>
      <c r="M13" s="48">
        <v>41.0</v>
      </c>
      <c r="N13" s="48"/>
      <c r="O13" s="70">
        <f t="shared" si="25"/>
        <v>41</v>
      </c>
      <c r="P13" s="72">
        <v>36.0</v>
      </c>
      <c r="Q13" s="76">
        <f t="shared" si="7"/>
        <v>1.138888889</v>
      </c>
      <c r="R13" s="224">
        <f t="shared" si="26"/>
        <v>26</v>
      </c>
      <c r="S13" s="84">
        <f t="shared" ref="S13:T13" si="34">M13+H13+C13</f>
        <v>91</v>
      </c>
      <c r="T13" s="84">
        <f t="shared" si="34"/>
        <v>0</v>
      </c>
      <c r="U13" s="225">
        <f t="shared" si="28"/>
        <v>117</v>
      </c>
      <c r="V13" s="86">
        <f t="shared" si="29"/>
        <v>91</v>
      </c>
      <c r="W13" s="226">
        <f t="shared" si="30"/>
        <v>-26</v>
      </c>
      <c r="X13" s="46">
        <f t="shared" si="31"/>
        <v>91</v>
      </c>
      <c r="Y13" s="84">
        <f t="shared" si="32"/>
        <v>91</v>
      </c>
      <c r="Z13" s="227">
        <f t="shared" si="33"/>
        <v>1</v>
      </c>
      <c r="AA13" s="119">
        <v>45838.0</v>
      </c>
      <c r="AB13" s="99" t="s">
        <v>104</v>
      </c>
      <c r="AO13" s="36"/>
      <c r="AP13" s="36"/>
      <c r="AQ13" s="36"/>
      <c r="AR13" s="36"/>
      <c r="AS13" s="36"/>
      <c r="AT13" s="36"/>
      <c r="AU13" s="36"/>
      <c r="AV13" s="36"/>
      <c r="AW13" s="36"/>
      <c r="AX13" s="36"/>
    </row>
    <row r="14">
      <c r="A14" s="62" t="s">
        <v>53</v>
      </c>
      <c r="B14" s="223">
        <f>'2025 - Q1'!U14-'2025 - Q1'!V14</f>
        <v>13</v>
      </c>
      <c r="C14" s="84">
        <v>28.0</v>
      </c>
      <c r="D14" s="84"/>
      <c r="E14" s="70">
        <f t="shared" si="23"/>
        <v>28</v>
      </c>
      <c r="F14" s="72">
        <v>41.0</v>
      </c>
      <c r="G14" s="76">
        <f t="shared" si="3"/>
        <v>0.6829268293</v>
      </c>
      <c r="H14" s="48">
        <v>37.0</v>
      </c>
      <c r="I14" s="48"/>
      <c r="J14" s="70">
        <f t="shared" si="24"/>
        <v>37</v>
      </c>
      <c r="K14" s="72">
        <v>47.0</v>
      </c>
      <c r="L14" s="76">
        <f t="shared" si="5"/>
        <v>0.7872340426</v>
      </c>
      <c r="M14" s="48">
        <v>59.0</v>
      </c>
      <c r="N14" s="48"/>
      <c r="O14" s="70">
        <f t="shared" si="25"/>
        <v>59</v>
      </c>
      <c r="P14" s="72">
        <v>60.0</v>
      </c>
      <c r="Q14" s="76">
        <f t="shared" si="7"/>
        <v>0.9833333333</v>
      </c>
      <c r="R14" s="224">
        <f t="shared" si="26"/>
        <v>13</v>
      </c>
      <c r="S14" s="84">
        <f t="shared" ref="S14:T14" si="35">M14+H14+C14</f>
        <v>124</v>
      </c>
      <c r="T14" s="84">
        <f t="shared" si="35"/>
        <v>0</v>
      </c>
      <c r="U14" s="225">
        <f t="shared" si="28"/>
        <v>137</v>
      </c>
      <c r="V14" s="86">
        <f t="shared" si="29"/>
        <v>148</v>
      </c>
      <c r="W14" s="226">
        <f t="shared" si="30"/>
        <v>11</v>
      </c>
      <c r="X14" s="46">
        <f t="shared" si="31"/>
        <v>124</v>
      </c>
      <c r="Y14" s="84">
        <f t="shared" si="32"/>
        <v>148</v>
      </c>
      <c r="Z14" s="227">
        <f t="shared" si="33"/>
        <v>0.8378378378</v>
      </c>
      <c r="AA14" s="119">
        <v>45838.0</v>
      </c>
      <c r="AB14" s="99" t="s">
        <v>104</v>
      </c>
      <c r="AO14" s="36"/>
      <c r="AP14" s="36"/>
      <c r="AQ14" s="36"/>
      <c r="AR14" s="36"/>
      <c r="AS14" s="36"/>
      <c r="AT14" s="36"/>
      <c r="AU14" s="36"/>
      <c r="AV14" s="36"/>
      <c r="AW14" s="36"/>
      <c r="AX14" s="36"/>
    </row>
    <row r="15">
      <c r="A15" s="112" t="s">
        <v>54</v>
      </c>
      <c r="B15" s="100">
        <f t="shared" ref="B15:F15" si="36">sum(B11:B14)</f>
        <v>60</v>
      </c>
      <c r="C15" s="95">
        <f t="shared" si="36"/>
        <v>87</v>
      </c>
      <c r="D15" s="95">
        <f t="shared" si="36"/>
        <v>1</v>
      </c>
      <c r="E15" s="95">
        <f t="shared" si="36"/>
        <v>88</v>
      </c>
      <c r="F15" s="95">
        <f t="shared" si="36"/>
        <v>127</v>
      </c>
      <c r="G15" s="114">
        <f t="shared" si="3"/>
        <v>0.6929133858</v>
      </c>
      <c r="H15" s="95">
        <f t="shared" ref="H15:K15" si="37">sum(H11:H14)</f>
        <v>112</v>
      </c>
      <c r="I15" s="95">
        <f t="shared" si="37"/>
        <v>2</v>
      </c>
      <c r="J15" s="95">
        <f t="shared" si="37"/>
        <v>114</v>
      </c>
      <c r="K15" s="95">
        <f t="shared" si="37"/>
        <v>145</v>
      </c>
      <c r="L15" s="114">
        <f t="shared" si="5"/>
        <v>0.7862068966</v>
      </c>
      <c r="M15" s="95">
        <f t="shared" ref="M15:P15" si="38">sum(M11:M14)</f>
        <v>184</v>
      </c>
      <c r="N15" s="95">
        <f t="shared" si="38"/>
        <v>0</v>
      </c>
      <c r="O15" s="95">
        <f t="shared" si="38"/>
        <v>184</v>
      </c>
      <c r="P15" s="95">
        <f t="shared" si="38"/>
        <v>182</v>
      </c>
      <c r="Q15" s="114">
        <f t="shared" si="7"/>
        <v>1.010989011</v>
      </c>
      <c r="R15" s="100">
        <f t="shared" ref="R15:Y15" si="39">sum(R11:R14)</f>
        <v>60</v>
      </c>
      <c r="S15" s="95">
        <f t="shared" si="39"/>
        <v>383</v>
      </c>
      <c r="T15" s="95">
        <f t="shared" si="39"/>
        <v>3</v>
      </c>
      <c r="U15" s="100">
        <f t="shared" si="39"/>
        <v>446</v>
      </c>
      <c r="V15" s="115">
        <f t="shared" si="39"/>
        <v>454</v>
      </c>
      <c r="W15" s="231">
        <f t="shared" si="39"/>
        <v>8</v>
      </c>
      <c r="X15" s="116">
        <f t="shared" si="39"/>
        <v>386</v>
      </c>
      <c r="Y15" s="95">
        <f t="shared" si="39"/>
        <v>454</v>
      </c>
      <c r="Z15" s="232">
        <f>X15/Y15</f>
        <v>0.8502202643</v>
      </c>
      <c r="AB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</row>
    <row r="16">
      <c r="A16" s="62" t="s">
        <v>55</v>
      </c>
      <c r="B16" s="223">
        <f>'2025 - Q1'!U16-'2025 - Q1'!V16</f>
        <v>16</v>
      </c>
      <c r="C16" s="84">
        <v>23.0</v>
      </c>
      <c r="D16" s="84">
        <v>13.0</v>
      </c>
      <c r="E16" s="70">
        <f t="shared" ref="E16:E18" si="41">SUM(C16:D16)</f>
        <v>36</v>
      </c>
      <c r="F16" s="72">
        <v>28.0</v>
      </c>
      <c r="G16" s="76">
        <f t="shared" si="3"/>
        <v>1.285714286</v>
      </c>
      <c r="H16" s="48">
        <v>14.0</v>
      </c>
      <c r="I16" s="48">
        <v>16.0</v>
      </c>
      <c r="J16" s="70">
        <f t="shared" ref="J16:J18" si="42">SUM(H16:I16)</f>
        <v>30</v>
      </c>
      <c r="K16" s="72">
        <v>34.0</v>
      </c>
      <c r="L16" s="76">
        <f t="shared" si="5"/>
        <v>0.8823529412</v>
      </c>
      <c r="M16" s="48">
        <v>22.0</v>
      </c>
      <c r="N16" s="48">
        <v>15.0</v>
      </c>
      <c r="O16" s="70">
        <f t="shared" ref="O16:O18" si="43">SUM(M16:N16)</f>
        <v>37</v>
      </c>
      <c r="P16" s="72">
        <v>42.0</v>
      </c>
      <c r="Q16" s="76">
        <f t="shared" si="7"/>
        <v>0.880952381</v>
      </c>
      <c r="R16" s="224">
        <f t="shared" ref="R16:R18" si="44">B16</f>
        <v>16</v>
      </c>
      <c r="S16" s="84">
        <f t="shared" ref="S16:T16" si="40">M16+H16+C16</f>
        <v>59</v>
      </c>
      <c r="T16" s="84">
        <f t="shared" si="40"/>
        <v>44</v>
      </c>
      <c r="U16" s="225">
        <f t="shared" ref="U16:U18" si="46">sum(R16:T16)</f>
        <v>119</v>
      </c>
      <c r="V16" s="86">
        <f t="shared" ref="V16:V18" si="47">P16+K16+F16</f>
        <v>104</v>
      </c>
      <c r="W16" s="226">
        <f t="shared" ref="W16:W18" si="48">V16-U16</f>
        <v>-15</v>
      </c>
      <c r="X16" s="46">
        <f t="shared" ref="X16:X18" si="49">T16+S16</f>
        <v>103</v>
      </c>
      <c r="Y16" s="84">
        <f t="shared" ref="Y16:Y18" si="50">V16</f>
        <v>104</v>
      </c>
      <c r="Z16" s="227">
        <f t="shared" ref="Z16:Z18" si="51">(S16+T16)/V16</f>
        <v>0.9903846154</v>
      </c>
      <c r="AA16" s="119">
        <v>45838.0</v>
      </c>
      <c r="AB16" s="99" t="s">
        <v>81</v>
      </c>
      <c r="AO16" s="36"/>
      <c r="AP16" s="36"/>
      <c r="AQ16" s="36"/>
      <c r="AR16" s="36"/>
      <c r="AS16" s="36"/>
      <c r="AT16" s="36"/>
      <c r="AU16" s="36"/>
      <c r="AV16" s="36"/>
      <c r="AW16" s="36"/>
      <c r="AX16" s="36"/>
    </row>
    <row r="17">
      <c r="A17" s="62" t="s">
        <v>57</v>
      </c>
      <c r="B17" s="223">
        <f>'2025 - Q1'!U17-'2025 - Q1'!V17</f>
        <v>-2</v>
      </c>
      <c r="C17" s="84">
        <v>25.0</v>
      </c>
      <c r="D17" s="84">
        <v>5.0</v>
      </c>
      <c r="E17" s="70">
        <f t="shared" si="41"/>
        <v>30</v>
      </c>
      <c r="F17" s="72">
        <v>27.0</v>
      </c>
      <c r="G17" s="76">
        <f t="shared" si="3"/>
        <v>1.111111111</v>
      </c>
      <c r="H17" s="48">
        <v>27.0</v>
      </c>
      <c r="I17" s="48">
        <v>4.0</v>
      </c>
      <c r="J17" s="70">
        <f t="shared" si="42"/>
        <v>31</v>
      </c>
      <c r="K17" s="72">
        <v>29.0</v>
      </c>
      <c r="L17" s="76">
        <f t="shared" si="5"/>
        <v>1.068965517</v>
      </c>
      <c r="M17" s="48">
        <v>44.0</v>
      </c>
      <c r="N17" s="48"/>
      <c r="O17" s="70">
        <f t="shared" si="43"/>
        <v>44</v>
      </c>
      <c r="P17" s="72">
        <v>36.0</v>
      </c>
      <c r="Q17" s="76">
        <f t="shared" si="7"/>
        <v>1.222222222</v>
      </c>
      <c r="R17" s="224">
        <f t="shared" si="44"/>
        <v>-2</v>
      </c>
      <c r="S17" s="84">
        <f t="shared" ref="S17:T17" si="45">M17+H17+C17</f>
        <v>96</v>
      </c>
      <c r="T17" s="84">
        <f t="shared" si="45"/>
        <v>9</v>
      </c>
      <c r="U17" s="225">
        <f t="shared" si="46"/>
        <v>103</v>
      </c>
      <c r="V17" s="86">
        <f t="shared" si="47"/>
        <v>92</v>
      </c>
      <c r="W17" s="226">
        <f t="shared" si="48"/>
        <v>-11</v>
      </c>
      <c r="X17" s="46">
        <f t="shared" si="49"/>
        <v>105</v>
      </c>
      <c r="Y17" s="84">
        <f t="shared" si="50"/>
        <v>92</v>
      </c>
      <c r="Z17" s="227">
        <f t="shared" si="51"/>
        <v>1.141304348</v>
      </c>
      <c r="AA17" s="119">
        <v>45838.0</v>
      </c>
      <c r="AB17" s="99" t="s">
        <v>81</v>
      </c>
      <c r="AO17" s="36"/>
      <c r="AP17" s="36"/>
      <c r="AQ17" s="36"/>
      <c r="AR17" s="36"/>
      <c r="AS17" s="36"/>
      <c r="AT17" s="36"/>
      <c r="AU17" s="36"/>
      <c r="AV17" s="36"/>
      <c r="AW17" s="36"/>
      <c r="AX17" s="36"/>
    </row>
    <row r="18">
      <c r="A18" s="62" t="s">
        <v>58</v>
      </c>
      <c r="B18" s="223">
        <f>'2025 - Q1'!U18-'2025 - Q1'!V18</f>
        <v>15</v>
      </c>
      <c r="C18" s="84">
        <v>9.0</v>
      </c>
      <c r="D18" s="84"/>
      <c r="E18" s="70">
        <f t="shared" si="41"/>
        <v>9</v>
      </c>
      <c r="F18" s="72">
        <v>12.0</v>
      </c>
      <c r="G18" s="76">
        <f t="shared" si="3"/>
        <v>0.75</v>
      </c>
      <c r="H18" s="48">
        <v>9.0</v>
      </c>
      <c r="I18" s="48">
        <v>0.0</v>
      </c>
      <c r="J18" s="70">
        <f t="shared" si="42"/>
        <v>9</v>
      </c>
      <c r="K18" s="72">
        <v>11.0</v>
      </c>
      <c r="L18" s="76">
        <f t="shared" si="5"/>
        <v>0.8181818182</v>
      </c>
      <c r="M18" s="48">
        <v>17.0</v>
      </c>
      <c r="N18" s="48"/>
      <c r="O18" s="70">
        <f t="shared" si="43"/>
        <v>17</v>
      </c>
      <c r="P18" s="72">
        <v>13.0</v>
      </c>
      <c r="Q18" s="76">
        <f t="shared" si="7"/>
        <v>1.307692308</v>
      </c>
      <c r="R18" s="224">
        <f t="shared" si="44"/>
        <v>15</v>
      </c>
      <c r="S18" s="84">
        <f t="shared" ref="S18:T18" si="52">M18+H18+C18</f>
        <v>35</v>
      </c>
      <c r="T18" s="84">
        <f t="shared" si="52"/>
        <v>0</v>
      </c>
      <c r="U18" s="225">
        <f t="shared" si="46"/>
        <v>50</v>
      </c>
      <c r="V18" s="86">
        <f t="shared" si="47"/>
        <v>36</v>
      </c>
      <c r="W18" s="226">
        <f t="shared" si="48"/>
        <v>-14</v>
      </c>
      <c r="X18" s="46">
        <f t="shared" si="49"/>
        <v>35</v>
      </c>
      <c r="Y18" s="84">
        <f t="shared" si="50"/>
        <v>36</v>
      </c>
      <c r="Z18" s="227">
        <f t="shared" si="51"/>
        <v>0.9722222222</v>
      </c>
      <c r="AA18" s="119">
        <v>45838.0</v>
      </c>
      <c r="AB18" s="99" t="s">
        <v>81</v>
      </c>
      <c r="AO18" s="36"/>
      <c r="AP18" s="36"/>
      <c r="AQ18" s="36"/>
      <c r="AR18" s="36"/>
      <c r="AS18" s="36"/>
      <c r="AT18" s="36"/>
      <c r="AU18" s="36"/>
      <c r="AV18" s="36"/>
      <c r="AW18" s="36"/>
      <c r="AX18" s="36"/>
    </row>
    <row r="19">
      <c r="A19" s="112" t="s">
        <v>59</v>
      </c>
      <c r="B19" s="100">
        <f t="shared" ref="B19:F19" si="53">sum(B16:B18)</f>
        <v>29</v>
      </c>
      <c r="C19" s="95">
        <f t="shared" si="53"/>
        <v>57</v>
      </c>
      <c r="D19" s="95">
        <f t="shared" si="53"/>
        <v>18</v>
      </c>
      <c r="E19" s="95">
        <f t="shared" si="53"/>
        <v>75</v>
      </c>
      <c r="F19" s="95">
        <f t="shared" si="53"/>
        <v>67</v>
      </c>
      <c r="G19" s="114">
        <f t="shared" si="3"/>
        <v>1.119402985</v>
      </c>
      <c r="H19" s="95">
        <f t="shared" ref="H19:K19" si="54">sum(H16:H18)</f>
        <v>50</v>
      </c>
      <c r="I19" s="95">
        <f t="shared" si="54"/>
        <v>20</v>
      </c>
      <c r="J19" s="95">
        <f t="shared" si="54"/>
        <v>70</v>
      </c>
      <c r="K19" s="95">
        <f t="shared" si="54"/>
        <v>74</v>
      </c>
      <c r="L19" s="114">
        <f t="shared" si="5"/>
        <v>0.9459459459</v>
      </c>
      <c r="M19" s="95">
        <f t="shared" ref="M19:P19" si="55">sum(M16:M18)</f>
        <v>83</v>
      </c>
      <c r="N19" s="95">
        <f t="shared" si="55"/>
        <v>15</v>
      </c>
      <c r="O19" s="95">
        <f t="shared" si="55"/>
        <v>98</v>
      </c>
      <c r="P19" s="95">
        <f t="shared" si="55"/>
        <v>91</v>
      </c>
      <c r="Q19" s="114">
        <f t="shared" si="7"/>
        <v>1.076923077</v>
      </c>
      <c r="R19" s="100">
        <f t="shared" ref="R19:Y19" si="56">sum(R16:R18)</f>
        <v>29</v>
      </c>
      <c r="S19" s="95">
        <f t="shared" si="56"/>
        <v>190</v>
      </c>
      <c r="T19" s="95">
        <f t="shared" si="56"/>
        <v>53</v>
      </c>
      <c r="U19" s="100">
        <f t="shared" si="56"/>
        <v>272</v>
      </c>
      <c r="V19" s="115">
        <f t="shared" si="56"/>
        <v>232</v>
      </c>
      <c r="W19" s="231">
        <f t="shared" si="56"/>
        <v>-40</v>
      </c>
      <c r="X19" s="116">
        <f t="shared" si="56"/>
        <v>243</v>
      </c>
      <c r="Y19" s="95">
        <f t="shared" si="56"/>
        <v>232</v>
      </c>
      <c r="Z19" s="232">
        <f>X19/Y19</f>
        <v>1.047413793</v>
      </c>
      <c r="AB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</row>
    <row r="20">
      <c r="A20" s="112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37"/>
      <c r="W20" s="121"/>
      <c r="X20" s="138"/>
      <c r="Y20" s="139"/>
      <c r="Z20" s="233"/>
      <c r="AB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</row>
    <row r="21">
      <c r="A21" s="14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37"/>
      <c r="W21" s="121"/>
      <c r="X21" s="138"/>
      <c r="Y21" s="139"/>
      <c r="Z21" s="233"/>
      <c r="AB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</row>
    <row r="22">
      <c r="A22" s="143" t="s">
        <v>13</v>
      </c>
      <c r="B22" s="144">
        <f t="shared" ref="B22:F22" si="57">B19+B15+B10</f>
        <v>39</v>
      </c>
      <c r="C22" s="144">
        <f t="shared" si="57"/>
        <v>234</v>
      </c>
      <c r="D22" s="144">
        <f t="shared" si="57"/>
        <v>20</v>
      </c>
      <c r="E22" s="144">
        <f t="shared" si="57"/>
        <v>254</v>
      </c>
      <c r="F22" s="144">
        <f t="shared" si="57"/>
        <v>314</v>
      </c>
      <c r="G22" s="146">
        <f>E22/F22</f>
        <v>0.8089171975</v>
      </c>
      <c r="H22" s="144">
        <f t="shared" ref="H22:K22" si="58">H19+H15+H10</f>
        <v>285</v>
      </c>
      <c r="I22" s="144">
        <f t="shared" si="58"/>
        <v>24</v>
      </c>
      <c r="J22" s="144">
        <f t="shared" si="58"/>
        <v>309</v>
      </c>
      <c r="K22" s="144">
        <f t="shared" si="58"/>
        <v>358</v>
      </c>
      <c r="L22" s="146">
        <f>J22/K22</f>
        <v>0.8631284916</v>
      </c>
      <c r="M22" s="144">
        <f t="shared" ref="M22:P22" si="59">M19+M15+M10</f>
        <v>395</v>
      </c>
      <c r="N22" s="144">
        <f t="shared" si="59"/>
        <v>17</v>
      </c>
      <c r="O22" s="144">
        <f t="shared" si="59"/>
        <v>412</v>
      </c>
      <c r="P22" s="144">
        <f t="shared" si="59"/>
        <v>442</v>
      </c>
      <c r="Q22" s="146">
        <f>O22/P22</f>
        <v>0.9321266968</v>
      </c>
      <c r="R22" s="144">
        <f t="shared" ref="R22:Y22" si="60">R19+R15+R10</f>
        <v>39</v>
      </c>
      <c r="S22" s="144">
        <f t="shared" si="60"/>
        <v>914</v>
      </c>
      <c r="T22" s="144">
        <f t="shared" si="60"/>
        <v>61</v>
      </c>
      <c r="U22" s="144">
        <f t="shared" si="60"/>
        <v>1014</v>
      </c>
      <c r="V22" s="150">
        <f t="shared" si="60"/>
        <v>1114</v>
      </c>
      <c r="W22" s="153">
        <f t="shared" si="60"/>
        <v>100</v>
      </c>
      <c r="X22" s="153">
        <f t="shared" si="60"/>
        <v>975</v>
      </c>
      <c r="Y22" s="144">
        <f t="shared" si="60"/>
        <v>1114</v>
      </c>
      <c r="Z22" s="238">
        <f>(S22+T22)/V22</f>
        <v>0.8752244165</v>
      </c>
      <c r="AB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</row>
    <row r="23">
      <c r="AO23" s="36"/>
      <c r="AP23" s="36"/>
      <c r="AQ23" s="36"/>
      <c r="AR23" s="36"/>
      <c r="AS23" s="36"/>
      <c r="AT23" s="36"/>
      <c r="AU23" s="36"/>
      <c r="AV23" s="36"/>
      <c r="AW23" s="36"/>
      <c r="AX23" s="36"/>
    </row>
    <row r="24">
      <c r="U24" s="239">
        <f>U22/V22</f>
        <v>0.9102333932</v>
      </c>
      <c r="X24" s="131">
        <f>1114-200+111</f>
        <v>1025</v>
      </c>
      <c r="Y24" s="69">
        <f>Y22-X22</f>
        <v>139</v>
      </c>
      <c r="AO24" s="36"/>
      <c r="AP24" s="36"/>
      <c r="AQ24" s="36"/>
      <c r="AR24" s="36"/>
      <c r="AS24" s="36"/>
      <c r="AT24" s="36"/>
      <c r="AU24" s="36"/>
      <c r="AV24" s="36"/>
      <c r="AW24" s="36"/>
      <c r="AX24" s="36"/>
    </row>
    <row r="25">
      <c r="A25" s="202" t="s">
        <v>113</v>
      </c>
      <c r="B25" s="15"/>
      <c r="C25" s="15"/>
      <c r="D25" s="15"/>
      <c r="E25" s="15"/>
      <c r="F25" s="15"/>
      <c r="G25" s="21"/>
      <c r="AO25" s="36"/>
      <c r="AP25" s="36"/>
      <c r="AQ25" s="36"/>
      <c r="AR25" s="36"/>
      <c r="AS25" s="36"/>
      <c r="AT25" s="36"/>
      <c r="AU25" s="36"/>
      <c r="AV25" s="36"/>
      <c r="AW25" s="36"/>
      <c r="AX25" s="36"/>
    </row>
    <row r="26">
      <c r="A26" s="25"/>
      <c r="G26" s="41"/>
      <c r="AO26" s="36"/>
      <c r="AP26" s="36"/>
      <c r="AQ26" s="36"/>
      <c r="AR26" s="36"/>
      <c r="AS26" s="36"/>
      <c r="AT26" s="36"/>
      <c r="AU26" s="36"/>
      <c r="AV26" s="36"/>
      <c r="AW26" s="36"/>
      <c r="AX26" s="36"/>
    </row>
    <row r="27">
      <c r="A27" s="43"/>
      <c r="B27" s="179" t="s">
        <v>26</v>
      </c>
      <c r="C27" s="179" t="s">
        <v>27</v>
      </c>
      <c r="D27" s="179" t="s">
        <v>86</v>
      </c>
      <c r="F27" s="179" t="s">
        <v>87</v>
      </c>
      <c r="G27" s="41"/>
      <c r="AO27" s="36"/>
      <c r="AP27" s="36"/>
      <c r="AQ27" s="36"/>
      <c r="AR27" s="36"/>
      <c r="AS27" s="36"/>
      <c r="AT27" s="36"/>
      <c r="AU27" s="36"/>
      <c r="AV27" s="36"/>
      <c r="AW27" s="36"/>
      <c r="AX27" s="36"/>
    </row>
    <row r="28">
      <c r="A28" s="46" t="s">
        <v>22</v>
      </c>
      <c r="B28" s="70"/>
      <c r="C28" s="72">
        <v>2.0</v>
      </c>
      <c r="D28" s="205">
        <f t="shared" ref="D28:D31" si="61">C28-B28</f>
        <v>2</v>
      </c>
      <c r="F28" s="205">
        <v>0.0</v>
      </c>
      <c r="G28" s="41"/>
      <c r="AO28" s="36"/>
      <c r="AP28" s="36"/>
      <c r="AQ28" s="36"/>
      <c r="AR28" s="36"/>
      <c r="AS28" s="36"/>
      <c r="AT28" s="36"/>
      <c r="AU28" s="36"/>
      <c r="AV28" s="36"/>
      <c r="AW28" s="36"/>
      <c r="AX28" s="36"/>
    </row>
    <row r="29">
      <c r="A29" s="46" t="s">
        <v>36</v>
      </c>
      <c r="B29" s="70"/>
      <c r="C29" s="72">
        <v>2.0</v>
      </c>
      <c r="D29" s="205">
        <f t="shared" si="61"/>
        <v>2</v>
      </c>
      <c r="F29" s="205">
        <v>0.0</v>
      </c>
      <c r="G29" s="41"/>
      <c r="AO29" s="36"/>
      <c r="AP29" s="36"/>
      <c r="AQ29" s="36"/>
      <c r="AR29" s="36"/>
      <c r="AS29" s="36"/>
      <c r="AT29" s="36"/>
      <c r="AU29" s="36"/>
      <c r="AV29" s="36"/>
      <c r="AW29" s="36"/>
      <c r="AX29" s="36"/>
    </row>
    <row r="30">
      <c r="A30" s="46" t="s">
        <v>40</v>
      </c>
      <c r="B30" s="70"/>
      <c r="C30" s="72">
        <v>2.0</v>
      </c>
      <c r="D30" s="205">
        <f t="shared" si="61"/>
        <v>2</v>
      </c>
      <c r="F30" s="205">
        <v>0.0</v>
      </c>
      <c r="G30" s="41"/>
    </row>
    <row r="31">
      <c r="A31" s="46" t="s">
        <v>41</v>
      </c>
      <c r="B31" s="70">
        <v>4.0</v>
      </c>
      <c r="C31" s="72">
        <v>2.0</v>
      </c>
      <c r="D31" s="205">
        <f t="shared" si="61"/>
        <v>-2</v>
      </c>
      <c r="F31" s="205">
        <v>0.0</v>
      </c>
      <c r="G31" s="41"/>
    </row>
    <row r="32">
      <c r="A32" s="94" t="s">
        <v>44</v>
      </c>
      <c r="B32" s="100">
        <f t="shared" ref="B32:D32" si="62">sum(B28:B31)</f>
        <v>4</v>
      </c>
      <c r="C32" s="100">
        <f t="shared" si="62"/>
        <v>8</v>
      </c>
      <c r="D32" s="100">
        <f t="shared" si="62"/>
        <v>4</v>
      </c>
      <c r="F32" s="100">
        <f>sum(F28:F31)</f>
        <v>0</v>
      </c>
      <c r="G32" s="41"/>
    </row>
    <row r="33">
      <c r="A33" s="46"/>
      <c r="B33" s="76"/>
      <c r="C33" s="76"/>
      <c r="D33" s="76"/>
      <c r="F33" s="76"/>
      <c r="G33" s="41"/>
    </row>
    <row r="34">
      <c r="A34" s="46" t="s">
        <v>47</v>
      </c>
      <c r="B34" s="70">
        <v>3.0</v>
      </c>
      <c r="C34" s="72">
        <v>2.0</v>
      </c>
      <c r="D34" s="205">
        <f t="shared" ref="D34:D37" si="63">C34-B34</f>
        <v>-1</v>
      </c>
      <c r="F34" s="205">
        <v>0.0</v>
      </c>
      <c r="G34" s="41"/>
    </row>
    <row r="35">
      <c r="A35" s="46" t="s">
        <v>51</v>
      </c>
      <c r="B35" s="70">
        <v>1.0</v>
      </c>
      <c r="C35" s="72">
        <v>2.0</v>
      </c>
      <c r="D35" s="205">
        <f t="shared" si="63"/>
        <v>1</v>
      </c>
      <c r="F35" s="205">
        <v>0.0</v>
      </c>
      <c r="G35" s="41"/>
    </row>
    <row r="36">
      <c r="A36" s="46" t="s">
        <v>52</v>
      </c>
      <c r="B36" s="70"/>
      <c r="C36" s="72">
        <v>2.0</v>
      </c>
      <c r="D36" s="205">
        <f t="shared" si="63"/>
        <v>2</v>
      </c>
      <c r="F36" s="205">
        <v>0.0</v>
      </c>
      <c r="G36" s="41"/>
    </row>
    <row r="37">
      <c r="A37" s="46" t="s">
        <v>53</v>
      </c>
      <c r="B37" s="70">
        <v>1.0</v>
      </c>
      <c r="C37" s="72">
        <v>2.0</v>
      </c>
      <c r="D37" s="205">
        <f t="shared" si="63"/>
        <v>1</v>
      </c>
      <c r="F37" s="205">
        <v>0.0</v>
      </c>
      <c r="G37" s="41"/>
    </row>
    <row r="38">
      <c r="A38" s="94" t="s">
        <v>54</v>
      </c>
      <c r="B38" s="100">
        <f t="shared" ref="B38:D38" si="64">sum(B34:B37)</f>
        <v>5</v>
      </c>
      <c r="C38" s="100">
        <f t="shared" si="64"/>
        <v>8</v>
      </c>
      <c r="D38" s="100">
        <f t="shared" si="64"/>
        <v>3</v>
      </c>
      <c r="F38" s="100">
        <f>sum(F34:F37)</f>
        <v>0</v>
      </c>
      <c r="G38" s="41"/>
    </row>
    <row r="39">
      <c r="A39" s="46"/>
      <c r="B39" s="76"/>
      <c r="C39" s="76"/>
      <c r="D39" s="76"/>
      <c r="F39" s="76"/>
      <c r="G39" s="41"/>
    </row>
    <row r="40">
      <c r="A40" s="46" t="s">
        <v>55</v>
      </c>
      <c r="B40" s="70"/>
      <c r="C40" s="72">
        <v>3.0</v>
      </c>
      <c r="D40" s="205">
        <f t="shared" ref="D40:D42" si="65">C40-B40</f>
        <v>3</v>
      </c>
      <c r="F40" s="205">
        <v>0.0</v>
      </c>
      <c r="G40" s="41"/>
    </row>
    <row r="41">
      <c r="A41" s="46" t="s">
        <v>57</v>
      </c>
      <c r="B41" s="70">
        <v>3.0</v>
      </c>
      <c r="C41" s="72">
        <v>2.0</v>
      </c>
      <c r="D41" s="205">
        <f t="shared" si="65"/>
        <v>-1</v>
      </c>
      <c r="F41" s="205">
        <v>0.0</v>
      </c>
      <c r="G41" s="41"/>
    </row>
    <row r="42">
      <c r="A42" s="46" t="s">
        <v>58</v>
      </c>
      <c r="B42" s="70"/>
      <c r="C42" s="72">
        <v>1.0</v>
      </c>
      <c r="D42" s="205">
        <f t="shared" si="65"/>
        <v>1</v>
      </c>
      <c r="F42" s="205">
        <v>0.0</v>
      </c>
      <c r="G42" s="41"/>
    </row>
    <row r="43">
      <c r="A43" s="94" t="s">
        <v>59</v>
      </c>
      <c r="B43" s="100">
        <f t="shared" ref="B43:D43" si="66">sum(B40:B42)</f>
        <v>3</v>
      </c>
      <c r="C43" s="100">
        <f t="shared" si="66"/>
        <v>6</v>
      </c>
      <c r="D43" s="100">
        <f t="shared" si="66"/>
        <v>3</v>
      </c>
      <c r="F43" s="100">
        <f>sum(F40:F42)</f>
        <v>0</v>
      </c>
      <c r="G43" s="41"/>
    </row>
    <row r="44">
      <c r="A44" s="94"/>
      <c r="B44" s="120"/>
      <c r="C44" s="120"/>
      <c r="D44" s="120"/>
      <c r="F44" s="120"/>
      <c r="G44" s="41"/>
    </row>
    <row r="45">
      <c r="A45" s="94"/>
      <c r="B45" s="114"/>
      <c r="C45" s="114"/>
      <c r="D45" s="114"/>
      <c r="F45" s="114"/>
      <c r="G45" s="41"/>
    </row>
    <row r="46">
      <c r="A46" s="94" t="s">
        <v>13</v>
      </c>
      <c r="B46" s="100">
        <f t="shared" ref="B46:D46" si="67">B43+B38+B32</f>
        <v>12</v>
      </c>
      <c r="C46" s="100">
        <f t="shared" si="67"/>
        <v>22</v>
      </c>
      <c r="D46" s="100">
        <f t="shared" si="67"/>
        <v>10</v>
      </c>
      <c r="F46" s="100">
        <f>F43+F38+F32</f>
        <v>0</v>
      </c>
      <c r="G46" s="41"/>
    </row>
    <row r="47">
      <c r="A47" s="208"/>
      <c r="B47" s="209"/>
      <c r="C47" s="209"/>
      <c r="D47" s="209"/>
      <c r="E47" s="209"/>
      <c r="F47" s="209"/>
      <c r="G47" s="210"/>
    </row>
    <row r="49">
      <c r="A49" s="196" t="s">
        <v>63</v>
      </c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2"/>
      <c r="U49" s="18" t="s">
        <v>2</v>
      </c>
      <c r="V49" s="160" t="s">
        <v>3</v>
      </c>
    </row>
    <row r="50">
      <c r="A50" s="39"/>
      <c r="B50" s="194"/>
      <c r="C50" s="163" t="str">
        <f>C4</f>
        <v>APRIL</v>
      </c>
      <c r="D50" s="30"/>
      <c r="E50" s="30"/>
      <c r="F50" s="30"/>
      <c r="G50" s="163" t="str">
        <f>H4</f>
        <v>MAY</v>
      </c>
      <c r="H50" s="30"/>
      <c r="I50" s="30"/>
      <c r="J50" s="30"/>
      <c r="K50" s="163" t="str">
        <f>M4</f>
        <v>JUNE</v>
      </c>
      <c r="L50" s="30"/>
      <c r="M50" s="30"/>
      <c r="N50" s="30"/>
      <c r="O50" s="36"/>
      <c r="P50" s="178"/>
      <c r="Q50" s="164" t="s">
        <v>13</v>
      </c>
      <c r="R50" s="30"/>
      <c r="S50" s="30"/>
      <c r="T50" s="42"/>
      <c r="V50" s="36"/>
    </row>
    <row r="51">
      <c r="A51" s="43"/>
      <c r="B51" s="194"/>
      <c r="C51" s="179" t="s">
        <v>64</v>
      </c>
      <c r="D51" s="179" t="s">
        <v>65</v>
      </c>
      <c r="E51" s="179" t="s">
        <v>26</v>
      </c>
      <c r="F51" s="179" t="s">
        <v>66</v>
      </c>
      <c r="G51" s="179" t="s">
        <v>64</v>
      </c>
      <c r="H51" s="179" t="s">
        <v>65</v>
      </c>
      <c r="I51" s="179" t="s">
        <v>26</v>
      </c>
      <c r="J51" s="179" t="s">
        <v>66</v>
      </c>
      <c r="K51" s="179" t="s">
        <v>64</v>
      </c>
      <c r="L51" s="179" t="s">
        <v>65</v>
      </c>
      <c r="M51" s="179" t="s">
        <v>26</v>
      </c>
      <c r="N51" s="179" t="s">
        <v>66</v>
      </c>
      <c r="O51" s="211"/>
      <c r="P51" s="179"/>
      <c r="Q51" s="179" t="s">
        <v>64</v>
      </c>
      <c r="R51" s="179" t="s">
        <v>65</v>
      </c>
      <c r="S51" s="179" t="s">
        <v>26</v>
      </c>
      <c r="T51" s="181" t="s">
        <v>66</v>
      </c>
      <c r="V51" s="36"/>
    </row>
    <row r="52">
      <c r="A52" s="156" t="s">
        <v>22</v>
      </c>
      <c r="B52" s="194"/>
      <c r="C52" s="48">
        <v>53.0</v>
      </c>
      <c r="D52" s="48">
        <v>0.0</v>
      </c>
      <c r="E52" s="70">
        <f>SUM(C52:D52)</f>
        <v>53</v>
      </c>
      <c r="F52" s="72">
        <v>114.0</v>
      </c>
      <c r="G52" s="158">
        <v>99.0</v>
      </c>
      <c r="H52" s="48"/>
      <c r="I52" s="70">
        <f>SUM(G52:H52)</f>
        <v>99</v>
      </c>
      <c r="J52" s="72">
        <v>129.0</v>
      </c>
      <c r="K52" s="158">
        <v>103.0</v>
      </c>
      <c r="L52" s="48">
        <v>57.0</v>
      </c>
      <c r="M52" s="70">
        <f>SUM(K52:L52)</f>
        <v>160</v>
      </c>
      <c r="N52" s="72">
        <v>155.0</v>
      </c>
      <c r="O52" s="120"/>
      <c r="P52" s="83" t="str">
        <f t="shared" ref="P52:P58" si="70">B52</f>
        <v/>
      </c>
      <c r="Q52" s="84">
        <f t="shared" ref="Q52:R52" si="68">K52+G52+C52</f>
        <v>255</v>
      </c>
      <c r="R52" s="84">
        <f t="shared" si="68"/>
        <v>57</v>
      </c>
      <c r="S52" s="70">
        <f>sum(P52:R52)</f>
        <v>312</v>
      </c>
      <c r="T52" s="86">
        <f>N52+J52+F52</f>
        <v>398</v>
      </c>
      <c r="U52" s="98">
        <v>45831.0</v>
      </c>
      <c r="V52" s="99" t="s">
        <v>46</v>
      </c>
    </row>
    <row r="53">
      <c r="A53" s="161" t="s">
        <v>44</v>
      </c>
      <c r="B53" s="194"/>
      <c r="C53" s="95">
        <f t="shared" ref="C53:N53" si="69">sum(C52)</f>
        <v>53</v>
      </c>
      <c r="D53" s="95">
        <f t="shared" si="69"/>
        <v>0</v>
      </c>
      <c r="E53" s="95">
        <f t="shared" si="69"/>
        <v>53</v>
      </c>
      <c r="F53" s="95">
        <f t="shared" si="69"/>
        <v>114</v>
      </c>
      <c r="G53" s="95">
        <f t="shared" si="69"/>
        <v>99</v>
      </c>
      <c r="H53" s="95">
        <f t="shared" si="69"/>
        <v>0</v>
      </c>
      <c r="I53" s="95">
        <f t="shared" si="69"/>
        <v>99</v>
      </c>
      <c r="J53" s="95">
        <f t="shared" si="69"/>
        <v>129</v>
      </c>
      <c r="K53" s="95">
        <f t="shared" si="69"/>
        <v>103</v>
      </c>
      <c r="L53" s="95">
        <f t="shared" si="69"/>
        <v>57</v>
      </c>
      <c r="M53" s="95">
        <f t="shared" si="69"/>
        <v>160</v>
      </c>
      <c r="N53" s="95">
        <f t="shared" si="69"/>
        <v>155</v>
      </c>
      <c r="O53" s="120"/>
      <c r="P53" s="83" t="str">
        <f t="shared" si="70"/>
        <v/>
      </c>
      <c r="Q53" s="95">
        <f t="shared" ref="Q53:T53" si="71">sum(Q52)</f>
        <v>255</v>
      </c>
      <c r="R53" s="95">
        <f t="shared" si="71"/>
        <v>57</v>
      </c>
      <c r="S53" s="95">
        <f t="shared" si="71"/>
        <v>312</v>
      </c>
      <c r="T53" s="115">
        <f t="shared" si="71"/>
        <v>398</v>
      </c>
      <c r="V53" s="36"/>
    </row>
    <row r="54">
      <c r="A54" s="156" t="s">
        <v>51</v>
      </c>
      <c r="B54" s="194"/>
      <c r="C54" s="48">
        <v>60.0</v>
      </c>
      <c r="D54" s="84"/>
      <c r="E54" s="70">
        <f>SUM(C54:D54)</f>
        <v>60</v>
      </c>
      <c r="F54" s="72">
        <v>20.0</v>
      </c>
      <c r="G54" s="158">
        <v>50.0</v>
      </c>
      <c r="H54" s="84">
        <v>0.0</v>
      </c>
      <c r="I54" s="70">
        <f>SUM(G54:H54)</f>
        <v>50</v>
      </c>
      <c r="J54" s="72">
        <v>30.0</v>
      </c>
      <c r="K54" s="158">
        <v>6.0</v>
      </c>
      <c r="L54" s="84">
        <v>46.0</v>
      </c>
      <c r="M54" s="70">
        <f>SUM(K54:L54)</f>
        <v>52</v>
      </c>
      <c r="N54" s="72">
        <v>37.0</v>
      </c>
      <c r="O54" s="120"/>
      <c r="P54" s="83" t="str">
        <f t="shared" si="70"/>
        <v/>
      </c>
      <c r="Q54" s="84">
        <f>K54+G54+O58+C54</f>
        <v>116</v>
      </c>
      <c r="R54" s="84">
        <f>L54+H54+D54</f>
        <v>46</v>
      </c>
      <c r="S54" s="70">
        <f>sum(P54:R54)</f>
        <v>162</v>
      </c>
      <c r="T54" s="86">
        <f>N54+J54+F54</f>
        <v>87</v>
      </c>
      <c r="U54" s="217">
        <v>45824.0</v>
      </c>
      <c r="V54" s="99" t="s">
        <v>56</v>
      </c>
    </row>
    <row r="55">
      <c r="A55" s="161" t="s">
        <v>54</v>
      </c>
      <c r="B55" s="194"/>
      <c r="C55" s="95">
        <f t="shared" ref="C55:N55" si="72">sum(C54)</f>
        <v>60</v>
      </c>
      <c r="D55" s="95">
        <f t="shared" si="72"/>
        <v>0</v>
      </c>
      <c r="E55" s="95">
        <f t="shared" si="72"/>
        <v>60</v>
      </c>
      <c r="F55" s="95">
        <f t="shared" si="72"/>
        <v>20</v>
      </c>
      <c r="G55" s="95">
        <f t="shared" si="72"/>
        <v>50</v>
      </c>
      <c r="H55" s="95">
        <f t="shared" si="72"/>
        <v>0</v>
      </c>
      <c r="I55" s="95">
        <f t="shared" si="72"/>
        <v>50</v>
      </c>
      <c r="J55" s="95">
        <f t="shared" si="72"/>
        <v>30</v>
      </c>
      <c r="K55" s="95">
        <f t="shared" si="72"/>
        <v>6</v>
      </c>
      <c r="L55" s="95">
        <f t="shared" si="72"/>
        <v>46</v>
      </c>
      <c r="M55" s="95">
        <f t="shared" si="72"/>
        <v>52</v>
      </c>
      <c r="N55" s="95">
        <f t="shared" si="72"/>
        <v>37</v>
      </c>
      <c r="O55" s="120"/>
      <c r="P55" s="83" t="str">
        <f t="shared" si="70"/>
        <v/>
      </c>
      <c r="Q55" s="95">
        <f t="shared" ref="Q55:T55" si="73">sum(Q54)</f>
        <v>116</v>
      </c>
      <c r="R55" s="95">
        <f t="shared" si="73"/>
        <v>46</v>
      </c>
      <c r="S55" s="95">
        <f t="shared" si="73"/>
        <v>162</v>
      </c>
      <c r="T55" s="115">
        <f t="shared" si="73"/>
        <v>87</v>
      </c>
      <c r="V55" s="36"/>
    </row>
    <row r="56">
      <c r="A56" s="156" t="s">
        <v>55</v>
      </c>
      <c r="B56" s="194"/>
      <c r="C56" s="48">
        <v>53.0</v>
      </c>
      <c r="D56" s="84">
        <v>0.0</v>
      </c>
      <c r="E56" s="70">
        <f>SUM(C56:D56)</f>
        <v>53</v>
      </c>
      <c r="F56" s="72">
        <v>25.0</v>
      </c>
      <c r="G56" s="158">
        <v>45.0</v>
      </c>
      <c r="H56" s="84">
        <v>0.0</v>
      </c>
      <c r="I56" s="70">
        <f>SUM(G56:H56)</f>
        <v>45</v>
      </c>
      <c r="J56" s="72">
        <v>38.0</v>
      </c>
      <c r="K56" s="158">
        <v>46.0</v>
      </c>
      <c r="L56" s="84">
        <v>0.0</v>
      </c>
      <c r="M56" s="70">
        <f>SUM(K56:L56)</f>
        <v>46</v>
      </c>
      <c r="N56" s="72">
        <v>61.0</v>
      </c>
      <c r="O56" s="120"/>
      <c r="P56" s="83" t="str">
        <f t="shared" si="70"/>
        <v/>
      </c>
      <c r="Q56" s="84">
        <f t="shared" ref="Q56:R56" si="74">K56+G56+C56</f>
        <v>144</v>
      </c>
      <c r="R56" s="84">
        <f t="shared" si="74"/>
        <v>0</v>
      </c>
      <c r="S56" s="70">
        <f>sum(P56:R56)</f>
        <v>144</v>
      </c>
      <c r="T56" s="86">
        <f>N56+J56+F56</f>
        <v>124</v>
      </c>
      <c r="U56" s="119">
        <v>45838.0</v>
      </c>
      <c r="V56" s="99" t="s">
        <v>81</v>
      </c>
    </row>
    <row r="57">
      <c r="A57" s="161"/>
      <c r="B57" s="194"/>
      <c r="C57" s="95">
        <f t="shared" ref="C57:N57" si="75">sum(C56)</f>
        <v>53</v>
      </c>
      <c r="D57" s="95">
        <f t="shared" si="75"/>
        <v>0</v>
      </c>
      <c r="E57" s="95">
        <f t="shared" si="75"/>
        <v>53</v>
      </c>
      <c r="F57" s="95">
        <f t="shared" si="75"/>
        <v>25</v>
      </c>
      <c r="G57" s="95">
        <f t="shared" si="75"/>
        <v>45</v>
      </c>
      <c r="H57" s="95">
        <f t="shared" si="75"/>
        <v>0</v>
      </c>
      <c r="I57" s="95">
        <f t="shared" si="75"/>
        <v>45</v>
      </c>
      <c r="J57" s="95">
        <f t="shared" si="75"/>
        <v>38</v>
      </c>
      <c r="K57" s="95">
        <f t="shared" si="75"/>
        <v>46</v>
      </c>
      <c r="L57" s="95">
        <f t="shared" si="75"/>
        <v>0</v>
      </c>
      <c r="M57" s="95">
        <f t="shared" si="75"/>
        <v>46</v>
      </c>
      <c r="N57" s="95">
        <f t="shared" si="75"/>
        <v>61</v>
      </c>
      <c r="O57" s="120"/>
      <c r="P57" s="83" t="str">
        <f t="shared" si="70"/>
        <v/>
      </c>
      <c r="Q57" s="95">
        <f t="shared" ref="Q57:T57" si="76">sum(Q56)</f>
        <v>144</v>
      </c>
      <c r="R57" s="95">
        <f t="shared" si="76"/>
        <v>0</v>
      </c>
      <c r="S57" s="95">
        <f t="shared" si="76"/>
        <v>144</v>
      </c>
      <c r="T57" s="115">
        <f t="shared" si="76"/>
        <v>124</v>
      </c>
      <c r="V57" s="36"/>
    </row>
    <row r="58">
      <c r="A58" s="161"/>
      <c r="B58" s="194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83" t="str">
        <f t="shared" si="70"/>
        <v/>
      </c>
      <c r="Q58" s="120"/>
      <c r="R58" s="120"/>
      <c r="S58" s="120"/>
      <c r="T58" s="137"/>
    </row>
    <row r="59">
      <c r="A59" s="39"/>
      <c r="B59" s="36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37"/>
    </row>
    <row r="60">
      <c r="A60" s="165" t="s">
        <v>13</v>
      </c>
      <c r="B60" s="212"/>
      <c r="C60" s="123">
        <f t="shared" ref="C60:N60" si="77">C57+C55+C53</f>
        <v>166</v>
      </c>
      <c r="D60" s="123">
        <f t="shared" si="77"/>
        <v>0</v>
      </c>
      <c r="E60" s="123">
        <f t="shared" si="77"/>
        <v>166</v>
      </c>
      <c r="F60" s="123">
        <f t="shared" si="77"/>
        <v>159</v>
      </c>
      <c r="G60" s="123">
        <f t="shared" si="77"/>
        <v>194</v>
      </c>
      <c r="H60" s="123">
        <f t="shared" si="77"/>
        <v>0</v>
      </c>
      <c r="I60" s="123">
        <f t="shared" si="77"/>
        <v>194</v>
      </c>
      <c r="J60" s="123">
        <f t="shared" si="77"/>
        <v>197</v>
      </c>
      <c r="K60" s="123">
        <f t="shared" si="77"/>
        <v>155</v>
      </c>
      <c r="L60" s="123">
        <f t="shared" si="77"/>
        <v>103</v>
      </c>
      <c r="M60" s="123">
        <f t="shared" si="77"/>
        <v>258</v>
      </c>
      <c r="N60" s="123">
        <f t="shared" si="77"/>
        <v>253</v>
      </c>
      <c r="O60" s="166"/>
      <c r="P60" s="166"/>
      <c r="Q60" s="123">
        <f t="shared" ref="Q60:T60" si="78">Q57+Q55+Q53</f>
        <v>515</v>
      </c>
      <c r="R60" s="123">
        <f t="shared" si="78"/>
        <v>103</v>
      </c>
      <c r="S60" s="123">
        <f t="shared" si="78"/>
        <v>618</v>
      </c>
      <c r="T60" s="125">
        <f t="shared" si="78"/>
        <v>609</v>
      </c>
    </row>
    <row r="62">
      <c r="A62" s="218" t="s">
        <v>71</v>
      </c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2"/>
      <c r="P62" s="3"/>
      <c r="Q62" s="6"/>
      <c r="R62" s="20"/>
      <c r="S62" s="237"/>
    </row>
    <row r="63">
      <c r="A63" s="22"/>
      <c r="B63" s="163" t="s">
        <v>67</v>
      </c>
      <c r="C63" s="30"/>
      <c r="D63" s="30"/>
      <c r="E63" s="163"/>
      <c r="F63" s="164" t="s">
        <v>16</v>
      </c>
      <c r="G63" s="30"/>
      <c r="H63" s="30"/>
      <c r="I63" s="164" t="s">
        <v>17</v>
      </c>
      <c r="J63" s="30"/>
      <c r="K63" s="30"/>
      <c r="L63" s="164"/>
      <c r="M63" s="164" t="s">
        <v>13</v>
      </c>
      <c r="N63" s="219"/>
      <c r="P63" s="251" t="s">
        <v>120</v>
      </c>
      <c r="Q63" s="30"/>
      <c r="R63" s="42"/>
      <c r="S63" s="61" t="s">
        <v>121</v>
      </c>
    </row>
    <row r="64">
      <c r="A64" s="47"/>
      <c r="B64" s="179" t="s">
        <v>12</v>
      </c>
      <c r="C64" s="179" t="s">
        <v>24</v>
      </c>
      <c r="D64" s="179" t="s">
        <v>27</v>
      </c>
      <c r="E64" s="179"/>
      <c r="F64" s="179" t="s">
        <v>24</v>
      </c>
      <c r="G64" s="179" t="s">
        <v>27</v>
      </c>
      <c r="H64" s="179"/>
      <c r="I64" s="179" t="s">
        <v>24</v>
      </c>
      <c r="J64" s="179" t="s">
        <v>27</v>
      </c>
      <c r="K64" s="179"/>
      <c r="L64" s="179" t="s">
        <v>12</v>
      </c>
      <c r="M64" s="179" t="s">
        <v>24</v>
      </c>
      <c r="N64" s="181" t="s">
        <v>27</v>
      </c>
      <c r="P64" s="183" t="s">
        <v>24</v>
      </c>
      <c r="Q64" s="179" t="s">
        <v>27</v>
      </c>
      <c r="R64" s="181"/>
      <c r="S64" s="241" t="s">
        <v>27</v>
      </c>
    </row>
    <row r="65">
      <c r="A65" s="62" t="s">
        <v>22</v>
      </c>
      <c r="B65" s="195">
        <v>-13.0</v>
      </c>
      <c r="C65" s="48">
        <v>42.0</v>
      </c>
      <c r="D65" s="72">
        <v>61.0</v>
      </c>
      <c r="E65" s="76">
        <f t="shared" ref="E65:E78" si="80">C65/D65</f>
        <v>0.6885245902</v>
      </c>
      <c r="F65" s="48">
        <v>55.0</v>
      </c>
      <c r="G65" s="72">
        <v>61.0</v>
      </c>
      <c r="H65" s="76">
        <f t="shared" ref="H65:H78" si="81">F65/G65</f>
        <v>0.9016393443</v>
      </c>
      <c r="I65" s="48">
        <v>41.0</v>
      </c>
      <c r="J65" s="72">
        <v>63.0</v>
      </c>
      <c r="K65" s="76">
        <f t="shared" ref="K65:K78" si="82">I65/J65</f>
        <v>0.6507936508</v>
      </c>
      <c r="L65" s="83">
        <f t="shared" ref="L65:L68" si="83">B65</f>
        <v>-13</v>
      </c>
      <c r="M65" s="84">
        <f t="shared" ref="M65:N65" si="79">I65+F65+C65</f>
        <v>138</v>
      </c>
      <c r="N65" s="86">
        <f t="shared" si="79"/>
        <v>185</v>
      </c>
      <c r="O65" s="37">
        <v>743.0</v>
      </c>
      <c r="P65" s="253">
        <v>185.0</v>
      </c>
      <c r="Q65" s="72">
        <v>198.0</v>
      </c>
      <c r="R65" s="254">
        <f t="shared" ref="R65:R78" si="85">P65/Q65</f>
        <v>0.9343434343</v>
      </c>
      <c r="S65" s="255">
        <f t="shared" ref="S65:S68" si="86">N65+Q65-P65</f>
        <v>198</v>
      </c>
      <c r="T65" s="37">
        <v>62.0</v>
      </c>
      <c r="U65" s="119">
        <v>45838.0</v>
      </c>
      <c r="V65" s="37" t="s">
        <v>42</v>
      </c>
    </row>
    <row r="66">
      <c r="A66" s="62" t="s">
        <v>36</v>
      </c>
      <c r="B66" s="195">
        <v>1.0</v>
      </c>
      <c r="C66" s="48">
        <v>60.0</v>
      </c>
      <c r="D66" s="72">
        <v>48.0</v>
      </c>
      <c r="E66" s="76">
        <f t="shared" si="80"/>
        <v>1.25</v>
      </c>
      <c r="F66" s="48">
        <v>52.0</v>
      </c>
      <c r="G66" s="72">
        <v>48.0</v>
      </c>
      <c r="H66" s="76">
        <f t="shared" si="81"/>
        <v>1.083333333</v>
      </c>
      <c r="I66" s="48">
        <v>54.0</v>
      </c>
      <c r="J66" s="72">
        <v>50.0</v>
      </c>
      <c r="K66" s="76">
        <f t="shared" si="82"/>
        <v>1.08</v>
      </c>
      <c r="L66" s="83">
        <f t="shared" si="83"/>
        <v>1</v>
      </c>
      <c r="M66" s="84">
        <f t="shared" ref="M66:N66" si="84">I66+F66+C66</f>
        <v>166</v>
      </c>
      <c r="N66" s="86">
        <f t="shared" si="84"/>
        <v>146</v>
      </c>
      <c r="O66" s="37">
        <v>584.0</v>
      </c>
      <c r="P66" s="253">
        <v>157.0</v>
      </c>
      <c r="Q66" s="72">
        <v>156.0</v>
      </c>
      <c r="R66" s="254">
        <f t="shared" si="85"/>
        <v>1.006410256</v>
      </c>
      <c r="S66" s="255">
        <f t="shared" si="86"/>
        <v>145</v>
      </c>
      <c r="T66" s="37">
        <v>52.0</v>
      </c>
      <c r="U66" s="119">
        <v>45838.0</v>
      </c>
      <c r="V66" s="37" t="s">
        <v>42</v>
      </c>
    </row>
    <row r="67">
      <c r="A67" s="62" t="s">
        <v>40</v>
      </c>
      <c r="B67" s="195">
        <v>27.0</v>
      </c>
      <c r="C67" s="48">
        <v>47.0</v>
      </c>
      <c r="D67" s="72">
        <v>46.0</v>
      </c>
      <c r="E67" s="76">
        <f t="shared" si="80"/>
        <v>1.02173913</v>
      </c>
      <c r="F67" s="48">
        <v>52.0</v>
      </c>
      <c r="G67" s="72">
        <v>46.0</v>
      </c>
      <c r="H67" s="76">
        <f t="shared" si="81"/>
        <v>1.130434783</v>
      </c>
      <c r="I67" s="48">
        <v>39.0</v>
      </c>
      <c r="J67" s="72">
        <v>48.0</v>
      </c>
      <c r="K67" s="76">
        <f t="shared" si="82"/>
        <v>0.8125</v>
      </c>
      <c r="L67" s="83">
        <f t="shared" si="83"/>
        <v>27</v>
      </c>
      <c r="M67" s="84">
        <f t="shared" ref="M67:N67" si="87">I67+F67+C67</f>
        <v>138</v>
      </c>
      <c r="N67" s="86">
        <f t="shared" si="87"/>
        <v>140</v>
      </c>
      <c r="O67" s="37">
        <v>562.0</v>
      </c>
      <c r="P67" s="253">
        <v>177.0</v>
      </c>
      <c r="Q67" s="72">
        <v>150.0</v>
      </c>
      <c r="R67" s="254">
        <f t="shared" si="85"/>
        <v>1.18</v>
      </c>
      <c r="S67" s="255">
        <f t="shared" si="86"/>
        <v>113</v>
      </c>
      <c r="T67" s="37">
        <v>59.0</v>
      </c>
      <c r="U67" s="119">
        <v>45838.0</v>
      </c>
      <c r="V67" s="37" t="s">
        <v>42</v>
      </c>
    </row>
    <row r="68">
      <c r="A68" s="62" t="s">
        <v>41</v>
      </c>
      <c r="B68" s="195">
        <v>-45.0</v>
      </c>
      <c r="C68" s="87">
        <v>48.0</v>
      </c>
      <c r="D68" s="72">
        <v>58.0</v>
      </c>
      <c r="E68" s="76">
        <f t="shared" si="80"/>
        <v>0.8275862069</v>
      </c>
      <c r="F68" s="48">
        <v>37.0</v>
      </c>
      <c r="G68" s="72">
        <v>58.0</v>
      </c>
      <c r="H68" s="76">
        <f t="shared" si="81"/>
        <v>0.6379310345</v>
      </c>
      <c r="I68" s="48">
        <v>41.0</v>
      </c>
      <c r="J68" s="72">
        <v>60.0</v>
      </c>
      <c r="K68" s="76">
        <f t="shared" si="82"/>
        <v>0.6833333333</v>
      </c>
      <c r="L68" s="83">
        <f t="shared" si="83"/>
        <v>-45</v>
      </c>
      <c r="M68" s="84">
        <f t="shared" ref="M68:N68" si="88">I68+F68+C68</f>
        <v>126</v>
      </c>
      <c r="N68" s="86">
        <f t="shared" si="88"/>
        <v>176</v>
      </c>
      <c r="O68" s="37">
        <v>711.0</v>
      </c>
      <c r="P68" s="253">
        <v>144.0</v>
      </c>
      <c r="Q68" s="72">
        <v>189.0</v>
      </c>
      <c r="R68" s="254">
        <f t="shared" si="85"/>
        <v>0.7619047619</v>
      </c>
      <c r="S68" s="255">
        <f t="shared" si="86"/>
        <v>221</v>
      </c>
      <c r="T68" s="37">
        <v>48.0</v>
      </c>
      <c r="U68" s="119">
        <v>45838.0</v>
      </c>
      <c r="V68" s="37" t="s">
        <v>42</v>
      </c>
    </row>
    <row r="69">
      <c r="A69" s="112" t="s">
        <v>44</v>
      </c>
      <c r="B69" s="95">
        <f t="shared" ref="B69:D69" si="89">sum(B65:B68)</f>
        <v>-30</v>
      </c>
      <c r="C69" s="95">
        <f t="shared" si="89"/>
        <v>197</v>
      </c>
      <c r="D69" s="95">
        <f t="shared" si="89"/>
        <v>213</v>
      </c>
      <c r="E69" s="76">
        <f t="shared" si="80"/>
        <v>0.9248826291</v>
      </c>
      <c r="F69" s="95">
        <f t="shared" ref="F69:G69" si="90">sum(F65:F68)</f>
        <v>196</v>
      </c>
      <c r="G69" s="95">
        <f t="shared" si="90"/>
        <v>213</v>
      </c>
      <c r="H69" s="76">
        <f t="shared" si="81"/>
        <v>0.9201877934</v>
      </c>
      <c r="I69" s="95">
        <f t="shared" ref="I69:J69" si="91">sum(I65:I68)</f>
        <v>175</v>
      </c>
      <c r="J69" s="95">
        <f t="shared" si="91"/>
        <v>221</v>
      </c>
      <c r="K69" s="76">
        <f t="shared" si="82"/>
        <v>0.7918552036</v>
      </c>
      <c r="L69" s="95">
        <f t="shared" ref="L69:N69" si="92">sum(L65:L68)</f>
        <v>-30</v>
      </c>
      <c r="M69" s="95">
        <f t="shared" si="92"/>
        <v>568</v>
      </c>
      <c r="N69" s="115">
        <f t="shared" si="92"/>
        <v>647</v>
      </c>
      <c r="P69" s="116">
        <f t="shared" ref="P69:Q69" si="93">sum(P65:P68)</f>
        <v>663</v>
      </c>
      <c r="Q69" s="95">
        <f t="shared" si="93"/>
        <v>693</v>
      </c>
      <c r="R69" s="254">
        <f t="shared" si="85"/>
        <v>0.9567099567</v>
      </c>
      <c r="S69" s="258">
        <f>sum(S65:S68)</f>
        <v>677</v>
      </c>
      <c r="U69" s="98"/>
      <c r="V69" s="93"/>
      <c r="W69" s="259"/>
    </row>
    <row r="70">
      <c r="A70" s="62" t="s">
        <v>47</v>
      </c>
      <c r="B70" s="195">
        <v>16.0</v>
      </c>
      <c r="C70" s="84">
        <v>43.0</v>
      </c>
      <c r="D70" s="72">
        <v>39.0</v>
      </c>
      <c r="E70" s="76">
        <f t="shared" si="80"/>
        <v>1.102564103</v>
      </c>
      <c r="F70" s="48">
        <v>35.0</v>
      </c>
      <c r="G70" s="72">
        <v>39.0</v>
      </c>
      <c r="H70" s="76">
        <f t="shared" si="81"/>
        <v>0.8974358974</v>
      </c>
      <c r="I70" s="48">
        <v>44.0</v>
      </c>
      <c r="J70" s="72">
        <v>40.0</v>
      </c>
      <c r="K70" s="76">
        <f t="shared" si="82"/>
        <v>1.1</v>
      </c>
      <c r="L70" s="83">
        <f t="shared" ref="L70:L73" si="95">B70</f>
        <v>16</v>
      </c>
      <c r="M70" s="84">
        <f t="shared" ref="M70:N70" si="94">I70+F70+C70</f>
        <v>122</v>
      </c>
      <c r="N70" s="86">
        <f t="shared" si="94"/>
        <v>118</v>
      </c>
      <c r="O70" s="37">
        <v>473.0</v>
      </c>
      <c r="P70" s="253">
        <v>143.0</v>
      </c>
      <c r="Q70" s="72">
        <v>127.0</v>
      </c>
      <c r="R70" s="254">
        <f t="shared" si="85"/>
        <v>1.125984252</v>
      </c>
      <c r="S70" s="255">
        <f t="shared" ref="S70:S73" si="97">N70+Q70-P70</f>
        <v>102</v>
      </c>
      <c r="T70" s="37">
        <v>48.0</v>
      </c>
      <c r="U70" s="217">
        <v>45831.0</v>
      </c>
      <c r="V70" s="37" t="s">
        <v>56</v>
      </c>
    </row>
    <row r="71">
      <c r="A71" s="62" t="s">
        <v>51</v>
      </c>
      <c r="B71" s="195">
        <v>-24.0</v>
      </c>
      <c r="C71" s="84">
        <v>34.0</v>
      </c>
      <c r="D71" s="72">
        <v>48.0</v>
      </c>
      <c r="E71" s="76">
        <f t="shared" si="80"/>
        <v>0.7083333333</v>
      </c>
      <c r="F71" s="48">
        <v>25.0</v>
      </c>
      <c r="G71" s="72">
        <v>48.0</v>
      </c>
      <c r="H71" s="76">
        <f t="shared" si="81"/>
        <v>0.5208333333</v>
      </c>
      <c r="I71" s="48">
        <v>44.0</v>
      </c>
      <c r="J71" s="72">
        <v>50.0</v>
      </c>
      <c r="K71" s="76">
        <f t="shared" si="82"/>
        <v>0.88</v>
      </c>
      <c r="L71" s="83">
        <f t="shared" si="95"/>
        <v>-24</v>
      </c>
      <c r="M71" s="84">
        <f t="shared" ref="M71:N71" si="96">I71+F71+C71</f>
        <v>103</v>
      </c>
      <c r="N71" s="86">
        <f t="shared" si="96"/>
        <v>146</v>
      </c>
      <c r="O71" s="37">
        <v>584.0</v>
      </c>
      <c r="P71" s="253">
        <v>132.0</v>
      </c>
      <c r="Q71" s="72">
        <v>156.0</v>
      </c>
      <c r="R71" s="254">
        <f t="shared" si="85"/>
        <v>0.8461538462</v>
      </c>
      <c r="S71" s="255">
        <f t="shared" si="97"/>
        <v>170</v>
      </c>
      <c r="T71" s="37">
        <v>44.0</v>
      </c>
      <c r="U71" s="217">
        <v>45831.0</v>
      </c>
      <c r="V71" s="37" t="s">
        <v>56</v>
      </c>
    </row>
    <row r="72">
      <c r="A72" s="62" t="s">
        <v>52</v>
      </c>
      <c r="B72" s="195">
        <v>5.0</v>
      </c>
      <c r="C72" s="84">
        <v>42.0</v>
      </c>
      <c r="D72" s="72">
        <v>42.0</v>
      </c>
      <c r="E72" s="76">
        <f t="shared" si="80"/>
        <v>1</v>
      </c>
      <c r="F72" s="48">
        <v>41.0</v>
      </c>
      <c r="G72" s="72">
        <v>42.0</v>
      </c>
      <c r="H72" s="76">
        <f t="shared" si="81"/>
        <v>0.9761904762</v>
      </c>
      <c r="I72" s="48">
        <v>48.0</v>
      </c>
      <c r="J72" s="72">
        <v>43.0</v>
      </c>
      <c r="K72" s="76">
        <f t="shared" si="82"/>
        <v>1.11627907</v>
      </c>
      <c r="L72" s="83">
        <f t="shared" si="95"/>
        <v>5</v>
      </c>
      <c r="M72" s="84">
        <f t="shared" ref="M72:N72" si="98">I72+F72+C72</f>
        <v>131</v>
      </c>
      <c r="N72" s="86">
        <f t="shared" si="98"/>
        <v>127</v>
      </c>
      <c r="O72" s="37">
        <v>509.0</v>
      </c>
      <c r="P72" s="253">
        <v>141.0</v>
      </c>
      <c r="Q72" s="72">
        <v>136.0</v>
      </c>
      <c r="R72" s="254">
        <f t="shared" si="85"/>
        <v>1.036764706</v>
      </c>
      <c r="S72" s="255">
        <f t="shared" si="97"/>
        <v>122</v>
      </c>
      <c r="T72" s="37">
        <v>47.0</v>
      </c>
      <c r="U72" s="217">
        <v>45831.0</v>
      </c>
      <c r="V72" s="37" t="s">
        <v>56</v>
      </c>
    </row>
    <row r="73">
      <c r="A73" s="62" t="s">
        <v>53</v>
      </c>
      <c r="B73" s="195">
        <v>-32.0</v>
      </c>
      <c r="C73" s="84">
        <v>77.0</v>
      </c>
      <c r="D73" s="72">
        <v>88.0</v>
      </c>
      <c r="E73" s="76">
        <f t="shared" si="80"/>
        <v>0.875</v>
      </c>
      <c r="F73" s="48">
        <v>82.0</v>
      </c>
      <c r="G73" s="72">
        <v>88.0</v>
      </c>
      <c r="H73" s="76">
        <f t="shared" si="81"/>
        <v>0.9318181818</v>
      </c>
      <c r="I73" s="48">
        <v>74.0</v>
      </c>
      <c r="J73" s="72">
        <v>92.0</v>
      </c>
      <c r="K73" s="76">
        <f t="shared" si="82"/>
        <v>0.8043478261</v>
      </c>
      <c r="L73" s="83">
        <f t="shared" si="95"/>
        <v>-32</v>
      </c>
      <c r="M73" s="84">
        <f t="shared" ref="M73:N73" si="99">I73+F73+C73</f>
        <v>233</v>
      </c>
      <c r="N73" s="86">
        <f t="shared" si="99"/>
        <v>268</v>
      </c>
      <c r="O73" s="37">
        <v>1077.0</v>
      </c>
      <c r="P73" s="253">
        <v>256.0</v>
      </c>
      <c r="Q73" s="72">
        <v>288.0</v>
      </c>
      <c r="R73" s="254">
        <f t="shared" si="85"/>
        <v>0.8888888889</v>
      </c>
      <c r="S73" s="255">
        <f t="shared" si="97"/>
        <v>300</v>
      </c>
      <c r="T73" s="37">
        <v>85.0</v>
      </c>
      <c r="U73" s="119">
        <v>45831.0</v>
      </c>
      <c r="V73" s="37" t="s">
        <v>56</v>
      </c>
    </row>
    <row r="74">
      <c r="A74" s="112" t="s">
        <v>54</v>
      </c>
      <c r="B74" s="95">
        <f t="shared" ref="B74:D74" si="100">sum(B70:B73)</f>
        <v>-35</v>
      </c>
      <c r="C74" s="95">
        <f t="shared" si="100"/>
        <v>196</v>
      </c>
      <c r="D74" s="95">
        <f t="shared" si="100"/>
        <v>217</v>
      </c>
      <c r="E74" s="76">
        <f t="shared" si="80"/>
        <v>0.9032258065</v>
      </c>
      <c r="F74" s="95">
        <f t="shared" ref="F74:G74" si="101">sum(F70:F73)</f>
        <v>183</v>
      </c>
      <c r="G74" s="95">
        <f t="shared" si="101"/>
        <v>217</v>
      </c>
      <c r="H74" s="76">
        <f t="shared" si="81"/>
        <v>0.8433179724</v>
      </c>
      <c r="I74" s="95">
        <f t="shared" ref="I74:J74" si="102">sum(I70:I73)</f>
        <v>210</v>
      </c>
      <c r="J74" s="95">
        <f t="shared" si="102"/>
        <v>225</v>
      </c>
      <c r="K74" s="76">
        <f t="shared" si="82"/>
        <v>0.9333333333</v>
      </c>
      <c r="L74" s="95">
        <f t="shared" ref="L74:N74" si="103">sum(L70:L73)</f>
        <v>-35</v>
      </c>
      <c r="M74" s="95">
        <f t="shared" si="103"/>
        <v>589</v>
      </c>
      <c r="N74" s="115">
        <f t="shared" si="103"/>
        <v>659</v>
      </c>
      <c r="P74" s="116">
        <f t="shared" ref="P74:Q74" si="104">sum(P70:P73)</f>
        <v>672</v>
      </c>
      <c r="Q74" s="95">
        <f t="shared" si="104"/>
        <v>707</v>
      </c>
      <c r="R74" s="254">
        <f t="shared" si="85"/>
        <v>0.9504950495</v>
      </c>
      <c r="S74" s="258">
        <f>sum(S70:S73)</f>
        <v>694</v>
      </c>
    </row>
    <row r="75">
      <c r="A75" s="62" t="s">
        <v>55</v>
      </c>
      <c r="B75" s="195">
        <v>-28.0</v>
      </c>
      <c r="C75" s="84">
        <v>26.0</v>
      </c>
      <c r="D75" s="72">
        <v>38.0</v>
      </c>
      <c r="E75" s="76">
        <f t="shared" si="80"/>
        <v>0.6842105263</v>
      </c>
      <c r="F75" s="48">
        <v>43.0</v>
      </c>
      <c r="G75" s="72">
        <v>38.0</v>
      </c>
      <c r="H75" s="76">
        <f t="shared" si="81"/>
        <v>1.131578947</v>
      </c>
      <c r="I75" s="48">
        <v>22.0</v>
      </c>
      <c r="J75" s="72">
        <v>39.0</v>
      </c>
      <c r="K75" s="76">
        <f t="shared" si="82"/>
        <v>0.5641025641</v>
      </c>
      <c r="L75" s="83">
        <f t="shared" ref="L75:L77" si="106">B75</f>
        <v>-28</v>
      </c>
      <c r="M75" s="84">
        <f t="shared" ref="M75:N75" si="105">I75+F75+C75</f>
        <v>91</v>
      </c>
      <c r="N75" s="86">
        <f t="shared" si="105"/>
        <v>115</v>
      </c>
      <c r="O75" s="37">
        <v>462.0</v>
      </c>
      <c r="P75" s="253">
        <v>96.0</v>
      </c>
      <c r="Q75" s="72">
        <v>124.0</v>
      </c>
      <c r="R75" s="254">
        <f t="shared" si="85"/>
        <v>0.7741935484</v>
      </c>
      <c r="S75" s="255">
        <f t="shared" ref="S75:S77" si="108">N75+Q75-P75</f>
        <v>143</v>
      </c>
      <c r="T75" s="37">
        <v>30.0</v>
      </c>
      <c r="U75" s="119">
        <v>45838.0</v>
      </c>
      <c r="V75" s="37" t="s">
        <v>81</v>
      </c>
    </row>
    <row r="76">
      <c r="A76" s="62" t="s">
        <v>57</v>
      </c>
      <c r="B76" s="195">
        <v>-40.0</v>
      </c>
      <c r="C76" s="84">
        <v>40.0</v>
      </c>
      <c r="D76" s="72">
        <v>51.0</v>
      </c>
      <c r="E76" s="76">
        <f t="shared" si="80"/>
        <v>0.7843137255</v>
      </c>
      <c r="F76" s="48">
        <v>40.0</v>
      </c>
      <c r="G76" s="72">
        <v>51.0</v>
      </c>
      <c r="H76" s="76">
        <f t="shared" si="81"/>
        <v>0.7843137255</v>
      </c>
      <c r="I76" s="48">
        <v>37.0</v>
      </c>
      <c r="J76" s="72">
        <v>53.0</v>
      </c>
      <c r="K76" s="76">
        <f t="shared" si="82"/>
        <v>0.6981132075</v>
      </c>
      <c r="L76" s="83">
        <f t="shared" si="106"/>
        <v>-40</v>
      </c>
      <c r="M76" s="84">
        <f t="shared" ref="M76:N76" si="107">I76+F76+C76</f>
        <v>117</v>
      </c>
      <c r="N76" s="86">
        <f t="shared" si="107"/>
        <v>155</v>
      </c>
      <c r="O76" s="37">
        <v>623.0</v>
      </c>
      <c r="P76" s="253">
        <v>126.0</v>
      </c>
      <c r="Q76" s="72">
        <v>166.0</v>
      </c>
      <c r="R76" s="254">
        <f t="shared" si="85"/>
        <v>0.7590361446</v>
      </c>
      <c r="S76" s="255">
        <f t="shared" si="108"/>
        <v>195</v>
      </c>
      <c r="T76" s="37">
        <v>40.0</v>
      </c>
      <c r="U76" s="119">
        <v>45838.0</v>
      </c>
      <c r="V76" s="37" t="s">
        <v>81</v>
      </c>
    </row>
    <row r="77">
      <c r="A77" s="62" t="s">
        <v>58</v>
      </c>
      <c r="B77" s="195">
        <v>-4.0</v>
      </c>
      <c r="C77" s="84">
        <v>21.0</v>
      </c>
      <c r="D77" s="72">
        <v>23.0</v>
      </c>
      <c r="E77" s="76">
        <f t="shared" si="80"/>
        <v>0.9130434783</v>
      </c>
      <c r="F77" s="48">
        <v>16.0</v>
      </c>
      <c r="G77" s="72">
        <v>23.0</v>
      </c>
      <c r="H77" s="76">
        <f t="shared" si="81"/>
        <v>0.6956521739</v>
      </c>
      <c r="I77" s="48">
        <v>14.0</v>
      </c>
      <c r="J77" s="72">
        <v>23.0</v>
      </c>
      <c r="K77" s="76">
        <f t="shared" si="82"/>
        <v>0.6086956522</v>
      </c>
      <c r="L77" s="83">
        <f t="shared" si="106"/>
        <v>-4</v>
      </c>
      <c r="M77" s="84">
        <f t="shared" ref="M77:N77" si="109">I77+F77+C77</f>
        <v>51</v>
      </c>
      <c r="N77" s="86">
        <f t="shared" si="109"/>
        <v>69</v>
      </c>
      <c r="O77" s="37">
        <v>275.0</v>
      </c>
      <c r="P77" s="253">
        <v>69.0</v>
      </c>
      <c r="Q77" s="72">
        <v>73.0</v>
      </c>
      <c r="R77" s="254">
        <f t="shared" si="85"/>
        <v>0.9452054795</v>
      </c>
      <c r="S77" s="255">
        <f t="shared" si="108"/>
        <v>73</v>
      </c>
      <c r="T77" s="37">
        <v>25.0</v>
      </c>
      <c r="U77" s="119">
        <v>45838.0</v>
      </c>
      <c r="V77" s="37" t="s">
        <v>81</v>
      </c>
    </row>
    <row r="78">
      <c r="A78" s="112" t="s">
        <v>59</v>
      </c>
      <c r="B78" s="95">
        <f t="shared" ref="B78:D78" si="110">sum(B75:B77)</f>
        <v>-72</v>
      </c>
      <c r="C78" s="95">
        <f t="shared" si="110"/>
        <v>87</v>
      </c>
      <c r="D78" s="95">
        <f t="shared" si="110"/>
        <v>112</v>
      </c>
      <c r="E78" s="76">
        <f t="shared" si="80"/>
        <v>0.7767857143</v>
      </c>
      <c r="F78" s="95">
        <f t="shared" ref="F78:G78" si="111">sum(F75:F77)</f>
        <v>99</v>
      </c>
      <c r="G78" s="95">
        <f t="shared" si="111"/>
        <v>112</v>
      </c>
      <c r="H78" s="76">
        <f t="shared" si="81"/>
        <v>0.8839285714</v>
      </c>
      <c r="I78" s="95">
        <f t="shared" ref="I78:J78" si="112">sum(I75:I77)</f>
        <v>73</v>
      </c>
      <c r="J78" s="95">
        <f t="shared" si="112"/>
        <v>115</v>
      </c>
      <c r="K78" s="76">
        <f t="shared" si="82"/>
        <v>0.6347826087</v>
      </c>
      <c r="L78" s="95">
        <f t="shared" ref="L78:N78" si="113">sum(L75:L77)</f>
        <v>-72</v>
      </c>
      <c r="M78" s="95">
        <f t="shared" si="113"/>
        <v>259</v>
      </c>
      <c r="N78" s="115">
        <f t="shared" si="113"/>
        <v>339</v>
      </c>
      <c r="P78" s="116">
        <f t="shared" ref="P78:Q78" si="114">sum(P75:P77)</f>
        <v>291</v>
      </c>
      <c r="Q78" s="95">
        <f t="shared" si="114"/>
        <v>363</v>
      </c>
      <c r="R78" s="254">
        <f t="shared" si="85"/>
        <v>0.8016528926</v>
      </c>
      <c r="S78" s="258">
        <f>sum(S75:S77)</f>
        <v>411</v>
      </c>
      <c r="U78" s="119"/>
    </row>
    <row r="79">
      <c r="A79" s="112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37"/>
      <c r="P79" s="121"/>
      <c r="Q79" s="120"/>
      <c r="R79" s="137"/>
      <c r="S79" s="265"/>
    </row>
    <row r="80">
      <c r="A80" s="141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37"/>
      <c r="P80" s="121"/>
      <c r="Q80" s="120"/>
      <c r="R80" s="137"/>
      <c r="S80" s="265"/>
    </row>
    <row r="81">
      <c r="A81" s="143" t="s">
        <v>13</v>
      </c>
      <c r="B81" s="144">
        <f t="shared" ref="B81:D81" si="115">B78+B74+B69</f>
        <v>-137</v>
      </c>
      <c r="C81" s="144">
        <f t="shared" si="115"/>
        <v>480</v>
      </c>
      <c r="D81" s="144">
        <f t="shared" si="115"/>
        <v>542</v>
      </c>
      <c r="E81" s="146">
        <f>C81/D81</f>
        <v>0.8856088561</v>
      </c>
      <c r="F81" s="144">
        <f t="shared" ref="F81:G81" si="116">F78+F74+F69</f>
        <v>478</v>
      </c>
      <c r="G81" s="144">
        <f t="shared" si="116"/>
        <v>542</v>
      </c>
      <c r="H81" s="146">
        <f>F81/G81</f>
        <v>0.8819188192</v>
      </c>
      <c r="I81" s="144">
        <f t="shared" ref="I81:J81" si="117">I78+I74+I69</f>
        <v>458</v>
      </c>
      <c r="J81" s="144">
        <f t="shared" si="117"/>
        <v>561</v>
      </c>
      <c r="K81" s="146">
        <f>I81/J81</f>
        <v>0.816399287</v>
      </c>
      <c r="L81" s="144">
        <f t="shared" ref="L81:N81" si="118">L78+L74+L69</f>
        <v>-137</v>
      </c>
      <c r="M81" s="144">
        <f t="shared" si="118"/>
        <v>1416</v>
      </c>
      <c r="N81" s="150">
        <f t="shared" si="118"/>
        <v>1645</v>
      </c>
      <c r="P81" s="266">
        <f t="shared" ref="P81:Q81" si="119">P78+P74+P69</f>
        <v>1626</v>
      </c>
      <c r="Q81" s="123">
        <f t="shared" si="119"/>
        <v>1763</v>
      </c>
      <c r="R81" s="267">
        <f>P81/Q81</f>
        <v>0.9222915485</v>
      </c>
      <c r="S81" s="268">
        <f>S78+S74+S69</f>
        <v>1782</v>
      </c>
    </row>
    <row r="84">
      <c r="R84" s="269">
        <v>0.95</v>
      </c>
      <c r="S84" s="23" t="s">
        <v>129</v>
      </c>
      <c r="T84" s="23" t="s">
        <v>130</v>
      </c>
    </row>
    <row r="85">
      <c r="L85" s="119"/>
      <c r="R85" s="69">
        <f t="shared" ref="R85:R87" si="120">S85*0.95</f>
        <v>2470</v>
      </c>
      <c r="S85" s="128">
        <v>2600.0</v>
      </c>
      <c r="T85" s="128">
        <v>220.0</v>
      </c>
    </row>
    <row r="86">
      <c r="R86" s="69">
        <f t="shared" si="120"/>
        <v>2510.85</v>
      </c>
      <c r="S86" s="128">
        <v>2643.0</v>
      </c>
      <c r="T86" s="128">
        <v>220.0</v>
      </c>
    </row>
    <row r="87">
      <c r="R87" s="69">
        <f t="shared" si="120"/>
        <v>1292</v>
      </c>
      <c r="S87" s="128">
        <v>1360.0</v>
      </c>
      <c r="T87" s="128">
        <v>100.0</v>
      </c>
    </row>
    <row r="88">
      <c r="R88" s="270">
        <f t="shared" ref="R88:T88" si="121">sum(R85:R87)</f>
        <v>6272.85</v>
      </c>
      <c r="S88" s="270">
        <f t="shared" si="121"/>
        <v>6603</v>
      </c>
      <c r="T88" s="270">
        <f t="shared" si="121"/>
        <v>540</v>
      </c>
    </row>
  </sheetData>
  <mergeCells count="16">
    <mergeCell ref="A3:V3"/>
    <mergeCell ref="C4:F4"/>
    <mergeCell ref="H4:K4"/>
    <mergeCell ref="M4:P4"/>
    <mergeCell ref="S4:V4"/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A3" s="37" t="s">
        <v>22</v>
      </c>
      <c r="B3" s="228" t="s">
        <v>103</v>
      </c>
      <c r="C3" s="207">
        <v>114.0</v>
      </c>
      <c r="D3" s="207">
        <v>129.0</v>
      </c>
      <c r="E3" s="207">
        <v>155.0</v>
      </c>
      <c r="F3" s="207">
        <v>127.0</v>
      </c>
      <c r="G3" s="207">
        <v>81.0</v>
      </c>
      <c r="H3" s="207">
        <v>315.0</v>
      </c>
      <c r="I3" s="207">
        <v>170.0</v>
      </c>
      <c r="J3" s="207">
        <v>159.0</v>
      </c>
      <c r="K3" s="207">
        <v>128.0</v>
      </c>
      <c r="L3" s="207">
        <v>134.0</v>
      </c>
      <c r="M3" s="207">
        <v>78.0</v>
      </c>
      <c r="N3" s="207">
        <v>315.0</v>
      </c>
      <c r="O3" s="229">
        <v>1905.0</v>
      </c>
    </row>
    <row r="4">
      <c r="A4" s="37" t="s">
        <v>51</v>
      </c>
      <c r="B4" s="228" t="s">
        <v>103</v>
      </c>
      <c r="C4" s="207">
        <v>20.0</v>
      </c>
      <c r="D4" s="207">
        <v>30.0</v>
      </c>
      <c r="E4" s="207">
        <v>37.0</v>
      </c>
      <c r="F4" s="207">
        <v>25.0</v>
      </c>
      <c r="G4" s="207">
        <v>15.0</v>
      </c>
      <c r="H4" s="207">
        <v>63.0</v>
      </c>
      <c r="I4" s="207">
        <v>32.0</v>
      </c>
      <c r="J4" s="207">
        <v>25.0</v>
      </c>
      <c r="K4" s="207">
        <v>40.0</v>
      </c>
      <c r="L4" s="207">
        <v>26.0</v>
      </c>
      <c r="M4" s="207">
        <v>15.0</v>
      </c>
      <c r="N4" s="207">
        <v>72.0</v>
      </c>
      <c r="O4" s="230">
        <v>400.0</v>
      </c>
    </row>
    <row r="5">
      <c r="A5" s="37" t="s">
        <v>55</v>
      </c>
      <c r="B5" s="228" t="s">
        <v>103</v>
      </c>
      <c r="C5" s="207">
        <v>25.0</v>
      </c>
      <c r="D5" s="207">
        <v>38.0</v>
      </c>
      <c r="E5" s="207">
        <v>61.0</v>
      </c>
      <c r="F5" s="207">
        <v>39.0</v>
      </c>
      <c r="G5" s="207">
        <v>19.0</v>
      </c>
      <c r="H5" s="207">
        <v>71.0</v>
      </c>
      <c r="I5" s="207">
        <v>49.0</v>
      </c>
      <c r="J5" s="207">
        <v>40.0</v>
      </c>
      <c r="K5" s="207">
        <v>32.0</v>
      </c>
      <c r="L5" s="207">
        <v>20.0</v>
      </c>
      <c r="M5" s="207">
        <v>12.0</v>
      </c>
      <c r="N5" s="207">
        <v>79.0</v>
      </c>
      <c r="O5" s="230">
        <v>485.0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5" width="7.13"/>
    <col customWidth="1" min="6" max="8" width="8.13"/>
    <col customWidth="1" min="9" max="9" width="10.38"/>
    <col customWidth="1" min="10" max="12" width="8.5"/>
    <col customWidth="1" min="13" max="13" width="9.38"/>
    <col customWidth="1" min="14" max="14" width="9.75"/>
    <col customWidth="1" min="15" max="15" width="9.25"/>
    <col customWidth="1" min="16" max="16" width="7.13"/>
    <col customWidth="1" min="17" max="17" width="6.5"/>
    <col customWidth="1" min="18" max="18" width="7.13"/>
    <col customWidth="1" min="19" max="19" width="10.13"/>
    <col customWidth="1" min="20" max="20" width="9.0"/>
    <col customWidth="1" min="21" max="21" width="11.38"/>
    <col customWidth="1" min="22" max="22" width="5.88"/>
    <col customWidth="1" min="23" max="23" width="7.13"/>
    <col customWidth="1" min="30" max="32" width="8.75"/>
    <col customWidth="1" min="33" max="33" width="10.5"/>
    <col customWidth="1" min="34" max="48" width="8.75"/>
  </cols>
  <sheetData>
    <row r="1">
      <c r="A1" s="37" t="s">
        <v>0</v>
      </c>
      <c r="AA1" s="7"/>
    </row>
    <row r="3">
      <c r="A3" s="175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0"/>
      <c r="W3" s="12"/>
      <c r="X3" s="13"/>
      <c r="Y3" s="14"/>
      <c r="Z3" s="220"/>
      <c r="AA3" s="18" t="s">
        <v>2</v>
      </c>
      <c r="AB3" s="160" t="s">
        <v>3</v>
      </c>
    </row>
    <row r="4">
      <c r="A4" s="22"/>
      <c r="B4" s="194"/>
      <c r="C4" s="163" t="s">
        <v>105</v>
      </c>
      <c r="D4" s="30"/>
      <c r="E4" s="30"/>
      <c r="F4" s="30"/>
      <c r="G4" s="164"/>
      <c r="H4" s="164" t="s">
        <v>106</v>
      </c>
      <c r="I4" s="30"/>
      <c r="J4" s="30"/>
      <c r="K4" s="30"/>
      <c r="L4" s="164"/>
      <c r="M4" s="164" t="s">
        <v>107</v>
      </c>
      <c r="N4" s="30"/>
      <c r="O4" s="30"/>
      <c r="P4" s="30"/>
      <c r="Q4" s="36"/>
      <c r="R4" s="178"/>
      <c r="S4" s="164" t="s">
        <v>13</v>
      </c>
      <c r="T4" s="30"/>
      <c r="U4" s="30"/>
      <c r="V4" s="42"/>
      <c r="W4" s="25"/>
      <c r="X4" s="25"/>
      <c r="Z4" s="221"/>
      <c r="AB4" s="36"/>
    </row>
    <row r="5">
      <c r="A5" s="47"/>
      <c r="B5" s="179" t="s">
        <v>12</v>
      </c>
      <c r="C5" s="179" t="s">
        <v>24</v>
      </c>
      <c r="D5" s="179" t="s">
        <v>25</v>
      </c>
      <c r="E5" s="179" t="s">
        <v>26</v>
      </c>
      <c r="F5" s="179" t="s">
        <v>27</v>
      </c>
      <c r="G5" s="179"/>
      <c r="H5" s="179" t="s">
        <v>24</v>
      </c>
      <c r="I5" s="179" t="s">
        <v>25</v>
      </c>
      <c r="J5" s="179" t="s">
        <v>26</v>
      </c>
      <c r="K5" s="179" t="s">
        <v>27</v>
      </c>
      <c r="L5" s="179"/>
      <c r="M5" s="179" t="s">
        <v>24</v>
      </c>
      <c r="N5" s="179" t="s">
        <v>25</v>
      </c>
      <c r="O5" s="179" t="s">
        <v>26</v>
      </c>
      <c r="P5" s="179" t="s">
        <v>27</v>
      </c>
      <c r="Q5" s="179"/>
      <c r="R5" s="179" t="s">
        <v>12</v>
      </c>
      <c r="S5" s="179" t="s">
        <v>24</v>
      </c>
      <c r="T5" s="179" t="s">
        <v>25</v>
      </c>
      <c r="U5" s="179" t="s">
        <v>26</v>
      </c>
      <c r="V5" s="181" t="s">
        <v>27</v>
      </c>
      <c r="W5" s="183" t="s">
        <v>31</v>
      </c>
      <c r="X5" s="59" t="s">
        <v>34</v>
      </c>
      <c r="Y5" s="23" t="s">
        <v>14</v>
      </c>
      <c r="Z5" s="222" t="s">
        <v>35</v>
      </c>
      <c r="AB5" s="36"/>
    </row>
    <row r="6">
      <c r="A6" s="62" t="s">
        <v>22</v>
      </c>
      <c r="B6" s="223">
        <f>-'2024 - Q4'!U6</f>
        <v>106</v>
      </c>
      <c r="C6" s="48">
        <v>32.0</v>
      </c>
      <c r="D6" s="48">
        <v>1.0</v>
      </c>
      <c r="E6" s="70">
        <f t="shared" ref="E6:E9" si="2">SUM(C6:D6)</f>
        <v>33</v>
      </c>
      <c r="F6" s="72">
        <v>37.0</v>
      </c>
      <c r="G6" s="76">
        <f t="shared" ref="G6:G19" si="3">E6/F6</f>
        <v>0.8918918919</v>
      </c>
      <c r="H6" s="48">
        <v>12.0</v>
      </c>
      <c r="I6" s="48">
        <v>2.0</v>
      </c>
      <c r="J6" s="70">
        <f t="shared" ref="J6:J9" si="4">SUM(H6:I6)</f>
        <v>14</v>
      </c>
      <c r="K6" s="72">
        <v>20.0</v>
      </c>
      <c r="L6" s="76">
        <f t="shared" ref="L6:L19" si="5">J6/K6</f>
        <v>0.7</v>
      </c>
      <c r="M6" s="48">
        <v>102.0</v>
      </c>
      <c r="N6" s="48">
        <v>7.0</v>
      </c>
      <c r="O6" s="70">
        <f t="shared" ref="O6:O9" si="6">SUM(M6:N6)</f>
        <v>109</v>
      </c>
      <c r="P6" s="72">
        <v>104.0</v>
      </c>
      <c r="Q6" s="76">
        <f t="shared" ref="Q6:Q19" si="7">O6/P6</f>
        <v>1.048076923</v>
      </c>
      <c r="R6" s="224">
        <f t="shared" ref="R6:R9" si="8">B6</f>
        <v>106</v>
      </c>
      <c r="S6" s="84">
        <f t="shared" ref="S6:T6" si="1">M6+H6+C6</f>
        <v>146</v>
      </c>
      <c r="T6" s="84">
        <f t="shared" si="1"/>
        <v>10</v>
      </c>
      <c r="U6" s="225">
        <f t="shared" ref="U6:U9" si="10">sum(R6:T6)</f>
        <v>262</v>
      </c>
      <c r="V6" s="86">
        <f t="shared" ref="V6:V9" si="11">P6+K6+F6</f>
        <v>161</v>
      </c>
      <c r="W6" s="226">
        <f t="shared" ref="W6:W9" si="12">V6-U6</f>
        <v>-101</v>
      </c>
      <c r="X6" s="46">
        <f t="shared" ref="X6:X9" si="13">T6+S6</f>
        <v>156</v>
      </c>
      <c r="Y6" s="84">
        <f t="shared" ref="Y6:Y9" si="14">V6</f>
        <v>161</v>
      </c>
      <c r="Z6" s="227">
        <f t="shared" ref="Z6:Z9" si="15">(S6+T6)/V6</f>
        <v>0.9689440994</v>
      </c>
      <c r="AA6" s="119">
        <v>45747.0</v>
      </c>
      <c r="AB6" s="99" t="s">
        <v>46</v>
      </c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</row>
    <row r="7">
      <c r="A7" s="62" t="s">
        <v>36</v>
      </c>
      <c r="B7" s="223">
        <f>-'2024 - Q4'!U7</f>
        <v>-113</v>
      </c>
      <c r="C7" s="48">
        <v>13.0</v>
      </c>
      <c r="D7" s="48"/>
      <c r="E7" s="70">
        <f t="shared" si="2"/>
        <v>13</v>
      </c>
      <c r="F7" s="72">
        <v>27.0</v>
      </c>
      <c r="G7" s="76">
        <f t="shared" si="3"/>
        <v>0.4814814815</v>
      </c>
      <c r="H7" s="48">
        <v>5.0</v>
      </c>
      <c r="I7" s="48"/>
      <c r="J7" s="70">
        <f t="shared" si="4"/>
        <v>5</v>
      </c>
      <c r="K7" s="72">
        <v>16.0</v>
      </c>
      <c r="L7" s="76">
        <f t="shared" si="5"/>
        <v>0.3125</v>
      </c>
      <c r="M7" s="48">
        <v>72.0</v>
      </c>
      <c r="N7" s="48">
        <v>2.0</v>
      </c>
      <c r="O7" s="70">
        <f t="shared" si="6"/>
        <v>74</v>
      </c>
      <c r="P7" s="72">
        <v>83.0</v>
      </c>
      <c r="Q7" s="76">
        <f t="shared" si="7"/>
        <v>0.8915662651</v>
      </c>
      <c r="R7" s="224">
        <f t="shared" si="8"/>
        <v>-113</v>
      </c>
      <c r="S7" s="84">
        <f t="shared" ref="S7:T7" si="9">M7+H7+C7</f>
        <v>90</v>
      </c>
      <c r="T7" s="84">
        <f t="shared" si="9"/>
        <v>2</v>
      </c>
      <c r="U7" s="225">
        <f t="shared" si="10"/>
        <v>-21</v>
      </c>
      <c r="V7" s="86">
        <f t="shared" si="11"/>
        <v>126</v>
      </c>
      <c r="W7" s="226">
        <f t="shared" si="12"/>
        <v>147</v>
      </c>
      <c r="X7" s="46">
        <f t="shared" si="13"/>
        <v>92</v>
      </c>
      <c r="Y7" s="84">
        <f t="shared" si="14"/>
        <v>126</v>
      </c>
      <c r="Z7" s="227">
        <f t="shared" si="15"/>
        <v>0.7301587302</v>
      </c>
      <c r="AA7" s="119">
        <v>45747.0</v>
      </c>
      <c r="AB7" s="99" t="s">
        <v>46</v>
      </c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</row>
    <row r="8">
      <c r="A8" s="62" t="s">
        <v>40</v>
      </c>
      <c r="B8" s="223">
        <f>-'2024 - Q4'!U8</f>
        <v>15</v>
      </c>
      <c r="C8" s="48">
        <v>21.0</v>
      </c>
      <c r="D8" s="214"/>
      <c r="E8" s="70">
        <f t="shared" si="2"/>
        <v>21</v>
      </c>
      <c r="F8" s="72">
        <v>24.0</v>
      </c>
      <c r="G8" s="76">
        <f t="shared" si="3"/>
        <v>0.875</v>
      </c>
      <c r="H8" s="48">
        <v>5.0</v>
      </c>
      <c r="I8" s="48"/>
      <c r="J8" s="70">
        <f t="shared" si="4"/>
        <v>5</v>
      </c>
      <c r="K8" s="72">
        <v>14.0</v>
      </c>
      <c r="L8" s="76">
        <f t="shared" si="5"/>
        <v>0.3571428571</v>
      </c>
      <c r="M8" s="48">
        <v>70.0</v>
      </c>
      <c r="N8" s="48"/>
      <c r="O8" s="70">
        <f t="shared" si="6"/>
        <v>70</v>
      </c>
      <c r="P8" s="72">
        <v>71.0</v>
      </c>
      <c r="Q8" s="76">
        <f t="shared" si="7"/>
        <v>0.985915493</v>
      </c>
      <c r="R8" s="224">
        <f t="shared" si="8"/>
        <v>15</v>
      </c>
      <c r="S8" s="84">
        <f t="shared" ref="S8:T8" si="16">M8+H8+C8</f>
        <v>96</v>
      </c>
      <c r="T8" s="84">
        <f t="shared" si="16"/>
        <v>0</v>
      </c>
      <c r="U8" s="225">
        <f t="shared" si="10"/>
        <v>111</v>
      </c>
      <c r="V8" s="86">
        <f t="shared" si="11"/>
        <v>109</v>
      </c>
      <c r="W8" s="226">
        <f t="shared" si="12"/>
        <v>-2</v>
      </c>
      <c r="X8" s="46">
        <f t="shared" si="13"/>
        <v>96</v>
      </c>
      <c r="Y8" s="84">
        <f t="shared" si="14"/>
        <v>109</v>
      </c>
      <c r="Z8" s="227">
        <f t="shared" si="15"/>
        <v>0.880733945</v>
      </c>
      <c r="AA8" s="119">
        <v>45747.0</v>
      </c>
      <c r="AB8" s="99" t="s">
        <v>46</v>
      </c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</row>
    <row r="9">
      <c r="A9" s="62" t="s">
        <v>41</v>
      </c>
      <c r="B9" s="223">
        <f>-'2024 - Q4'!U9</f>
        <v>34</v>
      </c>
      <c r="C9" s="87">
        <v>14.0</v>
      </c>
      <c r="D9" s="111">
        <v>2.0</v>
      </c>
      <c r="E9" s="70">
        <f t="shared" si="2"/>
        <v>16</v>
      </c>
      <c r="F9" s="72">
        <v>31.0</v>
      </c>
      <c r="G9" s="76">
        <f t="shared" si="3"/>
        <v>0.5161290323</v>
      </c>
      <c r="H9" s="48">
        <v>7.0</v>
      </c>
      <c r="I9" s="48"/>
      <c r="J9" s="70">
        <f t="shared" si="4"/>
        <v>7</v>
      </c>
      <c r="K9" s="72">
        <v>17.0</v>
      </c>
      <c r="L9" s="76">
        <f t="shared" si="5"/>
        <v>0.4117647059</v>
      </c>
      <c r="M9" s="48">
        <v>74.0</v>
      </c>
      <c r="N9" s="48"/>
      <c r="O9" s="70">
        <f t="shared" si="6"/>
        <v>74</v>
      </c>
      <c r="P9" s="72">
        <v>89.0</v>
      </c>
      <c r="Q9" s="76">
        <f t="shared" si="7"/>
        <v>0.8314606742</v>
      </c>
      <c r="R9" s="224">
        <f t="shared" si="8"/>
        <v>34</v>
      </c>
      <c r="S9" s="84">
        <f t="shared" ref="S9:T9" si="17">M9+H9+C9</f>
        <v>95</v>
      </c>
      <c r="T9" s="84">
        <f t="shared" si="17"/>
        <v>2</v>
      </c>
      <c r="U9" s="225">
        <f t="shared" si="10"/>
        <v>131</v>
      </c>
      <c r="V9" s="86">
        <f t="shared" si="11"/>
        <v>137</v>
      </c>
      <c r="W9" s="226">
        <f t="shared" si="12"/>
        <v>6</v>
      </c>
      <c r="X9" s="46">
        <f t="shared" si="13"/>
        <v>97</v>
      </c>
      <c r="Y9" s="84">
        <f t="shared" si="14"/>
        <v>137</v>
      </c>
      <c r="Z9" s="227">
        <f t="shared" si="15"/>
        <v>0.7080291971</v>
      </c>
      <c r="AA9" s="119">
        <v>45747.0</v>
      </c>
      <c r="AB9" s="99" t="s">
        <v>46</v>
      </c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</row>
    <row r="10">
      <c r="A10" s="112" t="s">
        <v>44</v>
      </c>
      <c r="B10" s="100">
        <f t="shared" ref="B10:F10" si="18">sum(B6:B9)</f>
        <v>42</v>
      </c>
      <c r="C10" s="95">
        <f t="shared" si="18"/>
        <v>80</v>
      </c>
      <c r="D10" s="95">
        <f t="shared" si="18"/>
        <v>3</v>
      </c>
      <c r="E10" s="95">
        <f t="shared" si="18"/>
        <v>83</v>
      </c>
      <c r="F10" s="95">
        <f t="shared" si="18"/>
        <v>119</v>
      </c>
      <c r="G10" s="114">
        <f t="shared" si="3"/>
        <v>0.6974789916</v>
      </c>
      <c r="H10" s="95">
        <f t="shared" ref="H10:K10" si="19">sum(H6:H9)</f>
        <v>29</v>
      </c>
      <c r="I10" s="95">
        <f t="shared" si="19"/>
        <v>2</v>
      </c>
      <c r="J10" s="95">
        <f t="shared" si="19"/>
        <v>31</v>
      </c>
      <c r="K10" s="95">
        <f t="shared" si="19"/>
        <v>67</v>
      </c>
      <c r="L10" s="114">
        <f t="shared" si="5"/>
        <v>0.4626865672</v>
      </c>
      <c r="M10" s="95">
        <f t="shared" ref="M10:P10" si="20">sum(M6:M9)</f>
        <v>318</v>
      </c>
      <c r="N10" s="95">
        <f t="shared" si="20"/>
        <v>9</v>
      </c>
      <c r="O10" s="95">
        <f t="shared" si="20"/>
        <v>327</v>
      </c>
      <c r="P10" s="95">
        <f t="shared" si="20"/>
        <v>347</v>
      </c>
      <c r="Q10" s="114">
        <f t="shared" si="7"/>
        <v>0.9423631124</v>
      </c>
      <c r="R10" s="100">
        <f t="shared" ref="R10:Y10" si="21">sum(R6:R9)</f>
        <v>42</v>
      </c>
      <c r="S10" s="95">
        <f t="shared" si="21"/>
        <v>427</v>
      </c>
      <c r="T10" s="95">
        <f t="shared" si="21"/>
        <v>14</v>
      </c>
      <c r="U10" s="100">
        <f t="shared" si="21"/>
        <v>483</v>
      </c>
      <c r="V10" s="115">
        <f t="shared" si="21"/>
        <v>533</v>
      </c>
      <c r="W10" s="231">
        <f t="shared" si="21"/>
        <v>50</v>
      </c>
      <c r="X10" s="116">
        <f t="shared" si="21"/>
        <v>441</v>
      </c>
      <c r="Y10" s="95">
        <f t="shared" si="21"/>
        <v>533</v>
      </c>
      <c r="Z10" s="232">
        <f>X10/Y10</f>
        <v>0.8273921201</v>
      </c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</row>
    <row r="11">
      <c r="A11" s="62" t="s">
        <v>47</v>
      </c>
      <c r="B11" s="223">
        <f>-'2024 - Q4'!U11</f>
        <v>31</v>
      </c>
      <c r="C11" s="84">
        <v>12.0</v>
      </c>
      <c r="D11" s="84"/>
      <c r="E11" s="70">
        <f t="shared" ref="E11:E14" si="23">SUM(C11:D11)</f>
        <v>12</v>
      </c>
      <c r="F11" s="72">
        <v>27.0</v>
      </c>
      <c r="G11" s="76">
        <f t="shared" si="3"/>
        <v>0.4444444444</v>
      </c>
      <c r="H11" s="48">
        <v>4.0</v>
      </c>
      <c r="I11" s="48"/>
      <c r="J11" s="70">
        <f t="shared" ref="J11:J14" si="24">SUM(H11:I11)</f>
        <v>4</v>
      </c>
      <c r="K11" s="72">
        <v>17.0</v>
      </c>
      <c r="L11" s="76">
        <f t="shared" si="5"/>
        <v>0.2352941176</v>
      </c>
      <c r="M11" s="48">
        <v>82.0</v>
      </c>
      <c r="N11" s="48">
        <v>6.0</v>
      </c>
      <c r="O11" s="70">
        <f t="shared" ref="O11:O14" si="25">SUM(M11:N11)</f>
        <v>88</v>
      </c>
      <c r="P11" s="72">
        <v>85.0</v>
      </c>
      <c r="Q11" s="76">
        <f t="shared" si="7"/>
        <v>1.035294118</v>
      </c>
      <c r="R11" s="224">
        <f t="shared" ref="R11:R14" si="26">B11</f>
        <v>31</v>
      </c>
      <c r="S11" s="84">
        <f t="shared" ref="S11:T11" si="22">M11+H11+C11</f>
        <v>98</v>
      </c>
      <c r="T11" s="84">
        <f t="shared" si="22"/>
        <v>6</v>
      </c>
      <c r="U11" s="225">
        <f t="shared" ref="U11:U14" si="28">sum(R11:T11)</f>
        <v>135</v>
      </c>
      <c r="V11" s="86">
        <f t="shared" ref="V11:V14" si="29">P11+K11+F11</f>
        <v>129</v>
      </c>
      <c r="W11" s="226">
        <f t="shared" ref="W11:W14" si="30">V11-U11</f>
        <v>-6</v>
      </c>
      <c r="X11" s="46">
        <f t="shared" ref="X11:X14" si="31">T11+S11</f>
        <v>104</v>
      </c>
      <c r="Y11" s="84">
        <f t="shared" ref="Y11:Y14" si="32">V11</f>
        <v>129</v>
      </c>
      <c r="Z11" s="227">
        <f t="shared" ref="Z11:Z14" si="33">(S11+T11)/V11</f>
        <v>0.8062015504</v>
      </c>
      <c r="AA11" s="217">
        <v>45747.0</v>
      </c>
      <c r="AB11" s="99" t="s">
        <v>56</v>
      </c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</row>
    <row r="12">
      <c r="A12" s="62" t="s">
        <v>51</v>
      </c>
      <c r="B12" s="223">
        <f>-'2024 - Q4'!U12</f>
        <v>38</v>
      </c>
      <c r="C12" s="84">
        <v>18.0</v>
      </c>
      <c r="D12" s="84">
        <v>1.0</v>
      </c>
      <c r="E12" s="70">
        <f t="shared" si="23"/>
        <v>19</v>
      </c>
      <c r="F12" s="72">
        <v>30.0</v>
      </c>
      <c r="G12" s="76">
        <f t="shared" si="3"/>
        <v>0.6333333333</v>
      </c>
      <c r="H12" s="48">
        <v>11.0</v>
      </c>
      <c r="I12" s="48"/>
      <c r="J12" s="70">
        <f t="shared" si="24"/>
        <v>11</v>
      </c>
      <c r="K12" s="72">
        <v>17.0</v>
      </c>
      <c r="L12" s="76">
        <f t="shared" si="5"/>
        <v>0.6470588235</v>
      </c>
      <c r="M12" s="48">
        <v>72.0</v>
      </c>
      <c r="N12" s="48">
        <v>5.0</v>
      </c>
      <c r="O12" s="70">
        <f t="shared" si="25"/>
        <v>77</v>
      </c>
      <c r="P12" s="72">
        <v>83.0</v>
      </c>
      <c r="Q12" s="76">
        <f t="shared" si="7"/>
        <v>0.9277108434</v>
      </c>
      <c r="R12" s="224">
        <f t="shared" si="26"/>
        <v>38</v>
      </c>
      <c r="S12" s="84">
        <f t="shared" ref="S12:T12" si="27">M12+H12+C12</f>
        <v>101</v>
      </c>
      <c r="T12" s="84">
        <f t="shared" si="27"/>
        <v>6</v>
      </c>
      <c r="U12" s="225">
        <f t="shared" si="28"/>
        <v>145</v>
      </c>
      <c r="V12" s="86">
        <f t="shared" si="29"/>
        <v>130</v>
      </c>
      <c r="W12" s="226">
        <f t="shared" si="30"/>
        <v>-15</v>
      </c>
      <c r="X12" s="46">
        <f t="shared" si="31"/>
        <v>107</v>
      </c>
      <c r="Y12" s="84">
        <f t="shared" si="32"/>
        <v>130</v>
      </c>
      <c r="Z12" s="227">
        <f t="shared" si="33"/>
        <v>0.8230769231</v>
      </c>
      <c r="AA12" s="217">
        <v>45747.0</v>
      </c>
      <c r="AB12" s="99" t="s">
        <v>56</v>
      </c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</row>
    <row r="13">
      <c r="A13" s="62" t="s">
        <v>52</v>
      </c>
      <c r="B13" s="223">
        <f>-'2024 - Q4'!U13</f>
        <v>57</v>
      </c>
      <c r="C13" s="84">
        <v>20.0</v>
      </c>
      <c r="D13" s="84">
        <v>2.0</v>
      </c>
      <c r="E13" s="70">
        <f t="shared" si="23"/>
        <v>22</v>
      </c>
      <c r="F13" s="72">
        <v>26.0</v>
      </c>
      <c r="G13" s="76">
        <f t="shared" si="3"/>
        <v>0.8461538462</v>
      </c>
      <c r="H13" s="48">
        <v>12.0</v>
      </c>
      <c r="I13" s="48"/>
      <c r="J13" s="70">
        <f t="shared" si="24"/>
        <v>12</v>
      </c>
      <c r="K13" s="72">
        <v>13.0</v>
      </c>
      <c r="L13" s="76">
        <f t="shared" si="5"/>
        <v>0.9230769231</v>
      </c>
      <c r="M13" s="48">
        <v>47.0</v>
      </c>
      <c r="N13" s="48">
        <v>1.0</v>
      </c>
      <c r="O13" s="70">
        <f t="shared" si="25"/>
        <v>48</v>
      </c>
      <c r="P13" s="72">
        <v>74.0</v>
      </c>
      <c r="Q13" s="76">
        <f t="shared" si="7"/>
        <v>0.6486486486</v>
      </c>
      <c r="R13" s="224">
        <f t="shared" si="26"/>
        <v>57</v>
      </c>
      <c r="S13" s="84">
        <f t="shared" ref="S13:T13" si="34">M13+H13+C13</f>
        <v>79</v>
      </c>
      <c r="T13" s="84">
        <f t="shared" si="34"/>
        <v>3</v>
      </c>
      <c r="U13" s="225">
        <f t="shared" si="28"/>
        <v>139</v>
      </c>
      <c r="V13" s="86">
        <f t="shared" si="29"/>
        <v>113</v>
      </c>
      <c r="W13" s="226">
        <f t="shared" si="30"/>
        <v>-26</v>
      </c>
      <c r="X13" s="46">
        <f t="shared" si="31"/>
        <v>82</v>
      </c>
      <c r="Y13" s="84">
        <f t="shared" si="32"/>
        <v>113</v>
      </c>
      <c r="Z13" s="227">
        <f t="shared" si="33"/>
        <v>0.7256637168</v>
      </c>
      <c r="AA13" s="217">
        <v>45747.0</v>
      </c>
      <c r="AB13" s="99" t="s">
        <v>56</v>
      </c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</row>
    <row r="14">
      <c r="A14" s="62" t="s">
        <v>53</v>
      </c>
      <c r="B14" s="223">
        <f>-'2024 - Q4'!U14</f>
        <v>35</v>
      </c>
      <c r="C14" s="84">
        <v>36.0</v>
      </c>
      <c r="D14" s="84">
        <v>1.0</v>
      </c>
      <c r="E14" s="70">
        <f t="shared" si="23"/>
        <v>37</v>
      </c>
      <c r="F14" s="72">
        <v>40.0</v>
      </c>
      <c r="G14" s="76">
        <f t="shared" si="3"/>
        <v>0.925</v>
      </c>
      <c r="H14" s="48">
        <v>7.0</v>
      </c>
      <c r="I14" s="48">
        <v>1.0</v>
      </c>
      <c r="J14" s="70">
        <f t="shared" si="24"/>
        <v>8</v>
      </c>
      <c r="K14" s="72">
        <v>24.0</v>
      </c>
      <c r="L14" s="76">
        <f t="shared" si="5"/>
        <v>0.3333333333</v>
      </c>
      <c r="M14" s="48">
        <v>111.0</v>
      </c>
      <c r="N14" s="48">
        <v>5.0</v>
      </c>
      <c r="O14" s="70">
        <f t="shared" si="25"/>
        <v>116</v>
      </c>
      <c r="P14" s="72">
        <v>119.0</v>
      </c>
      <c r="Q14" s="76">
        <f t="shared" si="7"/>
        <v>0.974789916</v>
      </c>
      <c r="R14" s="224">
        <f t="shared" si="26"/>
        <v>35</v>
      </c>
      <c r="S14" s="84">
        <f t="shared" ref="S14:T14" si="35">M14+H14+C14</f>
        <v>154</v>
      </c>
      <c r="T14" s="84">
        <f t="shared" si="35"/>
        <v>7</v>
      </c>
      <c r="U14" s="225">
        <f t="shared" si="28"/>
        <v>196</v>
      </c>
      <c r="V14" s="86">
        <f t="shared" si="29"/>
        <v>183</v>
      </c>
      <c r="W14" s="226">
        <f t="shared" si="30"/>
        <v>-13</v>
      </c>
      <c r="X14" s="46">
        <f t="shared" si="31"/>
        <v>161</v>
      </c>
      <c r="Y14" s="84">
        <f t="shared" si="32"/>
        <v>183</v>
      </c>
      <c r="Z14" s="227">
        <f t="shared" si="33"/>
        <v>0.8797814208</v>
      </c>
      <c r="AA14" s="217">
        <v>45748.0</v>
      </c>
      <c r="AB14" s="99" t="s">
        <v>56</v>
      </c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</row>
    <row r="15">
      <c r="A15" s="112" t="s">
        <v>54</v>
      </c>
      <c r="B15" s="100">
        <f t="shared" ref="B15:F15" si="36">sum(B11:B14)</f>
        <v>161</v>
      </c>
      <c r="C15" s="95">
        <f t="shared" si="36"/>
        <v>86</v>
      </c>
      <c r="D15" s="95">
        <f t="shared" si="36"/>
        <v>4</v>
      </c>
      <c r="E15" s="95">
        <f t="shared" si="36"/>
        <v>90</v>
      </c>
      <c r="F15" s="95">
        <f t="shared" si="36"/>
        <v>123</v>
      </c>
      <c r="G15" s="114">
        <f t="shared" si="3"/>
        <v>0.7317073171</v>
      </c>
      <c r="H15" s="95">
        <f t="shared" ref="H15:K15" si="37">sum(H11:H14)</f>
        <v>34</v>
      </c>
      <c r="I15" s="95">
        <f t="shared" si="37"/>
        <v>1</v>
      </c>
      <c r="J15" s="95">
        <f t="shared" si="37"/>
        <v>35</v>
      </c>
      <c r="K15" s="95">
        <f t="shared" si="37"/>
        <v>71</v>
      </c>
      <c r="L15" s="114">
        <f t="shared" si="5"/>
        <v>0.4929577465</v>
      </c>
      <c r="M15" s="95">
        <f t="shared" ref="M15:P15" si="38">sum(M11:M14)</f>
        <v>312</v>
      </c>
      <c r="N15" s="95">
        <f t="shared" si="38"/>
        <v>17</v>
      </c>
      <c r="O15" s="95">
        <f t="shared" si="38"/>
        <v>329</v>
      </c>
      <c r="P15" s="95">
        <f t="shared" si="38"/>
        <v>361</v>
      </c>
      <c r="Q15" s="114">
        <f t="shared" si="7"/>
        <v>0.9113573407</v>
      </c>
      <c r="R15" s="100">
        <f t="shared" ref="R15:Y15" si="39">sum(R11:R14)</f>
        <v>161</v>
      </c>
      <c r="S15" s="95">
        <f t="shared" si="39"/>
        <v>432</v>
      </c>
      <c r="T15" s="95">
        <f t="shared" si="39"/>
        <v>22</v>
      </c>
      <c r="U15" s="100">
        <f t="shared" si="39"/>
        <v>615</v>
      </c>
      <c r="V15" s="115">
        <f t="shared" si="39"/>
        <v>555</v>
      </c>
      <c r="W15" s="231">
        <f t="shared" si="39"/>
        <v>-60</v>
      </c>
      <c r="X15" s="116">
        <f t="shared" si="39"/>
        <v>454</v>
      </c>
      <c r="Y15" s="95">
        <f t="shared" si="39"/>
        <v>555</v>
      </c>
      <c r="Z15" s="232">
        <f>X15/Y15</f>
        <v>0.818018018</v>
      </c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</row>
    <row r="16">
      <c r="A16" s="62" t="s">
        <v>55</v>
      </c>
      <c r="B16" s="223">
        <f>-'2024 - Q4'!U16</f>
        <v>23</v>
      </c>
      <c r="C16" s="84">
        <v>6.0</v>
      </c>
      <c r="D16" s="84">
        <v>10.0</v>
      </c>
      <c r="E16" s="70">
        <f t="shared" ref="E16:E18" si="41">SUM(C16:D16)</f>
        <v>16</v>
      </c>
      <c r="F16" s="72">
        <v>28.0</v>
      </c>
      <c r="G16" s="76">
        <f t="shared" si="3"/>
        <v>0.5714285714</v>
      </c>
      <c r="H16" s="48">
        <v>5.0</v>
      </c>
      <c r="I16" s="48">
        <v>9.0</v>
      </c>
      <c r="J16" s="70">
        <f t="shared" ref="J16:J18" si="42">SUM(H16:I16)</f>
        <v>14</v>
      </c>
      <c r="K16" s="72">
        <v>15.0</v>
      </c>
      <c r="L16" s="76">
        <f t="shared" si="5"/>
        <v>0.9333333333</v>
      </c>
      <c r="M16" s="48">
        <v>65.0</v>
      </c>
      <c r="N16" s="48">
        <v>23.0</v>
      </c>
      <c r="O16" s="70">
        <f t="shared" ref="O16:O18" si="43">SUM(M16:N16)</f>
        <v>88</v>
      </c>
      <c r="P16" s="72">
        <v>82.0</v>
      </c>
      <c r="Q16" s="76">
        <f t="shared" si="7"/>
        <v>1.073170732</v>
      </c>
      <c r="R16" s="224">
        <f t="shared" ref="R16:R18" si="44">B16</f>
        <v>23</v>
      </c>
      <c r="S16" s="84">
        <f t="shared" ref="S16:T16" si="40">M16+H16+C16</f>
        <v>76</v>
      </c>
      <c r="T16" s="84">
        <f t="shared" si="40"/>
        <v>42</v>
      </c>
      <c r="U16" s="225">
        <f t="shared" ref="U16:U18" si="46">sum(R16:T16)</f>
        <v>141</v>
      </c>
      <c r="V16" s="86">
        <f t="shared" ref="V16:V18" si="47">P16+K16+F16</f>
        <v>125</v>
      </c>
      <c r="W16" s="226">
        <f t="shared" ref="W16:W18" si="48">V16-U16</f>
        <v>-16</v>
      </c>
      <c r="X16" s="46">
        <f t="shared" ref="X16:X18" si="49">T16+S16</f>
        <v>118</v>
      </c>
      <c r="Y16" s="84">
        <f t="shared" ref="Y16:Y18" si="50">V16</f>
        <v>125</v>
      </c>
      <c r="Z16" s="227">
        <f t="shared" ref="Z16:Z18" si="51">(S16+T16)/V16</f>
        <v>0.944</v>
      </c>
      <c r="AA16" s="119">
        <v>45747.0</v>
      </c>
      <c r="AB16" s="99" t="s">
        <v>81</v>
      </c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</row>
    <row r="17">
      <c r="A17" s="62" t="s">
        <v>57</v>
      </c>
      <c r="B17" s="223">
        <f>-'2024 - Q4'!U17</f>
        <v>8</v>
      </c>
      <c r="C17" s="84">
        <v>13.0</v>
      </c>
      <c r="D17" s="84"/>
      <c r="E17" s="70">
        <f t="shared" si="41"/>
        <v>13</v>
      </c>
      <c r="F17" s="72">
        <v>27.0</v>
      </c>
      <c r="G17" s="76">
        <f t="shared" si="3"/>
        <v>0.4814814815</v>
      </c>
      <c r="H17" s="48">
        <v>9.0</v>
      </c>
      <c r="I17" s="48">
        <v>6.0</v>
      </c>
      <c r="J17" s="70">
        <f t="shared" si="42"/>
        <v>15</v>
      </c>
      <c r="K17" s="72">
        <v>14.0</v>
      </c>
      <c r="L17" s="76">
        <f t="shared" si="5"/>
        <v>1.071428571</v>
      </c>
      <c r="M17" s="48">
        <v>75.0</v>
      </c>
      <c r="N17" s="48">
        <v>1.0</v>
      </c>
      <c r="O17" s="70">
        <f t="shared" si="43"/>
        <v>76</v>
      </c>
      <c r="P17" s="72">
        <v>73.0</v>
      </c>
      <c r="Q17" s="76">
        <f t="shared" si="7"/>
        <v>1.04109589</v>
      </c>
      <c r="R17" s="224">
        <f t="shared" si="44"/>
        <v>8</v>
      </c>
      <c r="S17" s="84">
        <f t="shared" ref="S17:T17" si="45">M17+H17+C17</f>
        <v>97</v>
      </c>
      <c r="T17" s="84">
        <f t="shared" si="45"/>
        <v>7</v>
      </c>
      <c r="U17" s="225">
        <f t="shared" si="46"/>
        <v>112</v>
      </c>
      <c r="V17" s="86">
        <f t="shared" si="47"/>
        <v>114</v>
      </c>
      <c r="W17" s="226">
        <f t="shared" si="48"/>
        <v>2</v>
      </c>
      <c r="X17" s="46">
        <f t="shared" si="49"/>
        <v>104</v>
      </c>
      <c r="Y17" s="84">
        <f t="shared" si="50"/>
        <v>114</v>
      </c>
      <c r="Z17" s="227">
        <f t="shared" si="51"/>
        <v>0.9122807018</v>
      </c>
      <c r="AA17" s="119">
        <v>45747.0</v>
      </c>
      <c r="AB17" s="99" t="s">
        <v>81</v>
      </c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</row>
    <row r="18">
      <c r="A18" s="62" t="s">
        <v>58</v>
      </c>
      <c r="B18" s="223">
        <f>-'2024 - Q4'!U18</f>
        <v>16</v>
      </c>
      <c r="C18" s="84">
        <v>5.0</v>
      </c>
      <c r="D18" s="84"/>
      <c r="E18" s="70">
        <f t="shared" si="41"/>
        <v>5</v>
      </c>
      <c r="F18" s="72">
        <v>10.0</v>
      </c>
      <c r="G18" s="76">
        <f t="shared" si="3"/>
        <v>0.5</v>
      </c>
      <c r="H18" s="48">
        <v>6.0</v>
      </c>
      <c r="I18" s="48">
        <v>5.0</v>
      </c>
      <c r="J18" s="70">
        <f t="shared" si="42"/>
        <v>11</v>
      </c>
      <c r="K18" s="72">
        <v>4.0</v>
      </c>
      <c r="L18" s="76">
        <f t="shared" si="5"/>
        <v>2.75</v>
      </c>
      <c r="M18" s="48">
        <v>26.0</v>
      </c>
      <c r="N18" s="48">
        <v>2.0</v>
      </c>
      <c r="O18" s="70">
        <f t="shared" si="43"/>
        <v>28</v>
      </c>
      <c r="P18" s="72">
        <v>31.0</v>
      </c>
      <c r="Q18" s="76">
        <f t="shared" si="7"/>
        <v>0.9032258065</v>
      </c>
      <c r="R18" s="224">
        <f t="shared" si="44"/>
        <v>16</v>
      </c>
      <c r="S18" s="84">
        <f t="shared" ref="S18:T18" si="52">M18+H18+C18</f>
        <v>37</v>
      </c>
      <c r="T18" s="84">
        <f t="shared" si="52"/>
        <v>7</v>
      </c>
      <c r="U18" s="225">
        <f t="shared" si="46"/>
        <v>60</v>
      </c>
      <c r="V18" s="86">
        <f t="shared" si="47"/>
        <v>45</v>
      </c>
      <c r="W18" s="226">
        <f t="shared" si="48"/>
        <v>-15</v>
      </c>
      <c r="X18" s="46">
        <f t="shared" si="49"/>
        <v>44</v>
      </c>
      <c r="Y18" s="84">
        <f t="shared" si="50"/>
        <v>45</v>
      </c>
      <c r="Z18" s="227">
        <f t="shared" si="51"/>
        <v>0.9777777778</v>
      </c>
      <c r="AA18" s="119">
        <v>45747.0</v>
      </c>
      <c r="AB18" s="99" t="s">
        <v>81</v>
      </c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</row>
    <row r="19">
      <c r="A19" s="112" t="s">
        <v>59</v>
      </c>
      <c r="B19" s="100">
        <f t="shared" ref="B19:F19" si="53">sum(B16:B18)</f>
        <v>47</v>
      </c>
      <c r="C19" s="95">
        <f t="shared" si="53"/>
        <v>24</v>
      </c>
      <c r="D19" s="95">
        <f t="shared" si="53"/>
        <v>10</v>
      </c>
      <c r="E19" s="95">
        <f t="shared" si="53"/>
        <v>34</v>
      </c>
      <c r="F19" s="95">
        <f t="shared" si="53"/>
        <v>65</v>
      </c>
      <c r="G19" s="114">
        <f t="shared" si="3"/>
        <v>0.5230769231</v>
      </c>
      <c r="H19" s="95">
        <f t="shared" ref="H19:K19" si="54">sum(H16:H18)</f>
        <v>20</v>
      </c>
      <c r="I19" s="95">
        <f t="shared" si="54"/>
        <v>20</v>
      </c>
      <c r="J19" s="95">
        <f t="shared" si="54"/>
        <v>40</v>
      </c>
      <c r="K19" s="95">
        <f t="shared" si="54"/>
        <v>33</v>
      </c>
      <c r="L19" s="114">
        <f t="shared" si="5"/>
        <v>1.212121212</v>
      </c>
      <c r="M19" s="95">
        <f t="shared" ref="M19:P19" si="55">sum(M16:M18)</f>
        <v>166</v>
      </c>
      <c r="N19" s="95">
        <f t="shared" si="55"/>
        <v>26</v>
      </c>
      <c r="O19" s="95">
        <f t="shared" si="55"/>
        <v>192</v>
      </c>
      <c r="P19" s="95">
        <f t="shared" si="55"/>
        <v>186</v>
      </c>
      <c r="Q19" s="114">
        <f t="shared" si="7"/>
        <v>1.032258065</v>
      </c>
      <c r="R19" s="100">
        <f t="shared" ref="R19:Y19" si="56">sum(R16:R18)</f>
        <v>47</v>
      </c>
      <c r="S19" s="95">
        <f t="shared" si="56"/>
        <v>210</v>
      </c>
      <c r="T19" s="95">
        <f t="shared" si="56"/>
        <v>56</v>
      </c>
      <c r="U19" s="100">
        <f t="shared" si="56"/>
        <v>313</v>
      </c>
      <c r="V19" s="115">
        <f t="shared" si="56"/>
        <v>284</v>
      </c>
      <c r="W19" s="231">
        <f t="shared" si="56"/>
        <v>-29</v>
      </c>
      <c r="X19" s="116">
        <f t="shared" si="56"/>
        <v>266</v>
      </c>
      <c r="Y19" s="95">
        <f t="shared" si="56"/>
        <v>284</v>
      </c>
      <c r="Z19" s="232">
        <f>X19/Y19</f>
        <v>0.9366197183</v>
      </c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</row>
    <row r="20">
      <c r="A20" s="112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37"/>
      <c r="W20" s="121"/>
      <c r="X20" s="138"/>
      <c r="Y20" s="139"/>
      <c r="Z20" s="233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</row>
    <row r="21">
      <c r="A21" s="14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37"/>
      <c r="W21" s="121"/>
      <c r="X21" s="138"/>
      <c r="Y21" s="139"/>
      <c r="Z21" s="233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</row>
    <row r="22">
      <c r="A22" s="143" t="s">
        <v>13</v>
      </c>
      <c r="B22" s="144">
        <f t="shared" ref="B22:F22" si="57">B19+B15+B10</f>
        <v>250</v>
      </c>
      <c r="C22" s="144">
        <f t="shared" si="57"/>
        <v>190</v>
      </c>
      <c r="D22" s="144">
        <f t="shared" si="57"/>
        <v>17</v>
      </c>
      <c r="E22" s="144">
        <f t="shared" si="57"/>
        <v>207</v>
      </c>
      <c r="F22" s="144">
        <f t="shared" si="57"/>
        <v>307</v>
      </c>
      <c r="G22" s="146">
        <f>E22/F22</f>
        <v>0.674267101</v>
      </c>
      <c r="H22" s="144">
        <f t="shared" ref="H22:K22" si="58">H19+H15+H10</f>
        <v>83</v>
      </c>
      <c r="I22" s="144">
        <f t="shared" si="58"/>
        <v>23</v>
      </c>
      <c r="J22" s="144">
        <f t="shared" si="58"/>
        <v>106</v>
      </c>
      <c r="K22" s="144">
        <f t="shared" si="58"/>
        <v>171</v>
      </c>
      <c r="L22" s="146">
        <f>J22/K22</f>
        <v>0.6198830409</v>
      </c>
      <c r="M22" s="144">
        <f t="shared" ref="M22:P22" si="59">M19+M15+M10</f>
        <v>796</v>
      </c>
      <c r="N22" s="144">
        <f t="shared" si="59"/>
        <v>52</v>
      </c>
      <c r="O22" s="144">
        <f t="shared" si="59"/>
        <v>848</v>
      </c>
      <c r="P22" s="144">
        <f t="shared" si="59"/>
        <v>894</v>
      </c>
      <c r="Q22" s="146">
        <f>O22/P22</f>
        <v>0.9485458613</v>
      </c>
      <c r="R22" s="144">
        <f t="shared" ref="R22:Y22" si="60">R19+R15+R10</f>
        <v>250</v>
      </c>
      <c r="S22" s="144">
        <f t="shared" si="60"/>
        <v>1069</v>
      </c>
      <c r="T22" s="144">
        <f t="shared" si="60"/>
        <v>92</v>
      </c>
      <c r="U22" s="144">
        <f t="shared" si="60"/>
        <v>1411</v>
      </c>
      <c r="V22" s="150">
        <f t="shared" si="60"/>
        <v>1372</v>
      </c>
      <c r="W22" s="153">
        <f t="shared" si="60"/>
        <v>-39</v>
      </c>
      <c r="X22" s="153">
        <f t="shared" si="60"/>
        <v>1161</v>
      </c>
      <c r="Y22" s="144">
        <f t="shared" si="60"/>
        <v>1372</v>
      </c>
      <c r="Z22" s="238">
        <f>(S22+T22)/V22</f>
        <v>0.8462099125</v>
      </c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</row>
    <row r="23">
      <c r="Y23" s="69">
        <f>X22-Y22</f>
        <v>-211</v>
      </c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</row>
    <row r="24" ht="1.5" customHeight="1"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</row>
    <row r="25" ht="3.0" customHeight="1"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</row>
    <row r="26">
      <c r="A26" s="257" t="s">
        <v>122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21"/>
      <c r="P26" s="178"/>
      <c r="Q26" s="178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</row>
    <row r="27">
      <c r="A27" s="39"/>
      <c r="B27" s="194"/>
      <c r="C27" s="194"/>
      <c r="G27" s="178"/>
      <c r="H27" s="178"/>
      <c r="L27" s="178"/>
      <c r="M27" s="178"/>
      <c r="N27" s="178"/>
      <c r="O27" s="199"/>
      <c r="P27" s="178"/>
      <c r="Q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</row>
    <row r="28">
      <c r="A28" s="43"/>
      <c r="B28" s="179" t="s">
        <v>26</v>
      </c>
      <c r="C28" s="179" t="s">
        <v>27</v>
      </c>
      <c r="D28" s="179" t="s">
        <v>86</v>
      </c>
      <c r="E28" s="179"/>
      <c r="F28" s="179" t="s">
        <v>123</v>
      </c>
      <c r="G28" s="179" t="s">
        <v>124</v>
      </c>
      <c r="H28" s="179"/>
      <c r="I28" s="179"/>
      <c r="J28" s="179" t="s">
        <v>125</v>
      </c>
      <c r="K28" s="179" t="s">
        <v>126</v>
      </c>
      <c r="L28" s="179"/>
      <c r="M28" s="179"/>
      <c r="N28" s="179" t="s">
        <v>127</v>
      </c>
      <c r="O28" s="181"/>
      <c r="P28" s="179"/>
      <c r="R28" s="179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</row>
    <row r="29">
      <c r="A29" s="46" t="s">
        <v>22</v>
      </c>
      <c r="B29" s="70">
        <f t="shared" ref="B29:B32" si="61">S6+T6</f>
        <v>156</v>
      </c>
      <c r="C29" s="72">
        <f t="shared" ref="C29:C32" si="62">V6</f>
        <v>161</v>
      </c>
      <c r="D29" s="205">
        <f t="shared" ref="D29:D32" si="63">C29-B29</f>
        <v>5</v>
      </c>
      <c r="E29" s="76"/>
      <c r="F29" s="72">
        <f>roundup($C29*1.05,0)</f>
        <v>170</v>
      </c>
      <c r="G29" s="72">
        <f t="shared" ref="G29:G31" si="64">roundup($C29*1.1,0)</f>
        <v>178</v>
      </c>
      <c r="H29" s="179"/>
      <c r="I29" s="76"/>
      <c r="J29" s="205">
        <f t="shared" ref="J29:J32" si="65">B29-F29</f>
        <v>-14</v>
      </c>
      <c r="K29" s="205">
        <f t="shared" ref="K29:K32" si="66">B29-G29</f>
        <v>-22</v>
      </c>
      <c r="L29" s="179"/>
      <c r="M29" s="76"/>
      <c r="N29" s="260">
        <f t="shared" ref="N29:N32" si="67">B29/B$33*O$33</f>
        <v>0</v>
      </c>
      <c r="O29" s="254"/>
      <c r="P29" s="76"/>
      <c r="Q29" s="76"/>
      <c r="Y29" s="37">
        <v>0.0</v>
      </c>
      <c r="Z29" s="37">
        <v>0.0</v>
      </c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</row>
    <row r="30">
      <c r="A30" s="46" t="s">
        <v>36</v>
      </c>
      <c r="B30" s="70">
        <f t="shared" si="61"/>
        <v>92</v>
      </c>
      <c r="C30" s="72">
        <f t="shared" si="62"/>
        <v>126</v>
      </c>
      <c r="D30" s="205">
        <f t="shared" si="63"/>
        <v>34</v>
      </c>
      <c r="E30" s="76"/>
      <c r="F30" s="72">
        <f t="shared" ref="F30:F31" si="68">roundup(C30*1.05,0)</f>
        <v>133</v>
      </c>
      <c r="G30" s="72">
        <f t="shared" si="64"/>
        <v>139</v>
      </c>
      <c r="H30" s="179"/>
      <c r="I30" s="76"/>
      <c r="J30" s="205">
        <f t="shared" si="65"/>
        <v>-41</v>
      </c>
      <c r="K30" s="205">
        <f t="shared" si="66"/>
        <v>-47</v>
      </c>
      <c r="L30" s="179"/>
      <c r="M30" s="76"/>
      <c r="N30" s="260">
        <f t="shared" si="67"/>
        <v>0</v>
      </c>
      <c r="O30" s="254"/>
      <c r="P30" s="76"/>
      <c r="Q30" s="76"/>
      <c r="Y30" s="69">
        <f>F33</f>
        <v>560</v>
      </c>
      <c r="Z30" s="37">
        <v>400.0</v>
      </c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</row>
    <row r="31">
      <c r="A31" s="46" t="s">
        <v>40</v>
      </c>
      <c r="B31" s="70">
        <f t="shared" si="61"/>
        <v>96</v>
      </c>
      <c r="C31" s="72">
        <f t="shared" si="62"/>
        <v>109</v>
      </c>
      <c r="D31" s="205">
        <f t="shared" si="63"/>
        <v>13</v>
      </c>
      <c r="E31" s="76"/>
      <c r="F31" s="72">
        <f t="shared" si="68"/>
        <v>115</v>
      </c>
      <c r="G31" s="72">
        <f t="shared" si="64"/>
        <v>120</v>
      </c>
      <c r="H31" s="179"/>
      <c r="I31" s="76"/>
      <c r="J31" s="205">
        <f t="shared" si="65"/>
        <v>-19</v>
      </c>
      <c r="K31" s="205">
        <f t="shared" si="66"/>
        <v>-24</v>
      </c>
      <c r="L31" s="179"/>
      <c r="M31" s="76"/>
      <c r="N31" s="260">
        <f t="shared" si="67"/>
        <v>0</v>
      </c>
      <c r="O31" s="254"/>
      <c r="P31" s="76"/>
      <c r="Q31" s="76"/>
      <c r="Y31" s="69">
        <f>G33</f>
        <v>587</v>
      </c>
      <c r="Z31" s="37">
        <v>500.0</v>
      </c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</row>
    <row r="32">
      <c r="A32" s="46" t="s">
        <v>41</v>
      </c>
      <c r="B32" s="70">
        <f t="shared" si="61"/>
        <v>97</v>
      </c>
      <c r="C32" s="72">
        <f t="shared" si="62"/>
        <v>137</v>
      </c>
      <c r="D32" s="205">
        <f t="shared" si="63"/>
        <v>40</v>
      </c>
      <c r="E32" s="76"/>
      <c r="F32" s="242">
        <f>F33-F31-F30-F29</f>
        <v>142</v>
      </c>
      <c r="G32" s="242">
        <f>G33-G29-G30-G31</f>
        <v>150</v>
      </c>
      <c r="H32" s="179"/>
      <c r="I32" s="76"/>
      <c r="J32" s="261">
        <f t="shared" si="65"/>
        <v>-45</v>
      </c>
      <c r="K32" s="261">
        <f t="shared" si="66"/>
        <v>-53</v>
      </c>
      <c r="L32" s="179"/>
      <c r="M32" s="76"/>
      <c r="N32" s="260">
        <f t="shared" si="67"/>
        <v>0</v>
      </c>
      <c r="O32" s="254"/>
      <c r="P32" s="76"/>
      <c r="Q32" s="76"/>
      <c r="X32" s="162">
        <f>today()</f>
        <v>46295</v>
      </c>
      <c r="Y32" s="66" t="str">
        <f>H33</f>
        <v/>
      </c>
      <c r="Z32" s="37">
        <v>600.0</v>
      </c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</row>
    <row r="33">
      <c r="A33" s="94" t="s">
        <v>44</v>
      </c>
      <c r="B33" s="100">
        <f t="shared" ref="B33:D33" si="69">sum(B29:B32)</f>
        <v>441</v>
      </c>
      <c r="C33" s="100">
        <f t="shared" si="69"/>
        <v>533</v>
      </c>
      <c r="D33" s="100">
        <f t="shared" si="69"/>
        <v>92</v>
      </c>
      <c r="E33" s="114"/>
      <c r="F33" s="100">
        <f>roundup($C33*1.05,0)</f>
        <v>560</v>
      </c>
      <c r="G33" s="100">
        <f>roundup($C33*1.1,0)</f>
        <v>587</v>
      </c>
      <c r="H33" s="179"/>
      <c r="I33" s="114"/>
      <c r="J33" s="100">
        <f t="shared" ref="J33:K33" si="70">sum(J29:J32)</f>
        <v>-119</v>
      </c>
      <c r="K33" s="100">
        <f t="shared" si="70"/>
        <v>-146</v>
      </c>
      <c r="L33" s="179"/>
      <c r="M33" s="114"/>
      <c r="N33" s="100">
        <f>sum(N29:N32)</f>
        <v>0</v>
      </c>
      <c r="O33" s="262">
        <f>lookup(B33,Y29:Z32)*(B33-C33)</f>
        <v>0</v>
      </c>
      <c r="P33" s="114"/>
      <c r="Q33" s="114"/>
      <c r="X33" s="7">
        <v>45747.0</v>
      </c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</row>
    <row r="34">
      <c r="A34" s="46"/>
      <c r="B34" s="76"/>
      <c r="C34" s="76"/>
      <c r="D34" s="76"/>
      <c r="E34" s="263" t="s">
        <v>128</v>
      </c>
      <c r="F34" s="264">
        <f>400*(F33-C33)</f>
        <v>10800</v>
      </c>
      <c r="G34" s="264">
        <f>500*(G33-C33)</f>
        <v>27000</v>
      </c>
      <c r="H34" s="179"/>
      <c r="I34" s="263" t="s">
        <v>33</v>
      </c>
      <c r="J34" s="260">
        <f t="shared" ref="J34:K34" si="71">-J33/$X$35</f>
        <v>-1.525641026</v>
      </c>
      <c r="K34" s="260">
        <f t="shared" si="71"/>
        <v>-1.871794872</v>
      </c>
      <c r="L34" s="179"/>
      <c r="M34" s="76"/>
      <c r="N34" s="76"/>
      <c r="O34" s="254"/>
      <c r="P34" s="76"/>
      <c r="Q34" s="76"/>
      <c r="X34" s="66">
        <f>X33-X32</f>
        <v>-548</v>
      </c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</row>
    <row r="35">
      <c r="A35" s="46" t="s">
        <v>47</v>
      </c>
      <c r="B35" s="70">
        <f t="shared" ref="B35:B38" si="72">S11+T11</f>
        <v>104</v>
      </c>
      <c r="C35" s="72">
        <f t="shared" ref="C35:C38" si="73">V11</f>
        <v>129</v>
      </c>
      <c r="D35" s="205">
        <f t="shared" ref="D35:D38" si="74">C35-B35</f>
        <v>25</v>
      </c>
      <c r="E35" s="76"/>
      <c r="F35" s="72">
        <f t="shared" ref="F35:F37" si="75">roundup(C35*1.05,0)</f>
        <v>136</v>
      </c>
      <c r="G35" s="72">
        <f t="shared" ref="G35:G37" si="76">roundup($C35*1.1,0)</f>
        <v>142</v>
      </c>
      <c r="H35" s="179"/>
      <c r="I35" s="76"/>
      <c r="J35" s="205">
        <f t="shared" ref="J35:J38" si="77">B35-F35</f>
        <v>-32</v>
      </c>
      <c r="K35" s="205">
        <f t="shared" ref="K35:K38" si="78">B35-G35</f>
        <v>-38</v>
      </c>
      <c r="L35" s="179"/>
      <c r="M35" s="76"/>
      <c r="N35" s="260">
        <f t="shared" ref="N35:N38" si="79">B35/B$39*O$39</f>
        <v>0</v>
      </c>
      <c r="O35" s="254"/>
      <c r="P35" s="76"/>
      <c r="Q35" s="76"/>
      <c r="X35" s="66">
        <f>round(X34/7,0)</f>
        <v>-78</v>
      </c>
      <c r="Y35" s="37">
        <v>0.0</v>
      </c>
      <c r="Z35" s="37">
        <v>0.0</v>
      </c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</row>
    <row r="36">
      <c r="A36" s="46" t="s">
        <v>51</v>
      </c>
      <c r="B36" s="70">
        <f t="shared" si="72"/>
        <v>107</v>
      </c>
      <c r="C36" s="72">
        <f t="shared" si="73"/>
        <v>130</v>
      </c>
      <c r="D36" s="205">
        <f t="shared" si="74"/>
        <v>23</v>
      </c>
      <c r="E36" s="76"/>
      <c r="F36" s="72">
        <f t="shared" si="75"/>
        <v>137</v>
      </c>
      <c r="G36" s="72">
        <f t="shared" si="76"/>
        <v>143</v>
      </c>
      <c r="H36" s="179"/>
      <c r="I36" s="76"/>
      <c r="J36" s="205">
        <f t="shared" si="77"/>
        <v>-30</v>
      </c>
      <c r="K36" s="205">
        <f t="shared" si="78"/>
        <v>-36</v>
      </c>
      <c r="L36" s="179"/>
      <c r="M36" s="76"/>
      <c r="N36" s="260">
        <f t="shared" si="79"/>
        <v>0</v>
      </c>
      <c r="O36" s="254"/>
      <c r="P36" s="76"/>
      <c r="Q36" s="76"/>
      <c r="Y36" s="69">
        <f>F39</f>
        <v>583</v>
      </c>
      <c r="Z36" s="37">
        <v>400.0</v>
      </c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</row>
    <row r="37">
      <c r="A37" s="46" t="s">
        <v>52</v>
      </c>
      <c r="B37" s="70">
        <f t="shared" si="72"/>
        <v>82</v>
      </c>
      <c r="C37" s="72">
        <f t="shared" si="73"/>
        <v>113</v>
      </c>
      <c r="D37" s="205">
        <f t="shared" si="74"/>
        <v>31</v>
      </c>
      <c r="E37" s="76"/>
      <c r="F37" s="72">
        <f t="shared" si="75"/>
        <v>119</v>
      </c>
      <c r="G37" s="72">
        <f t="shared" si="76"/>
        <v>125</v>
      </c>
      <c r="H37" s="179"/>
      <c r="I37" s="76"/>
      <c r="J37" s="205">
        <f t="shared" si="77"/>
        <v>-37</v>
      </c>
      <c r="K37" s="205">
        <f t="shared" si="78"/>
        <v>-43</v>
      </c>
      <c r="L37" s="179"/>
      <c r="M37" s="76"/>
      <c r="N37" s="260">
        <f t="shared" si="79"/>
        <v>0</v>
      </c>
      <c r="O37" s="254"/>
      <c r="P37" s="76"/>
      <c r="Q37" s="76"/>
      <c r="Y37" s="69">
        <f>G39</f>
        <v>611</v>
      </c>
      <c r="Z37" s="37">
        <v>500.0</v>
      </c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</row>
    <row r="38">
      <c r="A38" s="46" t="s">
        <v>53</v>
      </c>
      <c r="B38" s="70">
        <f t="shared" si="72"/>
        <v>161</v>
      </c>
      <c r="C38" s="72">
        <f t="shared" si="73"/>
        <v>183</v>
      </c>
      <c r="D38" s="205">
        <f t="shared" si="74"/>
        <v>22</v>
      </c>
      <c r="E38" s="76"/>
      <c r="F38" s="242">
        <f>F39-F37-F36-F35</f>
        <v>191</v>
      </c>
      <c r="G38" s="242">
        <f>G39-G35-G36-G37</f>
        <v>201</v>
      </c>
      <c r="H38" s="179"/>
      <c r="I38" s="76"/>
      <c r="J38" s="261">
        <f t="shared" si="77"/>
        <v>-30</v>
      </c>
      <c r="K38" s="261">
        <f t="shared" si="78"/>
        <v>-40</v>
      </c>
      <c r="L38" s="179"/>
      <c r="M38" s="76"/>
      <c r="N38" s="260">
        <f t="shared" si="79"/>
        <v>0</v>
      </c>
      <c r="O38" s="254"/>
      <c r="P38" s="76"/>
      <c r="Q38" s="76"/>
      <c r="Y38" s="66" t="str">
        <f>H39</f>
        <v/>
      </c>
      <c r="Z38" s="37">
        <v>600.0</v>
      </c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</row>
    <row r="39">
      <c r="A39" s="94" t="s">
        <v>54</v>
      </c>
      <c r="B39" s="100">
        <f t="shared" ref="B39:D39" si="80">sum(B35:B38)</f>
        <v>454</v>
      </c>
      <c r="C39" s="100">
        <f t="shared" si="80"/>
        <v>555</v>
      </c>
      <c r="D39" s="100">
        <f t="shared" si="80"/>
        <v>101</v>
      </c>
      <c r="E39" s="114"/>
      <c r="F39" s="100">
        <f>roundup(C39*1.05,0)</f>
        <v>583</v>
      </c>
      <c r="G39" s="100">
        <f>roundup($C39*1.1,0)</f>
        <v>611</v>
      </c>
      <c r="H39" s="179"/>
      <c r="I39" s="114"/>
      <c r="J39" s="100">
        <f t="shared" ref="J39:K39" si="81">sum(J35:J38)</f>
        <v>-129</v>
      </c>
      <c r="K39" s="100">
        <f t="shared" si="81"/>
        <v>-157</v>
      </c>
      <c r="L39" s="179"/>
      <c r="M39" s="114"/>
      <c r="N39" s="100">
        <f>sum(N35:N38)</f>
        <v>0</v>
      </c>
      <c r="O39" s="262">
        <f>lookup(B39,Y35:Z38)*(B39-C39)</f>
        <v>0</v>
      </c>
      <c r="P39" s="114"/>
      <c r="Q39" s="114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</row>
    <row r="40">
      <c r="A40" s="46"/>
      <c r="B40" s="76"/>
      <c r="C40" s="76"/>
      <c r="D40" s="76"/>
      <c r="E40" s="263" t="s">
        <v>128</v>
      </c>
      <c r="F40" s="264">
        <f>400*(F39-$C39)</f>
        <v>11200</v>
      </c>
      <c r="G40" s="264">
        <f>500*(G39-$C39)</f>
        <v>28000</v>
      </c>
      <c r="H40" s="179"/>
      <c r="I40" s="263" t="s">
        <v>33</v>
      </c>
      <c r="J40" s="260">
        <f t="shared" ref="J40:K40" si="82">-J39/$X$35</f>
        <v>-1.653846154</v>
      </c>
      <c r="K40" s="260">
        <f t="shared" si="82"/>
        <v>-2.012820513</v>
      </c>
      <c r="L40" s="179"/>
      <c r="M40" s="76"/>
      <c r="N40" s="76"/>
      <c r="O40" s="254"/>
      <c r="P40" s="76"/>
      <c r="Q40" s="76"/>
      <c r="Y40" s="37">
        <v>0.0</v>
      </c>
      <c r="Z40" s="37">
        <v>0.0</v>
      </c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</row>
    <row r="41">
      <c r="A41" s="46" t="s">
        <v>55</v>
      </c>
      <c r="B41" s="70">
        <f t="shared" ref="B41:B43" si="83">S16+T16</f>
        <v>118</v>
      </c>
      <c r="C41" s="72">
        <f t="shared" ref="C41:C43" si="84">V16</f>
        <v>125</v>
      </c>
      <c r="D41" s="205">
        <f t="shared" ref="D41:D43" si="85">C41-B41</f>
        <v>7</v>
      </c>
      <c r="E41" s="76"/>
      <c r="F41" s="242">
        <f>F44-F42-F43</f>
        <v>131</v>
      </c>
      <c r="G41" s="72">
        <f t="shared" ref="G41:G42" si="86">roundup($C41*1.1,0)</f>
        <v>138</v>
      </c>
      <c r="H41" s="179"/>
      <c r="I41" s="76"/>
      <c r="J41" s="261">
        <f t="shared" ref="J41:J43" si="87">B41-F41</f>
        <v>-13</v>
      </c>
      <c r="K41" s="205">
        <f t="shared" ref="K41:K43" si="88">B41-G41</f>
        <v>-20</v>
      </c>
      <c r="L41" s="179"/>
      <c r="M41" s="76"/>
      <c r="N41" s="260">
        <f t="shared" ref="N41:N43" si="89">B41/B$44*O$44</f>
        <v>0</v>
      </c>
      <c r="O41" s="254"/>
      <c r="P41" s="76"/>
      <c r="Q41" s="76"/>
      <c r="Y41" s="69">
        <f>F44</f>
        <v>299</v>
      </c>
      <c r="Z41" s="37">
        <v>400.0</v>
      </c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</row>
    <row r="42">
      <c r="A42" s="46" t="s">
        <v>57</v>
      </c>
      <c r="B42" s="70">
        <f t="shared" si="83"/>
        <v>104</v>
      </c>
      <c r="C42" s="72">
        <f t="shared" si="84"/>
        <v>114</v>
      </c>
      <c r="D42" s="205">
        <f t="shared" si="85"/>
        <v>10</v>
      </c>
      <c r="E42" s="76"/>
      <c r="F42" s="72">
        <f t="shared" ref="F42:F44" si="90">roundup(C42*1.05,0)</f>
        <v>120</v>
      </c>
      <c r="G42" s="72">
        <f t="shared" si="86"/>
        <v>126</v>
      </c>
      <c r="H42" s="179"/>
      <c r="I42" s="76"/>
      <c r="J42" s="205">
        <f t="shared" si="87"/>
        <v>-16</v>
      </c>
      <c r="K42" s="205">
        <f t="shared" si="88"/>
        <v>-22</v>
      </c>
      <c r="L42" s="179"/>
      <c r="M42" s="76"/>
      <c r="N42" s="260">
        <f t="shared" si="89"/>
        <v>0</v>
      </c>
      <c r="O42" s="254"/>
      <c r="P42" s="76"/>
      <c r="Q42" s="76"/>
      <c r="Y42" s="69">
        <f>G44</f>
        <v>313</v>
      </c>
      <c r="Z42" s="37">
        <v>500.0</v>
      </c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</row>
    <row r="43">
      <c r="A43" s="46" t="s">
        <v>58</v>
      </c>
      <c r="B43" s="70">
        <f t="shared" si="83"/>
        <v>44</v>
      </c>
      <c r="C43" s="72">
        <f t="shared" si="84"/>
        <v>45</v>
      </c>
      <c r="D43" s="205">
        <f t="shared" si="85"/>
        <v>1</v>
      </c>
      <c r="E43" s="76"/>
      <c r="F43" s="72">
        <f t="shared" si="90"/>
        <v>48</v>
      </c>
      <c r="G43" s="242">
        <f>G44-G41-G42</f>
        <v>49</v>
      </c>
      <c r="H43" s="179"/>
      <c r="I43" s="76"/>
      <c r="J43" s="205">
        <f t="shared" si="87"/>
        <v>-4</v>
      </c>
      <c r="K43" s="261">
        <f t="shared" si="88"/>
        <v>-5</v>
      </c>
      <c r="L43" s="179"/>
      <c r="M43" s="76"/>
      <c r="N43" s="260">
        <f t="shared" si="89"/>
        <v>0</v>
      </c>
      <c r="O43" s="254"/>
      <c r="P43" s="76"/>
      <c r="Q43" s="76"/>
      <c r="Y43" s="66" t="str">
        <f>H44</f>
        <v/>
      </c>
      <c r="Z43" s="37">
        <v>600.0</v>
      </c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</row>
    <row r="44">
      <c r="A44" s="94" t="s">
        <v>59</v>
      </c>
      <c r="B44" s="100">
        <f t="shared" ref="B44:D44" si="91">sum(B41:B43)</f>
        <v>266</v>
      </c>
      <c r="C44" s="100">
        <f t="shared" si="91"/>
        <v>284</v>
      </c>
      <c r="D44" s="100">
        <f t="shared" si="91"/>
        <v>18</v>
      </c>
      <c r="E44" s="114"/>
      <c r="F44" s="100">
        <f t="shared" si="90"/>
        <v>299</v>
      </c>
      <c r="G44" s="100">
        <f>roundup($C44*1.1,0)</f>
        <v>313</v>
      </c>
      <c r="H44" s="179"/>
      <c r="I44" s="114"/>
      <c r="J44" s="100">
        <f t="shared" ref="J44:K44" si="92">sum(J41:J43)</f>
        <v>-33</v>
      </c>
      <c r="K44" s="100">
        <f t="shared" si="92"/>
        <v>-47</v>
      </c>
      <c r="L44" s="179"/>
      <c r="M44" s="114"/>
      <c r="N44" s="100">
        <f>sum(N41:N43)</f>
        <v>0</v>
      </c>
      <c r="O44" s="262">
        <f>lookup(B44,Y40:Z43)*(B44-C44)</f>
        <v>0</v>
      </c>
      <c r="P44" s="114"/>
      <c r="Q44" s="114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</row>
    <row r="45">
      <c r="A45" s="94"/>
      <c r="B45" s="120"/>
      <c r="C45" s="120"/>
      <c r="D45" s="120"/>
      <c r="E45" s="263" t="s">
        <v>128</v>
      </c>
      <c r="F45" s="264">
        <f>400*(F44-$C44)</f>
        <v>6000</v>
      </c>
      <c r="G45" s="264">
        <f>500*(G44-$C44)</f>
        <v>14500</v>
      </c>
      <c r="H45" s="179"/>
      <c r="I45" s="263" t="s">
        <v>33</v>
      </c>
      <c r="J45" s="260">
        <f t="shared" ref="J45:K45" si="93">-J44/$X$35</f>
        <v>-0.4230769231</v>
      </c>
      <c r="K45" s="260">
        <f t="shared" si="93"/>
        <v>-0.6025641026</v>
      </c>
      <c r="L45" s="179"/>
      <c r="M45" s="120"/>
      <c r="N45" s="120"/>
      <c r="O45" s="137"/>
      <c r="P45" s="120"/>
      <c r="Q45" s="120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</row>
    <row r="46">
      <c r="A46" s="94"/>
      <c r="B46" s="114"/>
      <c r="C46" s="114"/>
      <c r="D46" s="114"/>
      <c r="E46" s="114"/>
      <c r="F46" s="114"/>
      <c r="G46" s="114"/>
      <c r="H46" s="179"/>
      <c r="I46" s="114"/>
      <c r="J46" s="114"/>
      <c r="K46" s="114"/>
      <c r="L46" s="179"/>
      <c r="M46" s="114"/>
      <c r="N46" s="114"/>
      <c r="O46" s="271"/>
      <c r="P46" s="114"/>
      <c r="Q46" s="114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</row>
    <row r="47">
      <c r="A47" s="94" t="s">
        <v>13</v>
      </c>
      <c r="B47" s="100">
        <f t="shared" ref="B47:D47" si="94">B44+B39+B33</f>
        <v>1161</v>
      </c>
      <c r="C47" s="100">
        <f t="shared" si="94"/>
        <v>1372</v>
      </c>
      <c r="D47" s="100">
        <f t="shared" si="94"/>
        <v>211</v>
      </c>
      <c r="E47" s="114"/>
      <c r="F47" s="100">
        <f>roundup(C47*1.05,0)</f>
        <v>1441</v>
      </c>
      <c r="G47" s="100">
        <f>roundup($C47*1.1,0)</f>
        <v>1510</v>
      </c>
      <c r="H47" s="179"/>
      <c r="I47" s="114"/>
      <c r="J47" s="100">
        <f t="shared" ref="J47:K47" si="95">J44+J39+J33</f>
        <v>-281</v>
      </c>
      <c r="K47" s="100">
        <f t="shared" si="95"/>
        <v>-350</v>
      </c>
      <c r="L47" s="179"/>
      <c r="M47" s="114"/>
      <c r="N47" s="100">
        <f>N44+N39+N33</f>
        <v>0</v>
      </c>
      <c r="O47" s="271"/>
      <c r="P47" s="114"/>
      <c r="Q47" s="114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</row>
    <row r="48">
      <c r="A48" s="273"/>
      <c r="B48" s="274"/>
      <c r="C48" s="274"/>
      <c r="D48" s="274"/>
      <c r="E48" s="275" t="s">
        <v>128</v>
      </c>
      <c r="F48" s="276">
        <f>400*(F47-$C47)</f>
        <v>27600</v>
      </c>
      <c r="G48" s="276">
        <f>500*(G47-$C47)</f>
        <v>69000</v>
      </c>
      <c r="H48" s="276"/>
      <c r="I48" s="275" t="s">
        <v>33</v>
      </c>
      <c r="J48" s="277">
        <f t="shared" ref="J48:K48" si="96">-J47/$X$35</f>
        <v>-3.602564103</v>
      </c>
      <c r="K48" s="277">
        <f t="shared" si="96"/>
        <v>-4.487179487</v>
      </c>
      <c r="L48" s="277"/>
      <c r="M48" s="274"/>
      <c r="N48" s="274"/>
      <c r="O48" s="278"/>
      <c r="P48" s="120"/>
      <c r="Q48" s="120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</row>
    <row r="50"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</row>
    <row r="51">
      <c r="A51" s="202" t="s">
        <v>131</v>
      </c>
      <c r="B51" s="15"/>
      <c r="C51" s="15"/>
      <c r="D51" s="15"/>
      <c r="E51" s="15"/>
      <c r="F51" s="15"/>
      <c r="G51" s="21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</row>
    <row r="52">
      <c r="A52" s="25"/>
      <c r="G52" s="41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</row>
    <row r="53">
      <c r="A53" s="43"/>
      <c r="B53" s="179" t="s">
        <v>26</v>
      </c>
      <c r="C53" s="179" t="s">
        <v>27</v>
      </c>
      <c r="D53" s="179" t="s">
        <v>86</v>
      </c>
      <c r="F53" s="179" t="s">
        <v>87</v>
      </c>
      <c r="G53" s="41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</row>
    <row r="54">
      <c r="A54" s="46" t="s">
        <v>22</v>
      </c>
      <c r="B54" s="70">
        <v>2.0</v>
      </c>
      <c r="C54" s="72">
        <v>2.0</v>
      </c>
      <c r="D54" s="205">
        <f t="shared" ref="D54:D57" si="97">C54-B54</f>
        <v>0</v>
      </c>
      <c r="F54" s="205">
        <v>0.0</v>
      </c>
      <c r="G54" s="41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</row>
    <row r="55">
      <c r="A55" s="46" t="s">
        <v>36</v>
      </c>
      <c r="B55" s="70">
        <v>1.0</v>
      </c>
      <c r="C55" s="72">
        <v>2.0</v>
      </c>
      <c r="D55" s="205">
        <f t="shared" si="97"/>
        <v>1</v>
      </c>
      <c r="F55" s="205">
        <v>0.0</v>
      </c>
      <c r="G55" s="41"/>
      <c r="I55" s="37">
        <v>2.0</v>
      </c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</row>
    <row r="56">
      <c r="A56" s="46" t="s">
        <v>40</v>
      </c>
      <c r="B56" s="70">
        <v>1.0</v>
      </c>
      <c r="C56" s="72">
        <v>2.0</v>
      </c>
      <c r="D56" s="205">
        <f t="shared" si="97"/>
        <v>1</v>
      </c>
      <c r="F56" s="205">
        <v>0.0</v>
      </c>
      <c r="G56" s="41"/>
    </row>
    <row r="57">
      <c r="A57" s="46" t="s">
        <v>41</v>
      </c>
      <c r="B57" s="70">
        <v>1.0</v>
      </c>
      <c r="C57" s="72">
        <v>2.0</v>
      </c>
      <c r="D57" s="205">
        <f t="shared" si="97"/>
        <v>1</v>
      </c>
      <c r="F57" s="205">
        <v>0.0</v>
      </c>
      <c r="G57" s="41"/>
    </row>
    <row r="58">
      <c r="A58" s="94" t="s">
        <v>44</v>
      </c>
      <c r="B58" s="100">
        <f t="shared" ref="B58:D58" si="98">sum(B54:B57)</f>
        <v>5</v>
      </c>
      <c r="C58" s="100">
        <f t="shared" si="98"/>
        <v>8</v>
      </c>
      <c r="D58" s="100">
        <f t="shared" si="98"/>
        <v>3</v>
      </c>
      <c r="F58" s="100">
        <f>sum(F54:F57)</f>
        <v>0</v>
      </c>
      <c r="G58" s="41"/>
    </row>
    <row r="59">
      <c r="A59" s="46"/>
      <c r="B59" s="76"/>
      <c r="C59" s="76"/>
      <c r="D59" s="76"/>
      <c r="F59" s="76"/>
      <c r="G59" s="41"/>
    </row>
    <row r="60">
      <c r="A60" s="46" t="s">
        <v>47</v>
      </c>
      <c r="B60" s="70">
        <v>1.0</v>
      </c>
      <c r="C60" s="72">
        <v>2.0</v>
      </c>
      <c r="D60" s="205">
        <f t="shared" ref="D60:D63" si="99">C60-B60</f>
        <v>1</v>
      </c>
      <c r="F60" s="205">
        <v>0.0</v>
      </c>
      <c r="G60" s="41"/>
      <c r="I60" s="37">
        <v>1.0</v>
      </c>
    </row>
    <row r="61">
      <c r="A61" s="46" t="s">
        <v>51</v>
      </c>
      <c r="B61" s="70">
        <v>1.0</v>
      </c>
      <c r="C61" s="72">
        <v>2.0</v>
      </c>
      <c r="D61" s="205">
        <f t="shared" si="99"/>
        <v>1</v>
      </c>
      <c r="F61" s="205">
        <v>0.0</v>
      </c>
      <c r="G61" s="41"/>
    </row>
    <row r="62">
      <c r="A62" s="46" t="s">
        <v>52</v>
      </c>
      <c r="B62" s="70">
        <v>1.0</v>
      </c>
      <c r="C62" s="72">
        <v>2.0</v>
      </c>
      <c r="D62" s="205">
        <f t="shared" si="99"/>
        <v>1</v>
      </c>
      <c r="F62" s="205">
        <v>0.0</v>
      </c>
      <c r="G62" s="41"/>
    </row>
    <row r="63">
      <c r="A63" s="46" t="s">
        <v>53</v>
      </c>
      <c r="B63" s="70">
        <v>2.0</v>
      </c>
      <c r="C63" s="72">
        <v>2.0</v>
      </c>
      <c r="D63" s="205">
        <f t="shared" si="99"/>
        <v>0</v>
      </c>
      <c r="F63" s="205">
        <v>0.0</v>
      </c>
      <c r="G63" s="41"/>
    </row>
    <row r="64">
      <c r="A64" s="94" t="s">
        <v>54</v>
      </c>
      <c r="B64" s="100">
        <f t="shared" ref="B64:D64" si="100">sum(B60:B63)</f>
        <v>5</v>
      </c>
      <c r="C64" s="100">
        <f t="shared" si="100"/>
        <v>8</v>
      </c>
      <c r="D64" s="100">
        <f t="shared" si="100"/>
        <v>3</v>
      </c>
      <c r="F64" s="100">
        <f>sum(F60:F63)</f>
        <v>0</v>
      </c>
      <c r="G64" s="41"/>
    </row>
    <row r="65">
      <c r="A65" s="46"/>
      <c r="B65" s="76"/>
      <c r="C65" s="76"/>
      <c r="D65" s="76"/>
      <c r="F65" s="76"/>
      <c r="G65" s="41"/>
    </row>
    <row r="66">
      <c r="A66" s="46" t="s">
        <v>55</v>
      </c>
      <c r="B66" s="70">
        <v>1.0</v>
      </c>
      <c r="C66" s="72">
        <v>3.0</v>
      </c>
      <c r="D66" s="205">
        <f t="shared" ref="D66:D68" si="101">C66-B66</f>
        <v>2</v>
      </c>
      <c r="F66" s="205">
        <v>0.0</v>
      </c>
      <c r="G66" s="41"/>
      <c r="I66" s="37">
        <v>2.0</v>
      </c>
    </row>
    <row r="67">
      <c r="A67" s="46" t="s">
        <v>57</v>
      </c>
      <c r="B67" s="70">
        <f>S42+T42</f>
        <v>0</v>
      </c>
      <c r="C67" s="72">
        <v>2.0</v>
      </c>
      <c r="D67" s="205">
        <f t="shared" si="101"/>
        <v>2</v>
      </c>
      <c r="F67" s="205">
        <v>0.0</v>
      </c>
      <c r="G67" s="41"/>
    </row>
    <row r="68">
      <c r="A68" s="46" t="s">
        <v>58</v>
      </c>
      <c r="B68" s="70">
        <v>1.0</v>
      </c>
      <c r="C68" s="72">
        <v>1.0</v>
      </c>
      <c r="D68" s="205">
        <f t="shared" si="101"/>
        <v>0</v>
      </c>
      <c r="F68" s="205">
        <v>0.0</v>
      </c>
      <c r="G68" s="41"/>
    </row>
    <row r="69">
      <c r="A69" s="94" t="s">
        <v>59</v>
      </c>
      <c r="B69" s="100">
        <f t="shared" ref="B69:D69" si="102">sum(B66:B68)</f>
        <v>2</v>
      </c>
      <c r="C69" s="100">
        <f t="shared" si="102"/>
        <v>6</v>
      </c>
      <c r="D69" s="100">
        <f t="shared" si="102"/>
        <v>4</v>
      </c>
      <c r="F69" s="100">
        <f>sum(F66:F68)</f>
        <v>0</v>
      </c>
      <c r="G69" s="41"/>
    </row>
    <row r="70">
      <c r="A70" s="94"/>
      <c r="B70" s="120"/>
      <c r="C70" s="120"/>
      <c r="D70" s="120"/>
      <c r="F70" s="120"/>
      <c r="G70" s="41"/>
    </row>
    <row r="71">
      <c r="A71" s="94"/>
      <c r="B71" s="114"/>
      <c r="C71" s="114"/>
      <c r="D71" s="114"/>
      <c r="F71" s="114"/>
      <c r="G71" s="41"/>
    </row>
    <row r="72">
      <c r="A72" s="94" t="s">
        <v>13</v>
      </c>
      <c r="B72" s="100">
        <f t="shared" ref="B72:D72" si="103">B69+B64+B58</f>
        <v>12</v>
      </c>
      <c r="C72" s="100">
        <f t="shared" si="103"/>
        <v>22</v>
      </c>
      <c r="D72" s="100">
        <f t="shared" si="103"/>
        <v>10</v>
      </c>
      <c r="F72" s="100">
        <f>F69+F64+F58</f>
        <v>0</v>
      </c>
      <c r="G72" s="41"/>
    </row>
    <row r="73">
      <c r="A73" s="208"/>
      <c r="B73" s="209"/>
      <c r="C73" s="209"/>
      <c r="D73" s="209"/>
      <c r="E73" s="209"/>
      <c r="F73" s="209"/>
      <c r="G73" s="210"/>
    </row>
    <row r="75">
      <c r="A75" s="196" t="s">
        <v>63</v>
      </c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2"/>
      <c r="U75" s="18" t="s">
        <v>2</v>
      </c>
      <c r="V75" s="160" t="s">
        <v>3</v>
      </c>
    </row>
    <row r="76">
      <c r="A76" s="39"/>
      <c r="B76" s="194"/>
      <c r="C76" s="163" t="str">
        <f>C4</f>
        <v>JANUARY</v>
      </c>
      <c r="D76" s="30"/>
      <c r="E76" s="30"/>
      <c r="F76" s="30"/>
      <c r="G76" s="163" t="str">
        <f>H4</f>
        <v>FEBRUARY</v>
      </c>
      <c r="H76" s="30"/>
      <c r="I76" s="30"/>
      <c r="J76" s="30"/>
      <c r="K76" s="163" t="str">
        <f>M4</f>
        <v>MARCH</v>
      </c>
      <c r="L76" s="30"/>
      <c r="M76" s="30"/>
      <c r="N76" s="30"/>
      <c r="O76" s="36"/>
      <c r="P76" s="178"/>
      <c r="Q76" s="164" t="s">
        <v>13</v>
      </c>
      <c r="R76" s="30"/>
      <c r="S76" s="30"/>
      <c r="T76" s="42"/>
      <c r="V76" s="36"/>
    </row>
    <row r="77">
      <c r="A77" s="43"/>
      <c r="B77" s="194"/>
      <c r="C77" s="179" t="s">
        <v>64</v>
      </c>
      <c r="D77" s="179" t="s">
        <v>65</v>
      </c>
      <c r="E77" s="179" t="s">
        <v>26</v>
      </c>
      <c r="F77" s="179" t="s">
        <v>66</v>
      </c>
      <c r="G77" s="179" t="s">
        <v>64</v>
      </c>
      <c r="H77" s="179" t="s">
        <v>65</v>
      </c>
      <c r="I77" s="179" t="s">
        <v>26</v>
      </c>
      <c r="J77" s="179" t="s">
        <v>66</v>
      </c>
      <c r="K77" s="179" t="s">
        <v>64</v>
      </c>
      <c r="L77" s="179" t="s">
        <v>65</v>
      </c>
      <c r="M77" s="179" t="s">
        <v>26</v>
      </c>
      <c r="N77" s="179" t="s">
        <v>66</v>
      </c>
      <c r="O77" s="211"/>
      <c r="P77" s="179"/>
      <c r="Q77" s="179" t="s">
        <v>64</v>
      </c>
      <c r="R77" s="179" t="s">
        <v>65</v>
      </c>
      <c r="S77" s="179" t="s">
        <v>26</v>
      </c>
      <c r="T77" s="181" t="s">
        <v>66</v>
      </c>
      <c r="V77" s="36"/>
    </row>
    <row r="78">
      <c r="A78" s="156" t="s">
        <v>22</v>
      </c>
      <c r="B78" s="194"/>
      <c r="C78" s="48">
        <v>85.0</v>
      </c>
      <c r="D78" s="48"/>
      <c r="E78" s="70">
        <f t="shared" ref="E78:E81" si="105">SUM(C78:D78)</f>
        <v>85</v>
      </c>
      <c r="F78" s="72">
        <v>140.0</v>
      </c>
      <c r="G78" s="158">
        <v>90.0</v>
      </c>
      <c r="H78" s="48">
        <v>0.0</v>
      </c>
      <c r="I78" s="70">
        <f t="shared" ref="I78:I81" si="106">SUM(G78:H78)</f>
        <v>90</v>
      </c>
      <c r="J78" s="72">
        <v>82.0</v>
      </c>
      <c r="K78" s="158">
        <v>456.0</v>
      </c>
      <c r="L78" s="48">
        <v>0.0</v>
      </c>
      <c r="M78" s="70">
        <f t="shared" ref="M78:M81" si="107">SUM(K78:L78)</f>
        <v>456</v>
      </c>
      <c r="N78" s="72">
        <v>280.0</v>
      </c>
      <c r="O78" s="120"/>
      <c r="P78" s="83" t="str">
        <f t="shared" ref="P78:P92" si="108">B78</f>
        <v/>
      </c>
      <c r="Q78" s="84">
        <f t="shared" ref="Q78:R78" si="104">K78+G78+C78</f>
        <v>631</v>
      </c>
      <c r="R78" s="84">
        <f t="shared" si="104"/>
        <v>0</v>
      </c>
      <c r="S78" s="70">
        <f t="shared" ref="S78:S81" si="110">sum(P78:R78)</f>
        <v>631</v>
      </c>
      <c r="T78" s="86">
        <f t="shared" ref="T78:T81" si="111">N78+J78+F78</f>
        <v>502</v>
      </c>
      <c r="U78" s="119">
        <v>45747.0</v>
      </c>
      <c r="V78" s="99" t="s">
        <v>46</v>
      </c>
    </row>
    <row r="79">
      <c r="A79" s="156" t="s">
        <v>36</v>
      </c>
      <c r="B79" s="194"/>
      <c r="C79" s="48">
        <v>3.0</v>
      </c>
      <c r="D79" s="48"/>
      <c r="E79" s="70">
        <f t="shared" si="105"/>
        <v>3</v>
      </c>
      <c r="F79" s="72">
        <v>22.0</v>
      </c>
      <c r="G79" s="158">
        <v>0.0</v>
      </c>
      <c r="H79" s="48"/>
      <c r="I79" s="70">
        <f t="shared" si="106"/>
        <v>0</v>
      </c>
      <c r="J79" s="72">
        <v>9.0</v>
      </c>
      <c r="K79" s="158">
        <v>10.0</v>
      </c>
      <c r="L79" s="48"/>
      <c r="M79" s="70">
        <f t="shared" si="107"/>
        <v>10</v>
      </c>
      <c r="N79" s="72">
        <v>49.0</v>
      </c>
      <c r="O79" s="120"/>
      <c r="P79" s="83" t="str">
        <f t="shared" si="108"/>
        <v/>
      </c>
      <c r="Q79" s="84">
        <f t="shared" ref="Q79:R79" si="109">K79+G79+C79</f>
        <v>13</v>
      </c>
      <c r="R79" s="84">
        <f t="shared" si="109"/>
        <v>0</v>
      </c>
      <c r="S79" s="70">
        <f t="shared" si="110"/>
        <v>13</v>
      </c>
      <c r="T79" s="86">
        <f t="shared" si="111"/>
        <v>80</v>
      </c>
      <c r="U79" s="119">
        <v>45747.0</v>
      </c>
      <c r="V79" s="99" t="s">
        <v>46</v>
      </c>
    </row>
    <row r="80">
      <c r="A80" s="156" t="s">
        <v>40</v>
      </c>
      <c r="B80" s="194"/>
      <c r="C80" s="48"/>
      <c r="D80" s="48"/>
      <c r="E80" s="70">
        <f t="shared" si="105"/>
        <v>0</v>
      </c>
      <c r="F80" s="72"/>
      <c r="G80" s="158"/>
      <c r="H80" s="48"/>
      <c r="I80" s="70">
        <f t="shared" si="106"/>
        <v>0</v>
      </c>
      <c r="J80" s="72"/>
      <c r="K80" s="158"/>
      <c r="L80" s="48"/>
      <c r="M80" s="70">
        <f t="shared" si="107"/>
        <v>0</v>
      </c>
      <c r="N80" s="72"/>
      <c r="O80" s="120"/>
      <c r="P80" s="83" t="str">
        <f t="shared" si="108"/>
        <v/>
      </c>
      <c r="Q80" s="84">
        <f t="shared" ref="Q80:R80" si="112">K80+G80+C80</f>
        <v>0</v>
      </c>
      <c r="R80" s="84">
        <f t="shared" si="112"/>
        <v>0</v>
      </c>
      <c r="S80" s="70">
        <f t="shared" si="110"/>
        <v>0</v>
      </c>
      <c r="T80" s="86">
        <f t="shared" si="111"/>
        <v>0</v>
      </c>
      <c r="U80" s="119">
        <v>45747.0</v>
      </c>
      <c r="V80" s="99" t="s">
        <v>46</v>
      </c>
    </row>
    <row r="81">
      <c r="A81" s="156" t="s">
        <v>41</v>
      </c>
      <c r="B81" s="194"/>
      <c r="C81" s="48"/>
      <c r="D81" s="48"/>
      <c r="E81" s="70">
        <f t="shared" si="105"/>
        <v>0</v>
      </c>
      <c r="F81" s="72"/>
      <c r="G81" s="158"/>
      <c r="H81" s="48"/>
      <c r="I81" s="70">
        <f t="shared" si="106"/>
        <v>0</v>
      </c>
      <c r="J81" s="72"/>
      <c r="K81" s="158"/>
      <c r="L81" s="48"/>
      <c r="M81" s="70">
        <f t="shared" si="107"/>
        <v>0</v>
      </c>
      <c r="N81" s="72"/>
      <c r="O81" s="120"/>
      <c r="P81" s="83" t="str">
        <f t="shared" si="108"/>
        <v/>
      </c>
      <c r="Q81" s="84">
        <f t="shared" ref="Q81:R81" si="113">K81+G81+C81</f>
        <v>0</v>
      </c>
      <c r="R81" s="84">
        <f t="shared" si="113"/>
        <v>0</v>
      </c>
      <c r="S81" s="70">
        <f t="shared" si="110"/>
        <v>0</v>
      </c>
      <c r="T81" s="86">
        <f t="shared" si="111"/>
        <v>0</v>
      </c>
      <c r="U81" s="119">
        <v>45747.0</v>
      </c>
      <c r="V81" s="99" t="s">
        <v>46</v>
      </c>
    </row>
    <row r="82">
      <c r="A82" s="161" t="s">
        <v>44</v>
      </c>
      <c r="B82" s="194"/>
      <c r="C82" s="95">
        <f t="shared" ref="C82:N82" si="114">sum(C78:C81)</f>
        <v>88</v>
      </c>
      <c r="D82" s="95">
        <f t="shared" si="114"/>
        <v>0</v>
      </c>
      <c r="E82" s="95">
        <f t="shared" si="114"/>
        <v>88</v>
      </c>
      <c r="F82" s="95">
        <f t="shared" si="114"/>
        <v>162</v>
      </c>
      <c r="G82" s="95">
        <f t="shared" si="114"/>
        <v>90</v>
      </c>
      <c r="H82" s="95">
        <f t="shared" si="114"/>
        <v>0</v>
      </c>
      <c r="I82" s="95">
        <f t="shared" si="114"/>
        <v>90</v>
      </c>
      <c r="J82" s="95">
        <f t="shared" si="114"/>
        <v>91</v>
      </c>
      <c r="K82" s="95">
        <f t="shared" si="114"/>
        <v>466</v>
      </c>
      <c r="L82" s="95">
        <f t="shared" si="114"/>
        <v>0</v>
      </c>
      <c r="M82" s="95">
        <f t="shared" si="114"/>
        <v>466</v>
      </c>
      <c r="N82" s="95">
        <f t="shared" si="114"/>
        <v>329</v>
      </c>
      <c r="O82" s="120"/>
      <c r="P82" s="83" t="str">
        <f t="shared" si="108"/>
        <v/>
      </c>
      <c r="Q82" s="95">
        <f t="shared" ref="Q82:T82" si="115">sum(Q78:Q81)</f>
        <v>644</v>
      </c>
      <c r="R82" s="95">
        <f t="shared" si="115"/>
        <v>0</v>
      </c>
      <c r="S82" s="95">
        <f t="shared" si="115"/>
        <v>644</v>
      </c>
      <c r="T82" s="115">
        <f t="shared" si="115"/>
        <v>582</v>
      </c>
      <c r="V82" s="36"/>
    </row>
    <row r="83">
      <c r="A83" s="156" t="s">
        <v>47</v>
      </c>
      <c r="B83" s="194"/>
      <c r="C83" s="48" t="str">
        <f>'Regs Q2'!V128</f>
        <v/>
      </c>
      <c r="D83" s="84"/>
      <c r="E83" s="70">
        <f t="shared" ref="E83:E86" si="117">SUM(C83:D83)</f>
        <v>0</v>
      </c>
      <c r="F83" s="72"/>
      <c r="G83" s="158"/>
      <c r="H83" s="84"/>
      <c r="I83" s="70">
        <f t="shared" ref="I83:I86" si="118">SUM(G83:H83)</f>
        <v>0</v>
      </c>
      <c r="J83" s="72"/>
      <c r="K83" s="158"/>
      <c r="L83" s="84"/>
      <c r="M83" s="70">
        <f t="shared" ref="M83:M86" si="119">SUM(K83:L83)</f>
        <v>0</v>
      </c>
      <c r="N83" s="72"/>
      <c r="O83" s="120"/>
      <c r="P83" s="83" t="str">
        <f t="shared" si="108"/>
        <v/>
      </c>
      <c r="Q83" s="84">
        <f t="shared" ref="Q83:R83" si="116">K83+G83+C83</f>
        <v>0</v>
      </c>
      <c r="R83" s="84">
        <f t="shared" si="116"/>
        <v>0</v>
      </c>
      <c r="S83" s="70">
        <f t="shared" ref="S83:S86" si="120">sum(P83:R83)</f>
        <v>0</v>
      </c>
      <c r="T83" s="86">
        <f t="shared" ref="T83:T86" si="121">N83+J83+F83</f>
        <v>0</v>
      </c>
      <c r="U83" s="217">
        <v>45747.0</v>
      </c>
      <c r="V83" s="99" t="s">
        <v>56</v>
      </c>
    </row>
    <row r="84">
      <c r="A84" s="156" t="s">
        <v>51</v>
      </c>
      <c r="B84" s="194"/>
      <c r="C84" s="48">
        <v>29.0</v>
      </c>
      <c r="D84" s="84"/>
      <c r="E84" s="70">
        <f t="shared" si="117"/>
        <v>29</v>
      </c>
      <c r="F84" s="72">
        <v>25.0</v>
      </c>
      <c r="G84" s="158">
        <v>6.0</v>
      </c>
      <c r="H84" s="84">
        <v>0.0</v>
      </c>
      <c r="I84" s="70">
        <f t="shared" si="118"/>
        <v>6</v>
      </c>
      <c r="J84" s="72">
        <v>18.0</v>
      </c>
      <c r="K84" s="158">
        <v>36.0</v>
      </c>
      <c r="L84" s="84">
        <v>0.0</v>
      </c>
      <c r="M84" s="70">
        <f t="shared" si="119"/>
        <v>36</v>
      </c>
      <c r="N84" s="72">
        <v>66.0</v>
      </c>
      <c r="O84" s="120"/>
      <c r="P84" s="83" t="str">
        <f t="shared" si="108"/>
        <v/>
      </c>
      <c r="Q84" s="84">
        <f t="shared" ref="Q84:Q85" si="122">K84+G84+O92+C84</f>
        <v>71</v>
      </c>
      <c r="R84" s="84">
        <f>L84+H84+D84</f>
        <v>0</v>
      </c>
      <c r="S84" s="70">
        <f t="shared" si="120"/>
        <v>71</v>
      </c>
      <c r="T84" s="86">
        <f t="shared" si="121"/>
        <v>109</v>
      </c>
      <c r="U84" s="217">
        <v>45747.0</v>
      </c>
      <c r="V84" s="99" t="s">
        <v>56</v>
      </c>
    </row>
    <row r="85">
      <c r="A85" s="156" t="s">
        <v>52</v>
      </c>
      <c r="B85" s="194"/>
      <c r="C85" s="48" t="str">
        <f>'Regs Q2'!V130</f>
        <v/>
      </c>
      <c r="D85" s="84"/>
      <c r="E85" s="70">
        <f t="shared" si="117"/>
        <v>0</v>
      </c>
      <c r="F85" s="72"/>
      <c r="G85" s="158"/>
      <c r="H85" s="84"/>
      <c r="I85" s="70">
        <f t="shared" si="118"/>
        <v>0</v>
      </c>
      <c r="J85" s="72"/>
      <c r="K85" s="158"/>
      <c r="L85" s="84"/>
      <c r="M85" s="70">
        <f t="shared" si="119"/>
        <v>0</v>
      </c>
      <c r="N85" s="72"/>
      <c r="O85" s="120"/>
      <c r="P85" s="83" t="str">
        <f t="shared" si="108"/>
        <v/>
      </c>
      <c r="Q85" s="84">
        <f t="shared" si="122"/>
        <v>0</v>
      </c>
      <c r="R85" s="84">
        <v>0.0</v>
      </c>
      <c r="S85" s="70">
        <f t="shared" si="120"/>
        <v>0</v>
      </c>
      <c r="T85" s="86">
        <f t="shared" si="121"/>
        <v>0</v>
      </c>
      <c r="U85" s="217">
        <v>45747.0</v>
      </c>
      <c r="V85" s="99" t="s">
        <v>56</v>
      </c>
    </row>
    <row r="86">
      <c r="A86" s="156" t="s">
        <v>53</v>
      </c>
      <c r="B86" s="194"/>
      <c r="C86" s="48" t="str">
        <f>'Regs Q2'!V131</f>
        <v/>
      </c>
      <c r="D86" s="84"/>
      <c r="E86" s="70">
        <f t="shared" si="117"/>
        <v>0</v>
      </c>
      <c r="F86" s="72"/>
      <c r="G86" s="158" t="str">
        <f>'Regs Q2'!V108</f>
        <v/>
      </c>
      <c r="H86" s="84"/>
      <c r="I86" s="70">
        <f t="shared" si="118"/>
        <v>0</v>
      </c>
      <c r="J86" s="72"/>
      <c r="K86" s="158"/>
      <c r="L86" s="84"/>
      <c r="M86" s="70">
        <f t="shared" si="119"/>
        <v>0</v>
      </c>
      <c r="N86" s="72"/>
      <c r="O86" s="120"/>
      <c r="P86" s="83" t="str">
        <f t="shared" si="108"/>
        <v/>
      </c>
      <c r="Q86" s="84">
        <f t="shared" ref="Q86:R86" si="123">K86+G86+C86</f>
        <v>0</v>
      </c>
      <c r="R86" s="84">
        <f t="shared" si="123"/>
        <v>0</v>
      </c>
      <c r="S86" s="70">
        <f t="shared" si="120"/>
        <v>0</v>
      </c>
      <c r="T86" s="86">
        <f t="shared" si="121"/>
        <v>0</v>
      </c>
      <c r="U86" s="217">
        <v>45747.0</v>
      </c>
      <c r="V86" s="99" t="s">
        <v>56</v>
      </c>
    </row>
    <row r="87">
      <c r="A87" s="161" t="s">
        <v>54</v>
      </c>
      <c r="B87" s="194"/>
      <c r="C87" s="95">
        <f t="shared" ref="C87:N87" si="124">sum(C83:C86)</f>
        <v>29</v>
      </c>
      <c r="D87" s="95">
        <f t="shared" si="124"/>
        <v>0</v>
      </c>
      <c r="E87" s="95">
        <f t="shared" si="124"/>
        <v>29</v>
      </c>
      <c r="F87" s="95">
        <f t="shared" si="124"/>
        <v>25</v>
      </c>
      <c r="G87" s="95">
        <f t="shared" si="124"/>
        <v>6</v>
      </c>
      <c r="H87" s="95">
        <f t="shared" si="124"/>
        <v>0</v>
      </c>
      <c r="I87" s="95">
        <f t="shared" si="124"/>
        <v>6</v>
      </c>
      <c r="J87" s="95">
        <f t="shared" si="124"/>
        <v>18</v>
      </c>
      <c r="K87" s="95">
        <f t="shared" si="124"/>
        <v>36</v>
      </c>
      <c r="L87" s="95">
        <f t="shared" si="124"/>
        <v>0</v>
      </c>
      <c r="M87" s="95">
        <f t="shared" si="124"/>
        <v>36</v>
      </c>
      <c r="N87" s="95">
        <f t="shared" si="124"/>
        <v>66</v>
      </c>
      <c r="O87" s="120"/>
      <c r="P87" s="83" t="str">
        <f t="shared" si="108"/>
        <v/>
      </c>
      <c r="Q87" s="95">
        <f t="shared" ref="Q87:T87" si="125">sum(Q83:Q86)</f>
        <v>71</v>
      </c>
      <c r="R87" s="95">
        <f t="shared" si="125"/>
        <v>0</v>
      </c>
      <c r="S87" s="95">
        <f t="shared" si="125"/>
        <v>71</v>
      </c>
      <c r="T87" s="115">
        <f t="shared" si="125"/>
        <v>109</v>
      </c>
      <c r="V87" s="36"/>
    </row>
    <row r="88">
      <c r="A88" s="156" t="s">
        <v>55</v>
      </c>
      <c r="B88" s="194"/>
      <c r="C88" s="48">
        <v>19.0</v>
      </c>
      <c r="D88" s="84"/>
      <c r="E88" s="70">
        <f t="shared" ref="E88:E90" si="127">SUM(C88:D88)</f>
        <v>19</v>
      </c>
      <c r="F88" s="72">
        <v>44.0</v>
      </c>
      <c r="G88" s="158">
        <v>18.0</v>
      </c>
      <c r="H88" s="84">
        <v>0.0</v>
      </c>
      <c r="I88" s="70">
        <f t="shared" ref="I88:I90" si="128">SUM(G88:H88)</f>
        <v>18</v>
      </c>
      <c r="J88" s="72">
        <v>19.0</v>
      </c>
      <c r="K88" s="158">
        <v>80.0</v>
      </c>
      <c r="L88" s="84">
        <v>0.0</v>
      </c>
      <c r="M88" s="70">
        <f t="shared" ref="M88:M90" si="129">SUM(K88:L88)</f>
        <v>80</v>
      </c>
      <c r="N88" s="72">
        <v>100.0</v>
      </c>
      <c r="O88" s="120"/>
      <c r="P88" s="83" t="str">
        <f t="shared" si="108"/>
        <v/>
      </c>
      <c r="Q88" s="84">
        <f t="shared" ref="Q88:R88" si="126">K88+G88+C88</f>
        <v>117</v>
      </c>
      <c r="R88" s="84">
        <f t="shared" si="126"/>
        <v>0</v>
      </c>
      <c r="S88" s="70">
        <f t="shared" ref="S88:S90" si="131">sum(P88:R88)</f>
        <v>117</v>
      </c>
      <c r="T88" s="86">
        <f t="shared" ref="T88:T90" si="132">N88+J88+F88</f>
        <v>163</v>
      </c>
      <c r="U88" s="119">
        <v>45747.0</v>
      </c>
      <c r="V88" s="99" t="s">
        <v>81</v>
      </c>
    </row>
    <row r="89">
      <c r="A89" s="156" t="s">
        <v>57</v>
      </c>
      <c r="B89" s="194"/>
      <c r="C89" s="48"/>
      <c r="D89" s="84"/>
      <c r="E89" s="70">
        <f t="shared" si="127"/>
        <v>0</v>
      </c>
      <c r="F89" s="72"/>
      <c r="G89" s="158"/>
      <c r="H89" s="84"/>
      <c r="I89" s="70">
        <f t="shared" si="128"/>
        <v>0</v>
      </c>
      <c r="J89" s="72"/>
      <c r="K89" s="158">
        <v>2.0</v>
      </c>
      <c r="L89" s="84">
        <v>0.0</v>
      </c>
      <c r="M89" s="70">
        <f t="shared" si="129"/>
        <v>2</v>
      </c>
      <c r="N89" s="72"/>
      <c r="O89" s="120"/>
      <c r="P89" s="83" t="str">
        <f t="shared" si="108"/>
        <v/>
      </c>
      <c r="Q89" s="84">
        <f t="shared" ref="Q89:R89" si="130">K89+G89+C89</f>
        <v>2</v>
      </c>
      <c r="R89" s="84">
        <f t="shared" si="130"/>
        <v>0</v>
      </c>
      <c r="S89" s="70">
        <f t="shared" si="131"/>
        <v>2</v>
      </c>
      <c r="T89" s="86">
        <f t="shared" si="132"/>
        <v>0</v>
      </c>
      <c r="U89" s="37" t="s">
        <v>139</v>
      </c>
      <c r="V89" s="99" t="s">
        <v>81</v>
      </c>
    </row>
    <row r="90">
      <c r="A90" s="156" t="s">
        <v>58</v>
      </c>
      <c r="B90" s="194"/>
      <c r="C90" s="48" t="str">
        <f>'Regs Q2'!V135</f>
        <v/>
      </c>
      <c r="D90" s="84"/>
      <c r="E90" s="70">
        <f t="shared" si="127"/>
        <v>0</v>
      </c>
      <c r="F90" s="72"/>
      <c r="G90" s="158"/>
      <c r="H90" s="84"/>
      <c r="I90" s="70">
        <f t="shared" si="128"/>
        <v>0</v>
      </c>
      <c r="J90" s="72"/>
      <c r="K90" s="158" t="str">
        <f>'Regs Q2'!V89</f>
        <v/>
      </c>
      <c r="L90" s="84"/>
      <c r="M90" s="70">
        <f t="shared" si="129"/>
        <v>0</v>
      </c>
      <c r="N90" s="72"/>
      <c r="O90" s="120"/>
      <c r="P90" s="83" t="str">
        <f t="shared" si="108"/>
        <v/>
      </c>
      <c r="Q90" s="84">
        <f t="shared" ref="Q90:R90" si="133">K90+G90+C90</f>
        <v>0</v>
      </c>
      <c r="R90" s="84">
        <f t="shared" si="133"/>
        <v>0</v>
      </c>
      <c r="S90" s="70">
        <f t="shared" si="131"/>
        <v>0</v>
      </c>
      <c r="T90" s="86">
        <f t="shared" si="132"/>
        <v>0</v>
      </c>
      <c r="U90" s="119">
        <v>45747.0</v>
      </c>
      <c r="V90" s="99" t="s">
        <v>81</v>
      </c>
    </row>
    <row r="91">
      <c r="A91" s="161"/>
      <c r="B91" s="194"/>
      <c r="C91" s="95">
        <f t="shared" ref="C91:N91" si="134">sum(C88:C90)</f>
        <v>19</v>
      </c>
      <c r="D91" s="95">
        <f t="shared" si="134"/>
        <v>0</v>
      </c>
      <c r="E91" s="95">
        <f t="shared" si="134"/>
        <v>19</v>
      </c>
      <c r="F91" s="95">
        <f t="shared" si="134"/>
        <v>44</v>
      </c>
      <c r="G91" s="95">
        <f t="shared" si="134"/>
        <v>18</v>
      </c>
      <c r="H91" s="95">
        <f t="shared" si="134"/>
        <v>0</v>
      </c>
      <c r="I91" s="95">
        <f t="shared" si="134"/>
        <v>18</v>
      </c>
      <c r="J91" s="95">
        <f t="shared" si="134"/>
        <v>19</v>
      </c>
      <c r="K91" s="95">
        <f t="shared" si="134"/>
        <v>82</v>
      </c>
      <c r="L91" s="95">
        <f t="shared" si="134"/>
        <v>0</v>
      </c>
      <c r="M91" s="95">
        <f t="shared" si="134"/>
        <v>82</v>
      </c>
      <c r="N91" s="95">
        <f t="shared" si="134"/>
        <v>100</v>
      </c>
      <c r="O91" s="120"/>
      <c r="P91" s="83" t="str">
        <f t="shared" si="108"/>
        <v/>
      </c>
      <c r="Q91" s="95">
        <f t="shared" ref="Q91:T91" si="135">sum(Q88:Q90)</f>
        <v>119</v>
      </c>
      <c r="R91" s="95">
        <f t="shared" si="135"/>
        <v>0</v>
      </c>
      <c r="S91" s="95">
        <f t="shared" si="135"/>
        <v>119</v>
      </c>
      <c r="T91" s="115">
        <f t="shared" si="135"/>
        <v>163</v>
      </c>
      <c r="V91" s="36"/>
    </row>
    <row r="92">
      <c r="A92" s="161"/>
      <c r="B92" s="194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83" t="str">
        <f t="shared" si="108"/>
        <v/>
      </c>
      <c r="Q92" s="120"/>
      <c r="R92" s="120"/>
      <c r="S92" s="120"/>
      <c r="T92" s="137"/>
    </row>
    <row r="93">
      <c r="A93" s="39"/>
      <c r="B93" s="36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37"/>
    </row>
    <row r="94">
      <c r="A94" s="165" t="s">
        <v>13</v>
      </c>
      <c r="B94" s="212"/>
      <c r="C94" s="123">
        <f t="shared" ref="C94:N94" si="136">C91+C87+C82</f>
        <v>136</v>
      </c>
      <c r="D94" s="123">
        <f t="shared" si="136"/>
        <v>0</v>
      </c>
      <c r="E94" s="123">
        <f t="shared" si="136"/>
        <v>136</v>
      </c>
      <c r="F94" s="123">
        <f t="shared" si="136"/>
        <v>231</v>
      </c>
      <c r="G94" s="123">
        <f t="shared" si="136"/>
        <v>114</v>
      </c>
      <c r="H94" s="123">
        <f t="shared" si="136"/>
        <v>0</v>
      </c>
      <c r="I94" s="123">
        <f t="shared" si="136"/>
        <v>114</v>
      </c>
      <c r="J94" s="123">
        <f t="shared" si="136"/>
        <v>128</v>
      </c>
      <c r="K94" s="123">
        <f t="shared" si="136"/>
        <v>584</v>
      </c>
      <c r="L94" s="123">
        <f t="shared" si="136"/>
        <v>0</v>
      </c>
      <c r="M94" s="123">
        <f t="shared" si="136"/>
        <v>584</v>
      </c>
      <c r="N94" s="123">
        <f t="shared" si="136"/>
        <v>495</v>
      </c>
      <c r="O94" s="166"/>
      <c r="P94" s="166"/>
      <c r="Q94" s="123">
        <f t="shared" ref="Q94:T94" si="137">Q91+Q87+Q82</f>
        <v>834</v>
      </c>
      <c r="R94" s="123">
        <f t="shared" si="137"/>
        <v>0</v>
      </c>
      <c r="S94" s="123">
        <f t="shared" si="137"/>
        <v>834</v>
      </c>
      <c r="T94" s="125">
        <f t="shared" si="137"/>
        <v>854</v>
      </c>
    </row>
  </sheetData>
  <mergeCells count="14">
    <mergeCell ref="C27:F27"/>
    <mergeCell ref="A51:G51"/>
    <mergeCell ref="A75:T75"/>
    <mergeCell ref="C76:F76"/>
    <mergeCell ref="G76:J76"/>
    <mergeCell ref="K76:N76"/>
    <mergeCell ref="Q76:T76"/>
    <mergeCell ref="A3:V3"/>
    <mergeCell ref="C4:F4"/>
    <mergeCell ref="H4:K4"/>
    <mergeCell ref="M4:P4"/>
    <mergeCell ref="S4:V4"/>
    <mergeCell ref="A26:O26"/>
    <mergeCell ref="H27:K27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6" width="7.13"/>
    <col customWidth="1" min="7" max="7" width="9.5"/>
    <col customWidth="1" min="8" max="8" width="10.38"/>
    <col customWidth="1" min="9" max="10" width="7.13"/>
    <col customWidth="1" min="11" max="11" width="9.38"/>
    <col customWidth="1" min="12" max="12" width="9.75"/>
    <col customWidth="1" min="13" max="16" width="7.13"/>
    <col customWidth="1" min="17" max="17" width="10.13"/>
    <col customWidth="1" min="18" max="18" width="9.0"/>
    <col customWidth="1" min="19" max="21" width="7.13"/>
    <col customWidth="1" min="28" max="30" width="8.75"/>
    <col customWidth="1" min="31" max="31" width="10.5"/>
    <col customWidth="1" min="32" max="46" width="8.75"/>
  </cols>
  <sheetData>
    <row r="1">
      <c r="Y1" s="7"/>
    </row>
    <row r="3">
      <c r="A3" s="196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2"/>
      <c r="U3" s="3"/>
      <c r="V3" s="234"/>
      <c r="W3" s="235"/>
      <c r="X3" s="236"/>
      <c r="Y3" s="18" t="s">
        <v>2</v>
      </c>
      <c r="Z3" s="160" t="s">
        <v>3</v>
      </c>
      <c r="AA3" s="196" t="s">
        <v>108</v>
      </c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1"/>
      <c r="AP3" s="151"/>
      <c r="AQ3" s="151"/>
      <c r="AR3" s="151"/>
      <c r="AS3" s="152"/>
      <c r="AT3" s="237"/>
      <c r="AU3" s="18" t="s">
        <v>2</v>
      </c>
      <c r="AV3" s="160" t="s">
        <v>3</v>
      </c>
    </row>
    <row r="4">
      <c r="A4" s="39"/>
      <c r="B4" s="194"/>
      <c r="C4" s="163" t="s">
        <v>109</v>
      </c>
      <c r="D4" s="30"/>
      <c r="E4" s="30"/>
      <c r="F4" s="30"/>
      <c r="G4" s="164" t="s">
        <v>110</v>
      </c>
      <c r="H4" s="30"/>
      <c r="I4" s="30"/>
      <c r="J4" s="30"/>
      <c r="K4" s="164" t="s">
        <v>111</v>
      </c>
      <c r="L4" s="30"/>
      <c r="M4" s="30"/>
      <c r="N4" s="30"/>
      <c r="O4" s="36"/>
      <c r="P4" s="178"/>
      <c r="Q4" s="164" t="s">
        <v>13</v>
      </c>
      <c r="R4" s="30"/>
      <c r="S4" s="30"/>
      <c r="T4" s="42"/>
      <c r="U4" s="25"/>
      <c r="V4" s="25"/>
      <c r="X4" s="41"/>
      <c r="Z4" s="36"/>
      <c r="AA4" s="39"/>
      <c r="AB4" s="194"/>
      <c r="AC4" s="163" t="s">
        <v>112</v>
      </c>
      <c r="AD4" s="30"/>
      <c r="AE4" s="30"/>
      <c r="AF4" s="164" t="s">
        <v>80</v>
      </c>
      <c r="AG4" s="30"/>
      <c r="AH4" s="30"/>
      <c r="AI4" s="30"/>
      <c r="AJ4" s="164" t="s">
        <v>77</v>
      </c>
      <c r="AK4" s="30"/>
      <c r="AL4" s="30"/>
      <c r="AM4" s="30"/>
      <c r="AN4" s="30"/>
      <c r="AO4" s="36"/>
      <c r="AP4" s="178"/>
      <c r="AQ4" s="164" t="s">
        <v>13</v>
      </c>
      <c r="AR4" s="30"/>
      <c r="AS4" s="42"/>
      <c r="AT4" s="44"/>
    </row>
    <row r="5">
      <c r="A5" s="43"/>
      <c r="B5" s="179" t="s">
        <v>12</v>
      </c>
      <c r="C5" s="179" t="s">
        <v>24</v>
      </c>
      <c r="D5" s="179" t="s">
        <v>25</v>
      </c>
      <c r="E5" s="179" t="s">
        <v>26</v>
      </c>
      <c r="F5" s="179" t="s">
        <v>27</v>
      </c>
      <c r="G5" s="179" t="s">
        <v>24</v>
      </c>
      <c r="H5" s="179" t="s">
        <v>25</v>
      </c>
      <c r="I5" s="179" t="s">
        <v>26</v>
      </c>
      <c r="J5" s="179" t="s">
        <v>27</v>
      </c>
      <c r="K5" s="179" t="s">
        <v>24</v>
      </c>
      <c r="L5" s="179" t="s">
        <v>25</v>
      </c>
      <c r="M5" s="179" t="s">
        <v>26</v>
      </c>
      <c r="N5" s="179" t="s">
        <v>27</v>
      </c>
      <c r="O5" s="211"/>
      <c r="P5" s="179" t="s">
        <v>12</v>
      </c>
      <c r="Q5" s="179" t="s">
        <v>24</v>
      </c>
      <c r="R5" s="179" t="s">
        <v>25</v>
      </c>
      <c r="S5" s="179" t="s">
        <v>26</v>
      </c>
      <c r="T5" s="181" t="s">
        <v>27</v>
      </c>
      <c r="U5" s="183" t="s">
        <v>31</v>
      </c>
      <c r="V5" s="59" t="s">
        <v>34</v>
      </c>
      <c r="W5" s="23" t="s">
        <v>14</v>
      </c>
      <c r="X5" s="33" t="s">
        <v>35</v>
      </c>
      <c r="Z5" s="240"/>
      <c r="AA5" s="43"/>
      <c r="AB5" s="179" t="s">
        <v>12</v>
      </c>
      <c r="AC5" s="179" t="s">
        <v>114</v>
      </c>
      <c r="AD5" s="179" t="s">
        <v>26</v>
      </c>
      <c r="AE5" s="179" t="s">
        <v>27</v>
      </c>
      <c r="AF5" s="179" t="s">
        <v>114</v>
      </c>
      <c r="AG5" s="179" t="s">
        <v>115</v>
      </c>
      <c r="AH5" s="179" t="s">
        <v>26</v>
      </c>
      <c r="AI5" s="179" t="s">
        <v>27</v>
      </c>
      <c r="AJ5" s="179" t="s">
        <v>116</v>
      </c>
      <c r="AK5" s="179" t="s">
        <v>117</v>
      </c>
      <c r="AL5" s="179" t="s">
        <v>114</v>
      </c>
      <c r="AM5" s="179" t="s">
        <v>26</v>
      </c>
      <c r="AN5" s="179" t="s">
        <v>27</v>
      </c>
      <c r="AO5" s="211"/>
      <c r="AP5" s="179" t="s">
        <v>12</v>
      </c>
      <c r="AQ5" s="179" t="s">
        <v>118</v>
      </c>
      <c r="AR5" s="179" t="s">
        <v>26</v>
      </c>
      <c r="AS5" s="181" t="s">
        <v>27</v>
      </c>
      <c r="AT5" s="241" t="s">
        <v>31</v>
      </c>
      <c r="AV5" s="240"/>
    </row>
    <row r="6">
      <c r="A6" s="46" t="s">
        <v>22</v>
      </c>
      <c r="B6" s="223">
        <f>-'2024 - Q3'!U6</f>
        <v>70</v>
      </c>
      <c r="C6" s="48">
        <v>60.0</v>
      </c>
      <c r="D6" s="48">
        <v>3.0</v>
      </c>
      <c r="E6" s="70">
        <f t="shared" ref="E6:E9" si="2">SUM(C6:D6)</f>
        <v>63</v>
      </c>
      <c r="F6" s="242">
        <f>Targets!H2</f>
        <v>34</v>
      </c>
      <c r="G6" s="243">
        <v>37.0</v>
      </c>
      <c r="H6" s="48">
        <v>4.0</v>
      </c>
      <c r="I6" s="70">
        <f t="shared" ref="I6:I9" si="3">SUM(G6:H6)</f>
        <v>41</v>
      </c>
      <c r="J6" s="242">
        <f>Targets!I2</f>
        <v>40</v>
      </c>
      <c r="K6" s="243">
        <v>31.0</v>
      </c>
      <c r="L6" s="48"/>
      <c r="M6" s="70">
        <f t="shared" ref="M6:M9" si="4">SUM(K6:L6)</f>
        <v>31</v>
      </c>
      <c r="N6" s="242">
        <f>Targets!J2</f>
        <v>25</v>
      </c>
      <c r="O6" s="84"/>
      <c r="P6" s="224">
        <f t="shared" ref="P6:P9" si="5">B6</f>
        <v>70</v>
      </c>
      <c r="Q6" s="84">
        <f t="shared" ref="Q6:R6" si="1">K6+G6+C6</f>
        <v>128</v>
      </c>
      <c r="R6" s="84">
        <f t="shared" si="1"/>
        <v>7</v>
      </c>
      <c r="S6" s="225">
        <f t="shared" ref="S6:S9" si="7">sum(P6:R6)</f>
        <v>205</v>
      </c>
      <c r="T6" s="244">
        <f t="shared" ref="T6:T9" si="8">N6+J6+F6</f>
        <v>99</v>
      </c>
      <c r="U6" s="226">
        <f t="shared" ref="U6:U9" si="9">T6-S6</f>
        <v>-106</v>
      </c>
      <c r="V6" s="46">
        <f t="shared" ref="V6:V9" si="10">R6+Q6</f>
        <v>135</v>
      </c>
      <c r="W6" s="245">
        <f t="shared" ref="W6:W9" si="11">T6</f>
        <v>99</v>
      </c>
      <c r="X6" s="246">
        <f t="shared" ref="X6:X9" si="12">(Q6+R6)/T6</f>
        <v>1.363636364</v>
      </c>
      <c r="Y6" s="247">
        <v>45663.0</v>
      </c>
      <c r="Z6" s="228" t="s">
        <v>119</v>
      </c>
      <c r="AA6" s="156" t="s">
        <v>22</v>
      </c>
      <c r="AB6" s="223">
        <f>Targets!AC30</f>
        <v>5</v>
      </c>
      <c r="AC6" s="48">
        <v>1.0</v>
      </c>
      <c r="AD6" s="70">
        <f t="shared" ref="AD6:AD9" si="13">SUM(AC6)</f>
        <v>1</v>
      </c>
      <c r="AE6" s="72">
        <f>Targets!T43+Targets!U43</f>
        <v>8</v>
      </c>
      <c r="AF6" s="243">
        <v>1.0</v>
      </c>
      <c r="AG6" s="48">
        <v>2.0</v>
      </c>
      <c r="AH6" s="70">
        <f t="shared" ref="AH6:AH9" si="14">AG6+AF6</f>
        <v>3</v>
      </c>
      <c r="AI6" s="72">
        <f>Targets!V43</f>
        <v>1</v>
      </c>
      <c r="AJ6" s="48">
        <v>2.0</v>
      </c>
      <c r="AK6" s="48">
        <v>7.0</v>
      </c>
      <c r="AM6" s="70">
        <f>sum(AJ6:AK6)</f>
        <v>9</v>
      </c>
      <c r="AN6" s="72" t="str">
        <f>Targets!W43</f>
        <v/>
      </c>
      <c r="AO6" s="120"/>
      <c r="AP6" s="224">
        <f t="shared" ref="AP6:AP9" si="15">AB6</f>
        <v>5</v>
      </c>
      <c r="AQ6" s="84">
        <f t="shared" ref="AQ6:AQ9" si="16">AM6+AH6+AD6</f>
        <v>13</v>
      </c>
      <c r="AR6" s="225">
        <f t="shared" ref="AR6:AR9" si="17">AQ6+AP6</f>
        <v>18</v>
      </c>
      <c r="AS6" s="86">
        <f t="shared" ref="AS6:AS9" si="18">AN6+AI6+AE6</f>
        <v>9</v>
      </c>
      <c r="AT6" s="248">
        <f t="shared" ref="AT6:AT9" si="19">AS6-AR6</f>
        <v>-9</v>
      </c>
      <c r="AU6" s="247">
        <v>45657.0</v>
      </c>
      <c r="AV6" s="228" t="s">
        <v>42</v>
      </c>
    </row>
    <row r="7">
      <c r="A7" s="46" t="s">
        <v>36</v>
      </c>
      <c r="B7" s="223">
        <f>-'2024 - Q3'!U7</f>
        <v>-94</v>
      </c>
      <c r="C7" s="48">
        <v>30.0</v>
      </c>
      <c r="D7" s="48">
        <v>0.0</v>
      </c>
      <c r="E7" s="70">
        <f t="shared" si="2"/>
        <v>30</v>
      </c>
      <c r="F7" s="242">
        <f>Targets!H3</f>
        <v>28</v>
      </c>
      <c r="G7" s="243">
        <v>19.0</v>
      </c>
      <c r="H7" s="48"/>
      <c r="I7" s="70">
        <f t="shared" si="3"/>
        <v>19</v>
      </c>
      <c r="J7" s="242">
        <f>Targets!I3</f>
        <v>37</v>
      </c>
      <c r="K7" s="243">
        <v>26.0</v>
      </c>
      <c r="L7" s="48"/>
      <c r="M7" s="70">
        <f t="shared" si="4"/>
        <v>26</v>
      </c>
      <c r="N7" s="242">
        <f>Targets!J3</f>
        <v>29</v>
      </c>
      <c r="O7" s="84"/>
      <c r="P7" s="224">
        <f t="shared" si="5"/>
        <v>-94</v>
      </c>
      <c r="Q7" s="84">
        <f t="shared" ref="Q7:R7" si="6">K7+G7+C7</f>
        <v>75</v>
      </c>
      <c r="R7" s="84">
        <f t="shared" si="6"/>
        <v>0</v>
      </c>
      <c r="S7" s="225">
        <f t="shared" si="7"/>
        <v>-19</v>
      </c>
      <c r="T7" s="244">
        <f t="shared" si="8"/>
        <v>94</v>
      </c>
      <c r="U7" s="226">
        <f t="shared" si="9"/>
        <v>113</v>
      </c>
      <c r="V7" s="46">
        <f t="shared" si="10"/>
        <v>75</v>
      </c>
      <c r="W7" s="245">
        <f t="shared" si="11"/>
        <v>94</v>
      </c>
      <c r="X7" s="246">
        <f t="shared" si="12"/>
        <v>0.7978723404</v>
      </c>
      <c r="Y7" s="247">
        <v>45663.0</v>
      </c>
      <c r="Z7" s="228" t="s">
        <v>119</v>
      </c>
      <c r="AA7" s="156" t="s">
        <v>36</v>
      </c>
      <c r="AB7" s="223">
        <f>Targets!AC27</f>
        <v>3</v>
      </c>
      <c r="AC7" s="48">
        <v>0.0</v>
      </c>
      <c r="AD7" s="70">
        <f t="shared" si="13"/>
        <v>0</v>
      </c>
      <c r="AE7" s="72">
        <f>Targets!T44+Targets!U44</f>
        <v>7</v>
      </c>
      <c r="AF7" s="243">
        <v>3.0</v>
      </c>
      <c r="AG7" s="48"/>
      <c r="AH7" s="70">
        <f t="shared" si="14"/>
        <v>3</v>
      </c>
      <c r="AI7" s="72">
        <f>Targets!V44</f>
        <v>1</v>
      </c>
      <c r="AJ7" s="48"/>
      <c r="AK7" s="48"/>
      <c r="AL7" s="48"/>
      <c r="AM7" s="70">
        <f t="shared" ref="AM7:AM9" si="21">sum(AJ7:AL7)</f>
        <v>0</v>
      </c>
      <c r="AN7" s="72" t="str">
        <f>Targets!W44</f>
        <v/>
      </c>
      <c r="AO7" s="120"/>
      <c r="AP7" s="224">
        <f t="shared" si="15"/>
        <v>3</v>
      </c>
      <c r="AQ7" s="84">
        <f t="shared" si="16"/>
        <v>3</v>
      </c>
      <c r="AR7" s="225">
        <f t="shared" si="17"/>
        <v>6</v>
      </c>
      <c r="AS7" s="86">
        <f t="shared" si="18"/>
        <v>8</v>
      </c>
      <c r="AT7" s="248">
        <f t="shared" si="19"/>
        <v>2</v>
      </c>
      <c r="AU7" s="247">
        <v>45657.0</v>
      </c>
      <c r="AV7" s="228" t="s">
        <v>42</v>
      </c>
    </row>
    <row r="8">
      <c r="A8" s="46" t="s">
        <v>40</v>
      </c>
      <c r="B8" s="223">
        <f>-'2024 - Q3'!U8</f>
        <v>6</v>
      </c>
      <c r="C8" s="48">
        <v>27.0</v>
      </c>
      <c r="D8" s="214"/>
      <c r="E8" s="70">
        <f t="shared" si="2"/>
        <v>27</v>
      </c>
      <c r="F8" s="242">
        <f>Targets!H4</f>
        <v>19</v>
      </c>
      <c r="G8" s="243">
        <v>31.0</v>
      </c>
      <c r="H8" s="48"/>
      <c r="I8" s="70">
        <f t="shared" si="3"/>
        <v>31</v>
      </c>
      <c r="J8" s="242">
        <f>Targets!I4</f>
        <v>26</v>
      </c>
      <c r="K8" s="243">
        <v>16.0</v>
      </c>
      <c r="L8" s="48"/>
      <c r="M8" s="70">
        <f t="shared" si="4"/>
        <v>16</v>
      </c>
      <c r="N8" s="242">
        <f>Targets!J4</f>
        <v>20</v>
      </c>
      <c r="O8" s="84"/>
      <c r="P8" s="224">
        <f t="shared" si="5"/>
        <v>6</v>
      </c>
      <c r="Q8" s="84">
        <f t="shared" ref="Q8:R8" si="20">K8+G8+C8</f>
        <v>74</v>
      </c>
      <c r="R8" s="84">
        <f t="shared" si="20"/>
        <v>0</v>
      </c>
      <c r="S8" s="225">
        <f t="shared" si="7"/>
        <v>80</v>
      </c>
      <c r="T8" s="244">
        <f t="shared" si="8"/>
        <v>65</v>
      </c>
      <c r="U8" s="226">
        <f t="shared" si="9"/>
        <v>-15</v>
      </c>
      <c r="V8" s="46">
        <f t="shared" si="10"/>
        <v>74</v>
      </c>
      <c r="W8" s="245">
        <f t="shared" si="11"/>
        <v>65</v>
      </c>
      <c r="X8" s="246">
        <f t="shared" si="12"/>
        <v>1.138461538</v>
      </c>
      <c r="Y8" s="247">
        <v>45663.0</v>
      </c>
      <c r="Z8" s="228" t="s">
        <v>119</v>
      </c>
      <c r="AA8" s="156" t="s">
        <v>40</v>
      </c>
      <c r="AB8" s="195">
        <v>8.0</v>
      </c>
      <c r="AC8" s="48">
        <v>0.0</v>
      </c>
      <c r="AD8" s="70">
        <f t="shared" si="13"/>
        <v>0</v>
      </c>
      <c r="AE8" s="72">
        <f>Targets!T45+Targets!U45</f>
        <v>5</v>
      </c>
      <c r="AF8" s="243">
        <v>2.0</v>
      </c>
      <c r="AG8" s="48">
        <v>2.0</v>
      </c>
      <c r="AH8" s="70">
        <f t="shared" si="14"/>
        <v>4</v>
      </c>
      <c r="AI8" s="72">
        <f>Targets!V45</f>
        <v>1</v>
      </c>
      <c r="AJ8" s="48"/>
      <c r="AK8" s="48"/>
      <c r="AL8" s="48">
        <v>1.0</v>
      </c>
      <c r="AM8" s="70">
        <f t="shared" si="21"/>
        <v>1</v>
      </c>
      <c r="AN8" s="72" t="str">
        <f>Targets!W45</f>
        <v/>
      </c>
      <c r="AO8" s="120"/>
      <c r="AP8" s="83">
        <f t="shared" si="15"/>
        <v>8</v>
      </c>
      <c r="AQ8" s="84">
        <f t="shared" si="16"/>
        <v>5</v>
      </c>
      <c r="AR8" s="70">
        <f t="shared" si="17"/>
        <v>13</v>
      </c>
      <c r="AS8" s="86">
        <f t="shared" si="18"/>
        <v>6</v>
      </c>
      <c r="AT8" s="249">
        <f t="shared" si="19"/>
        <v>-7</v>
      </c>
      <c r="AU8" s="247">
        <v>45657.0</v>
      </c>
      <c r="AV8" s="228" t="s">
        <v>42</v>
      </c>
    </row>
    <row r="9">
      <c r="A9" s="46" t="s">
        <v>41</v>
      </c>
      <c r="B9" s="223">
        <f>-'2024 - Q3'!U9</f>
        <v>21</v>
      </c>
      <c r="C9" s="87">
        <v>39.0</v>
      </c>
      <c r="D9" s="250"/>
      <c r="E9" s="70">
        <f t="shared" si="2"/>
        <v>39</v>
      </c>
      <c r="F9" s="242">
        <f>Targets!H5</f>
        <v>26</v>
      </c>
      <c r="G9" s="243">
        <v>34.0</v>
      </c>
      <c r="H9" s="48"/>
      <c r="I9" s="70">
        <f t="shared" si="3"/>
        <v>34</v>
      </c>
      <c r="J9" s="242">
        <f>Targets!I5</f>
        <v>34</v>
      </c>
      <c r="K9" s="243">
        <v>24.0</v>
      </c>
      <c r="L9" s="48"/>
      <c r="M9" s="70">
        <f t="shared" si="4"/>
        <v>24</v>
      </c>
      <c r="N9" s="242">
        <f>Targets!J5</f>
        <v>24</v>
      </c>
      <c r="O9" s="84"/>
      <c r="P9" s="224">
        <f t="shared" si="5"/>
        <v>21</v>
      </c>
      <c r="Q9" s="84">
        <f t="shared" ref="Q9:R9" si="22">K9+G9+C9</f>
        <v>97</v>
      </c>
      <c r="R9" s="84">
        <f t="shared" si="22"/>
        <v>0</v>
      </c>
      <c r="S9" s="225">
        <f t="shared" si="7"/>
        <v>118</v>
      </c>
      <c r="T9" s="244">
        <f t="shared" si="8"/>
        <v>84</v>
      </c>
      <c r="U9" s="226">
        <f t="shared" si="9"/>
        <v>-34</v>
      </c>
      <c r="V9" s="46">
        <f t="shared" si="10"/>
        <v>97</v>
      </c>
      <c r="W9" s="245">
        <f t="shared" si="11"/>
        <v>84</v>
      </c>
      <c r="X9" s="246">
        <f t="shared" si="12"/>
        <v>1.154761905</v>
      </c>
      <c r="Y9" s="247">
        <v>45663.0</v>
      </c>
      <c r="Z9" s="228" t="s">
        <v>119</v>
      </c>
      <c r="AA9" s="156" t="s">
        <v>41</v>
      </c>
      <c r="AB9" s="223">
        <f>Targets!AC29</f>
        <v>1</v>
      </c>
      <c r="AC9" s="48">
        <v>1.0</v>
      </c>
      <c r="AD9" s="70">
        <f t="shared" si="13"/>
        <v>1</v>
      </c>
      <c r="AE9" s="72">
        <f>Targets!T46+Targets!U46</f>
        <v>6</v>
      </c>
      <c r="AF9" s="243">
        <v>1.0</v>
      </c>
      <c r="AG9" s="48"/>
      <c r="AH9" s="70">
        <f t="shared" si="14"/>
        <v>1</v>
      </c>
      <c r="AI9" s="72">
        <f>Targets!V46</f>
        <v>1</v>
      </c>
      <c r="AJ9" s="48"/>
      <c r="AK9" s="48"/>
      <c r="AL9" s="48"/>
      <c r="AM9" s="70">
        <f t="shared" si="21"/>
        <v>0</v>
      </c>
      <c r="AN9" s="72" t="str">
        <f>Targets!W46</f>
        <v/>
      </c>
      <c r="AO9" s="120"/>
      <c r="AP9" s="224">
        <f t="shared" si="15"/>
        <v>1</v>
      </c>
      <c r="AQ9" s="84">
        <f t="shared" si="16"/>
        <v>2</v>
      </c>
      <c r="AR9" s="225">
        <f t="shared" si="17"/>
        <v>3</v>
      </c>
      <c r="AS9" s="86">
        <f t="shared" si="18"/>
        <v>7</v>
      </c>
      <c r="AT9" s="248">
        <f t="shared" si="19"/>
        <v>4</v>
      </c>
      <c r="AU9" s="247">
        <v>45657.0</v>
      </c>
      <c r="AV9" s="228" t="s">
        <v>42</v>
      </c>
    </row>
    <row r="10">
      <c r="A10" s="94" t="s">
        <v>44</v>
      </c>
      <c r="B10" s="100">
        <f t="shared" ref="B10:N10" si="23">sum(B6:B9)</f>
        <v>3</v>
      </c>
      <c r="C10" s="95">
        <f t="shared" si="23"/>
        <v>156</v>
      </c>
      <c r="D10" s="95">
        <f t="shared" si="23"/>
        <v>3</v>
      </c>
      <c r="E10" s="95">
        <f t="shared" si="23"/>
        <v>159</v>
      </c>
      <c r="F10" s="100">
        <f t="shared" si="23"/>
        <v>107</v>
      </c>
      <c r="G10" s="95">
        <f t="shared" si="23"/>
        <v>121</v>
      </c>
      <c r="H10" s="95">
        <f t="shared" si="23"/>
        <v>4</v>
      </c>
      <c r="I10" s="95">
        <f t="shared" si="23"/>
        <v>125</v>
      </c>
      <c r="J10" s="100">
        <f t="shared" si="23"/>
        <v>137</v>
      </c>
      <c r="K10" s="95">
        <f t="shared" si="23"/>
        <v>97</v>
      </c>
      <c r="L10" s="95">
        <f t="shared" si="23"/>
        <v>0</v>
      </c>
      <c r="M10" s="95">
        <f t="shared" si="23"/>
        <v>97</v>
      </c>
      <c r="N10" s="100">
        <f t="shared" si="23"/>
        <v>98</v>
      </c>
      <c r="O10" s="120"/>
      <c r="P10" s="100">
        <f t="shared" ref="P10:W10" si="24">sum(P6:P9)</f>
        <v>3</v>
      </c>
      <c r="Q10" s="95">
        <f t="shared" si="24"/>
        <v>374</v>
      </c>
      <c r="R10" s="95">
        <f t="shared" si="24"/>
        <v>7</v>
      </c>
      <c r="S10" s="100">
        <f t="shared" si="24"/>
        <v>384</v>
      </c>
      <c r="T10" s="103">
        <f t="shared" si="24"/>
        <v>342</v>
      </c>
      <c r="U10" s="231">
        <f t="shared" si="24"/>
        <v>-42</v>
      </c>
      <c r="V10" s="116">
        <f t="shared" si="24"/>
        <v>381</v>
      </c>
      <c r="W10" s="100">
        <f t="shared" si="24"/>
        <v>342</v>
      </c>
      <c r="X10" s="252">
        <f>V10/W10</f>
        <v>1.114035088</v>
      </c>
      <c r="Y10" s="37">
        <v>8750</v>
      </c>
      <c r="Z10" s="240"/>
      <c r="AA10" s="161" t="s">
        <v>44</v>
      </c>
      <c r="AB10" s="100">
        <f t="shared" ref="AB10:AN10" si="25">sum(AB6:AB9)</f>
        <v>17</v>
      </c>
      <c r="AC10" s="95">
        <f t="shared" si="25"/>
        <v>2</v>
      </c>
      <c r="AD10" s="95">
        <f t="shared" si="25"/>
        <v>2</v>
      </c>
      <c r="AE10" s="95">
        <f t="shared" si="25"/>
        <v>26</v>
      </c>
      <c r="AF10" s="95">
        <f t="shared" si="25"/>
        <v>7</v>
      </c>
      <c r="AG10" s="95">
        <f t="shared" si="25"/>
        <v>4</v>
      </c>
      <c r="AH10" s="95">
        <f t="shared" si="25"/>
        <v>11</v>
      </c>
      <c r="AI10" s="95">
        <f t="shared" si="25"/>
        <v>4</v>
      </c>
      <c r="AJ10" s="95">
        <f t="shared" si="25"/>
        <v>2</v>
      </c>
      <c r="AK10" s="95">
        <f t="shared" si="25"/>
        <v>7</v>
      </c>
      <c r="AL10" s="95">
        <f t="shared" si="25"/>
        <v>1</v>
      </c>
      <c r="AM10" s="95">
        <f t="shared" si="25"/>
        <v>10</v>
      </c>
      <c r="AN10" s="95">
        <f t="shared" si="25"/>
        <v>0</v>
      </c>
      <c r="AO10" s="120"/>
      <c r="AP10" s="100">
        <f t="shared" ref="AP10:AT10" si="26">sum(AP6:AP9)</f>
        <v>17</v>
      </c>
      <c r="AQ10" s="95">
        <f t="shared" si="26"/>
        <v>23</v>
      </c>
      <c r="AR10" s="100">
        <f t="shared" si="26"/>
        <v>40</v>
      </c>
      <c r="AS10" s="115">
        <f t="shared" si="26"/>
        <v>30</v>
      </c>
      <c r="AT10" s="256">
        <f t="shared" si="26"/>
        <v>-10</v>
      </c>
      <c r="AV10" s="240"/>
    </row>
    <row r="11">
      <c r="A11" s="46" t="s">
        <v>47</v>
      </c>
      <c r="B11" s="223">
        <f>-'2024 - Q3'!U11</f>
        <v>16</v>
      </c>
      <c r="C11" s="84">
        <v>41.0</v>
      </c>
      <c r="D11" s="84"/>
      <c r="E11" s="70">
        <f t="shared" ref="E11:E14" si="28">SUM(C11:D11)</f>
        <v>41</v>
      </c>
      <c r="F11" s="242">
        <f>Targets!H7</f>
        <v>29</v>
      </c>
      <c r="G11" s="243">
        <v>25.0</v>
      </c>
      <c r="H11" s="48"/>
      <c r="I11" s="70">
        <f t="shared" ref="I11:I14" si="29">SUM(G11:H11)</f>
        <v>25</v>
      </c>
      <c r="J11" s="242">
        <f>Targets!I7</f>
        <v>34</v>
      </c>
      <c r="K11" s="243">
        <v>24.0</v>
      </c>
      <c r="L11" s="48">
        <v>8.0</v>
      </c>
      <c r="M11" s="70">
        <f t="shared" ref="M11:M14" si="30">SUM(K11:L11)</f>
        <v>32</v>
      </c>
      <c r="N11" s="242">
        <f>Targets!J7</f>
        <v>20</v>
      </c>
      <c r="O11" s="120"/>
      <c r="P11" s="83">
        <v>16.0</v>
      </c>
      <c r="Q11" s="84">
        <f t="shared" ref="Q11:R11" si="27">K11+G11+C11</f>
        <v>90</v>
      </c>
      <c r="R11" s="84">
        <f t="shared" si="27"/>
        <v>8</v>
      </c>
      <c r="S11" s="70">
        <f t="shared" ref="S11:S14" si="32">sum(P11:R11)</f>
        <v>114</v>
      </c>
      <c r="T11" s="244">
        <f t="shared" ref="T11:T14" si="33">N11+J11+F11</f>
        <v>83</v>
      </c>
      <c r="U11" s="226">
        <f t="shared" ref="U11:U14" si="34">T11-S11</f>
        <v>-31</v>
      </c>
      <c r="V11" s="46">
        <f t="shared" ref="V11:V14" si="35">R11+Q11</f>
        <v>98</v>
      </c>
      <c r="W11" s="245">
        <f t="shared" ref="W11:W14" si="36">T11</f>
        <v>83</v>
      </c>
      <c r="X11" s="246">
        <f t="shared" ref="X11:X14" si="37">(Q11+R11)/T11</f>
        <v>1.180722892</v>
      </c>
      <c r="Y11" s="247">
        <v>45656.0</v>
      </c>
      <c r="Z11" s="228" t="s">
        <v>56</v>
      </c>
      <c r="AA11" s="156" t="s">
        <v>47</v>
      </c>
      <c r="AB11" s="223">
        <f>Targets!AC33</f>
        <v>6</v>
      </c>
      <c r="AC11" s="48">
        <v>0.0</v>
      </c>
      <c r="AD11" s="70">
        <f t="shared" ref="AD11:AD14" si="38">SUM(AC11)</f>
        <v>0</v>
      </c>
      <c r="AE11" s="72">
        <f>Targets!T48+Targets!U48</f>
        <v>7</v>
      </c>
      <c r="AF11" s="84">
        <v>1.0</v>
      </c>
      <c r="AG11" s="84">
        <v>2.0</v>
      </c>
      <c r="AH11" s="70">
        <f t="shared" ref="AH11:AH14" si="39">AG11+AF11</f>
        <v>3</v>
      </c>
      <c r="AI11" s="72">
        <f>Targets!V48</f>
        <v>1</v>
      </c>
      <c r="AJ11" s="84"/>
      <c r="AK11" s="84"/>
      <c r="AL11" s="84">
        <v>1.0</v>
      </c>
      <c r="AM11" s="70">
        <f t="shared" ref="AM11:AM14" si="40">sum(AJ11:AL11)</f>
        <v>1</v>
      </c>
      <c r="AN11" s="72" t="str">
        <f>Targets!W48</f>
        <v/>
      </c>
      <c r="AO11" s="120"/>
      <c r="AP11" s="224">
        <f t="shared" ref="AP11:AP14" si="41">AB11</f>
        <v>6</v>
      </c>
      <c r="AQ11" s="84">
        <f t="shared" ref="AQ11:AQ14" si="42">AM11+AH11+AD11</f>
        <v>4</v>
      </c>
      <c r="AR11" s="225">
        <f t="shared" ref="AR11:AR14" si="43">AQ11+AP11</f>
        <v>10</v>
      </c>
      <c r="AS11" s="86">
        <f t="shared" ref="AS11:AS13" si="44">AN11+AI11+AE11</f>
        <v>8</v>
      </c>
      <c r="AT11" s="248">
        <f t="shared" ref="AT11:AT14" si="45">AS11-AR11</f>
        <v>-2</v>
      </c>
      <c r="AU11" s="247">
        <v>45656.0</v>
      </c>
      <c r="AV11" s="228" t="s">
        <v>56</v>
      </c>
    </row>
    <row r="12">
      <c r="A12" s="46" t="s">
        <v>51</v>
      </c>
      <c r="B12" s="223">
        <f>-'2024 - Q3'!U12</f>
        <v>4</v>
      </c>
      <c r="C12" s="84">
        <v>33.0</v>
      </c>
      <c r="D12" s="84"/>
      <c r="E12" s="70">
        <f t="shared" si="28"/>
        <v>33</v>
      </c>
      <c r="F12" s="242">
        <f>Targets!H8</f>
        <v>22</v>
      </c>
      <c r="G12" s="243">
        <v>35.0</v>
      </c>
      <c r="H12" s="48">
        <v>1.0</v>
      </c>
      <c r="I12" s="70">
        <f t="shared" si="29"/>
        <v>36</v>
      </c>
      <c r="J12" s="242">
        <f>Targets!I8</f>
        <v>31</v>
      </c>
      <c r="K12" s="243">
        <v>37.0</v>
      </c>
      <c r="L12" s="48">
        <v>2.0</v>
      </c>
      <c r="M12" s="70">
        <f t="shared" si="30"/>
        <v>39</v>
      </c>
      <c r="N12" s="242">
        <f>Targets!J8</f>
        <v>21</v>
      </c>
      <c r="O12" s="120"/>
      <c r="P12" s="224">
        <f t="shared" ref="P12:P14" si="46">B12</f>
        <v>4</v>
      </c>
      <c r="Q12" s="84">
        <f t="shared" ref="Q12:R12" si="31">K12+G12+C12</f>
        <v>105</v>
      </c>
      <c r="R12" s="84">
        <f t="shared" si="31"/>
        <v>3</v>
      </c>
      <c r="S12" s="225">
        <f t="shared" si="32"/>
        <v>112</v>
      </c>
      <c r="T12" s="244">
        <f t="shared" si="33"/>
        <v>74</v>
      </c>
      <c r="U12" s="226">
        <f t="shared" si="34"/>
        <v>-38</v>
      </c>
      <c r="V12" s="46">
        <f t="shared" si="35"/>
        <v>108</v>
      </c>
      <c r="W12" s="245">
        <f t="shared" si="36"/>
        <v>74</v>
      </c>
      <c r="X12" s="246">
        <f t="shared" si="37"/>
        <v>1.459459459</v>
      </c>
      <c r="Y12" s="247">
        <v>45656.0</v>
      </c>
      <c r="Z12" s="228" t="s">
        <v>56</v>
      </c>
      <c r="AA12" s="156" t="s">
        <v>51</v>
      </c>
      <c r="AB12" s="223">
        <f>Targets!AC32</f>
        <v>2</v>
      </c>
      <c r="AC12" s="48">
        <v>0.0</v>
      </c>
      <c r="AD12" s="70">
        <f t="shared" si="38"/>
        <v>0</v>
      </c>
      <c r="AE12" s="72">
        <f>Targets!T49+Targets!U49</f>
        <v>7</v>
      </c>
      <c r="AF12" s="84">
        <v>1.0</v>
      </c>
      <c r="AG12" s="84"/>
      <c r="AH12" s="70">
        <f t="shared" si="39"/>
        <v>1</v>
      </c>
      <c r="AI12" s="72">
        <f>Targets!V49</f>
        <v>1</v>
      </c>
      <c r="AJ12" s="84">
        <v>2.0</v>
      </c>
      <c r="AK12" s="84"/>
      <c r="AL12" s="84"/>
      <c r="AM12" s="70">
        <f t="shared" si="40"/>
        <v>2</v>
      </c>
      <c r="AN12" s="72" t="str">
        <f>Targets!W49</f>
        <v/>
      </c>
      <c r="AO12" s="120"/>
      <c r="AP12" s="224">
        <f t="shared" si="41"/>
        <v>2</v>
      </c>
      <c r="AQ12" s="84">
        <f t="shared" si="42"/>
        <v>3</v>
      </c>
      <c r="AR12" s="225">
        <f t="shared" si="43"/>
        <v>5</v>
      </c>
      <c r="AS12" s="86">
        <f t="shared" si="44"/>
        <v>8</v>
      </c>
      <c r="AT12" s="248">
        <f t="shared" si="45"/>
        <v>3</v>
      </c>
      <c r="AU12" s="247">
        <v>45656.0</v>
      </c>
      <c r="AV12" s="228" t="s">
        <v>56</v>
      </c>
    </row>
    <row r="13">
      <c r="A13" s="46" t="s">
        <v>52</v>
      </c>
      <c r="B13" s="223">
        <f>-'2024 - Q3'!U13</f>
        <v>29</v>
      </c>
      <c r="C13" s="84">
        <v>35.0</v>
      </c>
      <c r="D13" s="84"/>
      <c r="E13" s="70">
        <f t="shared" si="28"/>
        <v>35</v>
      </c>
      <c r="F13" s="242">
        <f>Targets!H9</f>
        <v>20</v>
      </c>
      <c r="G13" s="243">
        <v>23.0</v>
      </c>
      <c r="H13" s="48">
        <v>0.0</v>
      </c>
      <c r="I13" s="70">
        <f t="shared" si="29"/>
        <v>23</v>
      </c>
      <c r="J13" s="242">
        <f>Targets!I9</f>
        <v>21</v>
      </c>
      <c r="K13" s="243">
        <v>23.0</v>
      </c>
      <c r="L13" s="48">
        <v>1.0</v>
      </c>
      <c r="M13" s="70">
        <f t="shared" si="30"/>
        <v>24</v>
      </c>
      <c r="N13" s="242">
        <f>Targets!J9</f>
        <v>13</v>
      </c>
      <c r="O13" s="120"/>
      <c r="P13" s="224">
        <f t="shared" si="46"/>
        <v>29</v>
      </c>
      <c r="Q13" s="84">
        <f t="shared" ref="Q13:R13" si="47">K13+G13+C13</f>
        <v>81</v>
      </c>
      <c r="R13" s="84">
        <f t="shared" si="47"/>
        <v>1</v>
      </c>
      <c r="S13" s="225">
        <f t="shared" si="32"/>
        <v>111</v>
      </c>
      <c r="T13" s="244">
        <f t="shared" si="33"/>
        <v>54</v>
      </c>
      <c r="U13" s="226">
        <f t="shared" si="34"/>
        <v>-57</v>
      </c>
      <c r="V13" s="46">
        <f t="shared" si="35"/>
        <v>82</v>
      </c>
      <c r="W13" s="245">
        <f t="shared" si="36"/>
        <v>54</v>
      </c>
      <c r="X13" s="246">
        <f t="shared" si="37"/>
        <v>1.518518519</v>
      </c>
      <c r="Y13" s="247">
        <v>45656.0</v>
      </c>
      <c r="Z13" s="228" t="s">
        <v>56</v>
      </c>
      <c r="AA13" s="156" t="s">
        <v>52</v>
      </c>
      <c r="AB13" s="223">
        <f>Targets!AC31</f>
        <v>2</v>
      </c>
      <c r="AC13" s="48">
        <v>1.0</v>
      </c>
      <c r="AD13" s="70">
        <f t="shared" si="38"/>
        <v>1</v>
      </c>
      <c r="AE13" s="72">
        <f>Targets!T50+Targets!U50</f>
        <v>5</v>
      </c>
      <c r="AF13" s="84">
        <v>0.0</v>
      </c>
      <c r="AG13" s="84">
        <v>2.0</v>
      </c>
      <c r="AH13" s="70">
        <f t="shared" si="39"/>
        <v>2</v>
      </c>
      <c r="AI13" s="72">
        <f>Targets!V50</f>
        <v>1</v>
      </c>
      <c r="AJ13" s="84"/>
      <c r="AK13" s="84">
        <v>3.0</v>
      </c>
      <c r="AL13" s="84"/>
      <c r="AM13" s="70">
        <f t="shared" si="40"/>
        <v>3</v>
      </c>
      <c r="AN13" s="72" t="str">
        <f>Targets!W50</f>
        <v/>
      </c>
      <c r="AO13" s="120"/>
      <c r="AP13" s="224">
        <f t="shared" si="41"/>
        <v>2</v>
      </c>
      <c r="AQ13" s="84">
        <f t="shared" si="42"/>
        <v>6</v>
      </c>
      <c r="AR13" s="225">
        <f t="shared" si="43"/>
        <v>8</v>
      </c>
      <c r="AS13" s="86">
        <f t="shared" si="44"/>
        <v>6</v>
      </c>
      <c r="AT13" s="248">
        <f t="shared" si="45"/>
        <v>-2</v>
      </c>
      <c r="AU13" s="247">
        <v>45656.0</v>
      </c>
      <c r="AV13" s="228" t="s">
        <v>56</v>
      </c>
    </row>
    <row r="14">
      <c r="A14" s="46" t="s">
        <v>53</v>
      </c>
      <c r="B14" s="223">
        <f>-'2024 - Q3'!U14</f>
        <v>1</v>
      </c>
      <c r="C14" s="84">
        <v>54.0</v>
      </c>
      <c r="D14" s="84"/>
      <c r="E14" s="70">
        <f t="shared" si="28"/>
        <v>54</v>
      </c>
      <c r="F14" s="242">
        <f>Targets!H10</f>
        <v>33</v>
      </c>
      <c r="G14" s="243">
        <v>47.0</v>
      </c>
      <c r="H14" s="48"/>
      <c r="I14" s="70">
        <f t="shared" si="29"/>
        <v>47</v>
      </c>
      <c r="J14" s="242">
        <f>Targets!I10</f>
        <v>45</v>
      </c>
      <c r="K14" s="243">
        <v>32.0</v>
      </c>
      <c r="L14" s="48">
        <v>6.0</v>
      </c>
      <c r="M14" s="70">
        <f t="shared" si="30"/>
        <v>38</v>
      </c>
      <c r="N14" s="242">
        <f>Targets!J10</f>
        <v>27</v>
      </c>
      <c r="O14" s="120"/>
      <c r="P14" s="224">
        <f t="shared" si="46"/>
        <v>1</v>
      </c>
      <c r="Q14" s="84">
        <f t="shared" ref="Q14:R14" si="48">K14+G14+C14</f>
        <v>133</v>
      </c>
      <c r="R14" s="84">
        <f t="shared" si="48"/>
        <v>6</v>
      </c>
      <c r="S14" s="225">
        <f t="shared" si="32"/>
        <v>140</v>
      </c>
      <c r="T14" s="244">
        <f t="shared" si="33"/>
        <v>105</v>
      </c>
      <c r="U14" s="226">
        <f t="shared" si="34"/>
        <v>-35</v>
      </c>
      <c r="V14" s="46">
        <f t="shared" si="35"/>
        <v>139</v>
      </c>
      <c r="W14" s="245">
        <f t="shared" si="36"/>
        <v>105</v>
      </c>
      <c r="X14" s="246">
        <f t="shared" si="37"/>
        <v>1.323809524</v>
      </c>
      <c r="Y14" s="247">
        <v>45656.0</v>
      </c>
      <c r="Z14" s="228" t="s">
        <v>56</v>
      </c>
      <c r="AA14" s="156" t="s">
        <v>53</v>
      </c>
      <c r="AB14" s="223">
        <f>Targets!AC34</f>
        <v>7</v>
      </c>
      <c r="AC14" s="48">
        <v>1.0</v>
      </c>
      <c r="AD14" s="70">
        <f t="shared" si="38"/>
        <v>1</v>
      </c>
      <c r="AE14" s="72">
        <f>Targets!T51+Targets!U51</f>
        <v>9</v>
      </c>
      <c r="AF14" s="84">
        <v>0.0</v>
      </c>
      <c r="AG14" s="84"/>
      <c r="AH14" s="70">
        <f t="shared" si="39"/>
        <v>0</v>
      </c>
      <c r="AI14" s="72">
        <f>Targets!V51</f>
        <v>2</v>
      </c>
      <c r="AJ14" s="84"/>
      <c r="AK14" s="84">
        <v>1.0</v>
      </c>
      <c r="AL14" s="84"/>
      <c r="AM14" s="70">
        <f t="shared" si="40"/>
        <v>1</v>
      </c>
      <c r="AN14" s="72" t="str">
        <f>Targets!W51</f>
        <v/>
      </c>
      <c r="AO14" s="120"/>
      <c r="AP14" s="224">
        <f t="shared" si="41"/>
        <v>7</v>
      </c>
      <c r="AQ14" s="84">
        <f t="shared" si="42"/>
        <v>2</v>
      </c>
      <c r="AR14" s="225">
        <f t="shared" si="43"/>
        <v>9</v>
      </c>
      <c r="AS14" s="86">
        <v>9.0</v>
      </c>
      <c r="AT14" s="248">
        <f t="shared" si="45"/>
        <v>0</v>
      </c>
      <c r="AU14" s="247">
        <v>45656.0</v>
      </c>
      <c r="AV14" s="228" t="s">
        <v>56</v>
      </c>
    </row>
    <row r="15">
      <c r="A15" s="94" t="s">
        <v>54</v>
      </c>
      <c r="B15" s="100">
        <f t="shared" ref="B15:N15" si="49">sum(B11:B14)</f>
        <v>50</v>
      </c>
      <c r="C15" s="95">
        <f t="shared" si="49"/>
        <v>163</v>
      </c>
      <c r="D15" s="95">
        <f t="shared" si="49"/>
        <v>0</v>
      </c>
      <c r="E15" s="95">
        <f t="shared" si="49"/>
        <v>163</v>
      </c>
      <c r="F15" s="100">
        <f t="shared" si="49"/>
        <v>104</v>
      </c>
      <c r="G15" s="95">
        <f t="shared" si="49"/>
        <v>130</v>
      </c>
      <c r="H15" s="95">
        <f t="shared" si="49"/>
        <v>1</v>
      </c>
      <c r="I15" s="95">
        <f t="shared" si="49"/>
        <v>131</v>
      </c>
      <c r="J15" s="100">
        <f t="shared" si="49"/>
        <v>131</v>
      </c>
      <c r="K15" s="95">
        <f t="shared" si="49"/>
        <v>116</v>
      </c>
      <c r="L15" s="95">
        <f t="shared" si="49"/>
        <v>17</v>
      </c>
      <c r="M15" s="95">
        <f t="shared" si="49"/>
        <v>133</v>
      </c>
      <c r="N15" s="100">
        <f t="shared" si="49"/>
        <v>81</v>
      </c>
      <c r="O15" s="120"/>
      <c r="P15" s="95">
        <f t="shared" ref="P15:W15" si="50">sum(P11:P14)</f>
        <v>50</v>
      </c>
      <c r="Q15" s="95">
        <f t="shared" si="50"/>
        <v>409</v>
      </c>
      <c r="R15" s="95">
        <f t="shared" si="50"/>
        <v>18</v>
      </c>
      <c r="S15" s="95">
        <f t="shared" si="50"/>
        <v>477</v>
      </c>
      <c r="T15" s="103">
        <f t="shared" si="50"/>
        <v>316</v>
      </c>
      <c r="U15" s="231">
        <f t="shared" si="50"/>
        <v>-161</v>
      </c>
      <c r="V15" s="116">
        <f t="shared" si="50"/>
        <v>427</v>
      </c>
      <c r="W15" s="100">
        <f t="shared" si="50"/>
        <v>316</v>
      </c>
      <c r="X15" s="252">
        <f>V15/W15</f>
        <v>1.351265823</v>
      </c>
      <c r="Y15" s="66">
        <v>78000</v>
      </c>
      <c r="Z15" s="240"/>
      <c r="AA15" s="161" t="s">
        <v>54</v>
      </c>
      <c r="AB15" s="100">
        <f t="shared" ref="AB15:AN15" si="51">sum(AB11:AB14)</f>
        <v>17</v>
      </c>
      <c r="AC15" s="95">
        <f t="shared" si="51"/>
        <v>2</v>
      </c>
      <c r="AD15" s="95">
        <f t="shared" si="51"/>
        <v>2</v>
      </c>
      <c r="AE15" s="95">
        <f t="shared" si="51"/>
        <v>28</v>
      </c>
      <c r="AF15" s="95">
        <f t="shared" si="51"/>
        <v>2</v>
      </c>
      <c r="AG15" s="95">
        <f t="shared" si="51"/>
        <v>4</v>
      </c>
      <c r="AH15" s="95">
        <f t="shared" si="51"/>
        <v>6</v>
      </c>
      <c r="AI15" s="95">
        <f t="shared" si="51"/>
        <v>5</v>
      </c>
      <c r="AJ15" s="95">
        <f t="shared" si="51"/>
        <v>2</v>
      </c>
      <c r="AK15" s="95">
        <f t="shared" si="51"/>
        <v>4</v>
      </c>
      <c r="AL15" s="95">
        <f t="shared" si="51"/>
        <v>1</v>
      </c>
      <c r="AM15" s="95">
        <f t="shared" si="51"/>
        <v>7</v>
      </c>
      <c r="AN15" s="95">
        <f t="shared" si="51"/>
        <v>0</v>
      </c>
      <c r="AO15" s="120"/>
      <c r="AP15" s="100">
        <f t="shared" ref="AP15:AT15" si="52">sum(AP11:AP14)</f>
        <v>17</v>
      </c>
      <c r="AQ15" s="95">
        <f t="shared" si="52"/>
        <v>15</v>
      </c>
      <c r="AR15" s="100">
        <f t="shared" si="52"/>
        <v>32</v>
      </c>
      <c r="AS15" s="115">
        <f t="shared" si="52"/>
        <v>31</v>
      </c>
      <c r="AT15" s="256">
        <f t="shared" si="52"/>
        <v>-1</v>
      </c>
      <c r="AV15" s="240"/>
    </row>
    <row r="16">
      <c r="A16" s="46" t="s">
        <v>55</v>
      </c>
      <c r="B16" s="223">
        <f>-'2024 - Q3'!U16</f>
        <v>12</v>
      </c>
      <c r="C16" s="84">
        <v>30.0</v>
      </c>
      <c r="D16" s="84">
        <v>4.0</v>
      </c>
      <c r="E16" s="70">
        <f t="shared" ref="E16:E18" si="54">SUM(C16:D16)</f>
        <v>34</v>
      </c>
      <c r="F16" s="242">
        <f>Targets!H12</f>
        <v>20</v>
      </c>
      <c r="G16" s="243">
        <v>21.0</v>
      </c>
      <c r="H16" s="48">
        <v>8.0</v>
      </c>
      <c r="I16" s="70">
        <f t="shared" ref="I16:I18" si="55">SUM(G16:H16)</f>
        <v>29</v>
      </c>
      <c r="J16" s="242">
        <f>Targets!I12</f>
        <v>31</v>
      </c>
      <c r="K16" s="243">
        <v>17.0</v>
      </c>
      <c r="L16" s="48">
        <v>6.0</v>
      </c>
      <c r="M16" s="70">
        <f t="shared" ref="M16:M18" si="56">SUM(K16:L16)</f>
        <v>23</v>
      </c>
      <c r="N16" s="242">
        <f>Targets!J12</f>
        <v>24</v>
      </c>
      <c r="O16" s="120"/>
      <c r="P16" s="224">
        <f t="shared" ref="P16:P18" si="57">B16</f>
        <v>12</v>
      </c>
      <c r="Q16" s="84">
        <f t="shared" ref="Q16:R16" si="53">K16+G16+C16</f>
        <v>68</v>
      </c>
      <c r="R16" s="84">
        <f t="shared" si="53"/>
        <v>18</v>
      </c>
      <c r="S16" s="225">
        <f t="shared" ref="S16:S18" si="59">sum(P16:R16)</f>
        <v>98</v>
      </c>
      <c r="T16" s="244">
        <f t="shared" ref="T16:T18" si="60">N16+J16+F16</f>
        <v>75</v>
      </c>
      <c r="U16" s="226">
        <f t="shared" ref="U16:U18" si="61">T16-S16</f>
        <v>-23</v>
      </c>
      <c r="V16" s="46">
        <f t="shared" ref="V16:V18" si="62">R16+Q16</f>
        <v>86</v>
      </c>
      <c r="W16" s="245">
        <f t="shared" ref="W16:W18" si="63">T16</f>
        <v>75</v>
      </c>
      <c r="X16" s="246">
        <f t="shared" ref="X16:X18" si="64">(Q16+R16)/T16</f>
        <v>1.146666667</v>
      </c>
      <c r="Y16" s="247">
        <v>45657.0</v>
      </c>
      <c r="Z16" s="228" t="s">
        <v>81</v>
      </c>
      <c r="AA16" s="156" t="s">
        <v>55</v>
      </c>
      <c r="AB16" s="223">
        <f>Targets!AC35</f>
        <v>3</v>
      </c>
      <c r="AC16" s="48">
        <v>0.0</v>
      </c>
      <c r="AD16" s="70">
        <f t="shared" ref="AD16:AD18" si="65">SUM(AC16)</f>
        <v>0</v>
      </c>
      <c r="AE16" s="72">
        <f>Targets!T53+Targets!U53</f>
        <v>6</v>
      </c>
      <c r="AF16" s="84">
        <v>0.0</v>
      </c>
      <c r="AG16" s="84"/>
      <c r="AH16" s="70">
        <f t="shared" ref="AH16:AH18" si="66">AG16+AF16</f>
        <v>0</v>
      </c>
      <c r="AI16" s="72">
        <f>Targets!V53</f>
        <v>1</v>
      </c>
      <c r="AJ16" s="84"/>
      <c r="AK16" s="84">
        <v>1.0</v>
      </c>
      <c r="AL16" s="84">
        <v>1.0</v>
      </c>
      <c r="AM16" s="70">
        <f t="shared" ref="AM16:AM18" si="67">sum(AJ16:AL16)</f>
        <v>2</v>
      </c>
      <c r="AN16" s="72" t="str">
        <f>Targets!W53</f>
        <v/>
      </c>
      <c r="AO16" s="120"/>
      <c r="AP16" s="224">
        <f t="shared" ref="AP16:AP18" si="68">AB16</f>
        <v>3</v>
      </c>
      <c r="AQ16" s="84">
        <f t="shared" ref="AQ16:AQ18" si="69">AM16+AH16+AD16</f>
        <v>2</v>
      </c>
      <c r="AR16" s="225">
        <f t="shared" ref="AR16:AR18" si="70">AQ16+AP16</f>
        <v>5</v>
      </c>
      <c r="AS16" s="86">
        <f t="shared" ref="AS16:AS18" si="71">AN16+AI16+AE16</f>
        <v>7</v>
      </c>
      <c r="AT16" s="248">
        <f t="shared" ref="AT16:AT18" si="72">AS16-AR16</f>
        <v>2</v>
      </c>
      <c r="AU16" s="247">
        <v>45657.0</v>
      </c>
      <c r="AV16" s="228" t="s">
        <v>81</v>
      </c>
    </row>
    <row r="17">
      <c r="A17" s="46" t="s">
        <v>57</v>
      </c>
      <c r="B17" s="223">
        <f>-'2024 - Q3'!U17</f>
        <v>-15</v>
      </c>
      <c r="C17" s="84">
        <v>34.0</v>
      </c>
      <c r="D17" s="84">
        <v>9.0</v>
      </c>
      <c r="E17" s="70">
        <f t="shared" si="54"/>
        <v>43</v>
      </c>
      <c r="F17" s="242">
        <f>Targets!H13</f>
        <v>28</v>
      </c>
      <c r="G17" s="243">
        <v>36.0</v>
      </c>
      <c r="H17" s="48">
        <v>1.0</v>
      </c>
      <c r="I17" s="70">
        <f t="shared" si="55"/>
        <v>37</v>
      </c>
      <c r="J17" s="242">
        <f>Targets!I13</f>
        <v>36</v>
      </c>
      <c r="K17" s="243">
        <v>31.0</v>
      </c>
      <c r="L17" s="48"/>
      <c r="M17" s="70">
        <f t="shared" si="56"/>
        <v>31</v>
      </c>
      <c r="N17" s="242">
        <f>Targets!J13</f>
        <v>24</v>
      </c>
      <c r="O17" s="120"/>
      <c r="P17" s="224">
        <f t="shared" si="57"/>
        <v>-15</v>
      </c>
      <c r="Q17" s="84">
        <f t="shared" ref="Q17:R17" si="58">K17+G17+C17</f>
        <v>101</v>
      </c>
      <c r="R17" s="84">
        <f t="shared" si="58"/>
        <v>10</v>
      </c>
      <c r="S17" s="225">
        <f t="shared" si="59"/>
        <v>96</v>
      </c>
      <c r="T17" s="244">
        <f t="shared" si="60"/>
        <v>88</v>
      </c>
      <c r="U17" s="226">
        <f t="shared" si="61"/>
        <v>-8</v>
      </c>
      <c r="V17" s="46">
        <f t="shared" si="62"/>
        <v>111</v>
      </c>
      <c r="W17" s="245">
        <f t="shared" si="63"/>
        <v>88</v>
      </c>
      <c r="X17" s="246">
        <f t="shared" si="64"/>
        <v>1.261363636</v>
      </c>
      <c r="Y17" s="247">
        <v>45657.0</v>
      </c>
      <c r="Z17" s="228" t="s">
        <v>81</v>
      </c>
      <c r="AA17" s="156" t="s">
        <v>57</v>
      </c>
      <c r="AB17" s="223">
        <f>Targets!AC36</f>
        <v>4</v>
      </c>
      <c r="AC17" s="48">
        <v>0.0</v>
      </c>
      <c r="AD17" s="70">
        <f t="shared" si="65"/>
        <v>0</v>
      </c>
      <c r="AE17" s="72">
        <f>Targets!T54+Targets!U54</f>
        <v>7</v>
      </c>
      <c r="AF17" s="84">
        <v>2.0</v>
      </c>
      <c r="AG17" s="84"/>
      <c r="AH17" s="70">
        <f t="shared" si="66"/>
        <v>2</v>
      </c>
      <c r="AI17" s="72">
        <f>Targets!V54</f>
        <v>1</v>
      </c>
      <c r="AJ17" s="84"/>
      <c r="AK17" s="84"/>
      <c r="AL17" s="84">
        <v>1.0</v>
      </c>
      <c r="AM17" s="70">
        <f t="shared" si="67"/>
        <v>1</v>
      </c>
      <c r="AN17" s="72" t="str">
        <f>Targets!W54</f>
        <v/>
      </c>
      <c r="AO17" s="120"/>
      <c r="AP17" s="224">
        <f t="shared" si="68"/>
        <v>4</v>
      </c>
      <c r="AQ17" s="84">
        <f t="shared" si="69"/>
        <v>3</v>
      </c>
      <c r="AR17" s="225">
        <f t="shared" si="70"/>
        <v>7</v>
      </c>
      <c r="AS17" s="86">
        <f t="shared" si="71"/>
        <v>8</v>
      </c>
      <c r="AT17" s="248">
        <f t="shared" si="72"/>
        <v>1</v>
      </c>
      <c r="AU17" s="247">
        <v>45657.0</v>
      </c>
      <c r="AV17" s="228" t="s">
        <v>81</v>
      </c>
    </row>
    <row r="18">
      <c r="A18" s="46" t="s">
        <v>58</v>
      </c>
      <c r="B18" s="223">
        <f>-'2024 - Q3'!U18</f>
        <v>4</v>
      </c>
      <c r="C18" s="84">
        <v>15.0</v>
      </c>
      <c r="D18" s="84">
        <v>1.0</v>
      </c>
      <c r="E18" s="70">
        <f t="shared" si="54"/>
        <v>16</v>
      </c>
      <c r="F18" s="242">
        <f>Targets!H14</f>
        <v>9</v>
      </c>
      <c r="G18" s="243">
        <v>14.0</v>
      </c>
      <c r="H18" s="48"/>
      <c r="I18" s="70">
        <f t="shared" si="55"/>
        <v>14</v>
      </c>
      <c r="J18" s="242">
        <f>Targets!I14</f>
        <v>16</v>
      </c>
      <c r="K18" s="243">
        <v>14.0</v>
      </c>
      <c r="L18" s="48">
        <v>2.0</v>
      </c>
      <c r="M18" s="70">
        <f t="shared" si="56"/>
        <v>16</v>
      </c>
      <c r="N18" s="242">
        <f>Targets!J14</f>
        <v>9</v>
      </c>
      <c r="O18" s="120"/>
      <c r="P18" s="224">
        <f t="shared" si="57"/>
        <v>4</v>
      </c>
      <c r="Q18" s="84">
        <f t="shared" ref="Q18:R18" si="73">K18+G18+C18</f>
        <v>43</v>
      </c>
      <c r="R18" s="84">
        <f t="shared" si="73"/>
        <v>3</v>
      </c>
      <c r="S18" s="225">
        <f t="shared" si="59"/>
        <v>50</v>
      </c>
      <c r="T18" s="244">
        <f t="shared" si="60"/>
        <v>34</v>
      </c>
      <c r="U18" s="226">
        <f t="shared" si="61"/>
        <v>-16</v>
      </c>
      <c r="V18" s="46">
        <f t="shared" si="62"/>
        <v>46</v>
      </c>
      <c r="W18" s="245">
        <f t="shared" si="63"/>
        <v>34</v>
      </c>
      <c r="X18" s="246">
        <f t="shared" si="64"/>
        <v>1.352941176</v>
      </c>
      <c r="Y18" s="247">
        <v>45657.0</v>
      </c>
      <c r="Z18" s="228" t="s">
        <v>81</v>
      </c>
      <c r="AA18" s="156" t="s">
        <v>58</v>
      </c>
      <c r="AB18" s="223">
        <f>Targets!AC37</f>
        <v>1</v>
      </c>
      <c r="AC18" s="48">
        <v>1.0</v>
      </c>
      <c r="AD18" s="70">
        <f t="shared" si="65"/>
        <v>1</v>
      </c>
      <c r="AE18" s="72">
        <f>Targets!T55+Targets!U55</f>
        <v>2</v>
      </c>
      <c r="AF18" s="84">
        <v>0.0</v>
      </c>
      <c r="AG18" s="84"/>
      <c r="AH18" s="70">
        <f t="shared" si="66"/>
        <v>0</v>
      </c>
      <c r="AI18" s="72">
        <f>Targets!V55</f>
        <v>1</v>
      </c>
      <c r="AJ18" s="84"/>
      <c r="AK18" s="84"/>
      <c r="AL18" s="84">
        <v>2.0</v>
      </c>
      <c r="AM18" s="70">
        <f t="shared" si="67"/>
        <v>2</v>
      </c>
      <c r="AN18" s="72" t="str">
        <f>Targets!W55</f>
        <v/>
      </c>
      <c r="AO18" s="120"/>
      <c r="AP18" s="224">
        <f t="shared" si="68"/>
        <v>1</v>
      </c>
      <c r="AQ18" s="84">
        <f t="shared" si="69"/>
        <v>3</v>
      </c>
      <c r="AR18" s="225">
        <f t="shared" si="70"/>
        <v>4</v>
      </c>
      <c r="AS18" s="86">
        <f t="shared" si="71"/>
        <v>3</v>
      </c>
      <c r="AT18" s="248">
        <f t="shared" si="72"/>
        <v>-1</v>
      </c>
      <c r="AU18" s="247">
        <v>45657.0</v>
      </c>
      <c r="AV18" s="228" t="s">
        <v>81</v>
      </c>
    </row>
    <row r="19">
      <c r="A19" s="94" t="s">
        <v>59</v>
      </c>
      <c r="B19" s="100">
        <f t="shared" ref="B19:N19" si="74">sum(B16:B18)</f>
        <v>1</v>
      </c>
      <c r="C19" s="95">
        <f t="shared" si="74"/>
        <v>79</v>
      </c>
      <c r="D19" s="95">
        <f t="shared" si="74"/>
        <v>14</v>
      </c>
      <c r="E19" s="95">
        <f t="shared" si="74"/>
        <v>93</v>
      </c>
      <c r="F19" s="100">
        <f t="shared" si="74"/>
        <v>57</v>
      </c>
      <c r="G19" s="95">
        <f t="shared" si="74"/>
        <v>71</v>
      </c>
      <c r="H19" s="95">
        <f t="shared" si="74"/>
        <v>9</v>
      </c>
      <c r="I19" s="95">
        <f t="shared" si="74"/>
        <v>80</v>
      </c>
      <c r="J19" s="100">
        <f t="shared" si="74"/>
        <v>83</v>
      </c>
      <c r="K19" s="95">
        <f t="shared" si="74"/>
        <v>62</v>
      </c>
      <c r="L19" s="95">
        <f t="shared" si="74"/>
        <v>8</v>
      </c>
      <c r="M19" s="95">
        <f t="shared" si="74"/>
        <v>70</v>
      </c>
      <c r="N19" s="100">
        <f t="shared" si="74"/>
        <v>57</v>
      </c>
      <c r="O19" s="120"/>
      <c r="P19" s="100">
        <f t="shared" ref="P19:W19" si="75">sum(P16:P18)</f>
        <v>1</v>
      </c>
      <c r="Q19" s="95">
        <f t="shared" si="75"/>
        <v>212</v>
      </c>
      <c r="R19" s="95">
        <f t="shared" si="75"/>
        <v>31</v>
      </c>
      <c r="S19" s="100">
        <f t="shared" si="75"/>
        <v>244</v>
      </c>
      <c r="T19" s="103">
        <f t="shared" si="75"/>
        <v>197</v>
      </c>
      <c r="U19" s="231">
        <f t="shared" si="75"/>
        <v>-47</v>
      </c>
      <c r="V19" s="116">
        <f t="shared" si="75"/>
        <v>243</v>
      </c>
      <c r="W19" s="100">
        <f t="shared" si="75"/>
        <v>197</v>
      </c>
      <c r="X19" s="252">
        <f>V19/W19</f>
        <v>1.233502538</v>
      </c>
      <c r="Y19" s="66">
        <v>21500</v>
      </c>
      <c r="Z19" s="240"/>
      <c r="AA19" s="161" t="s">
        <v>59</v>
      </c>
      <c r="AB19" s="100">
        <f t="shared" ref="AB19:AN19" si="76">sum(AB16:AB18)</f>
        <v>8</v>
      </c>
      <c r="AC19" s="95">
        <f t="shared" si="76"/>
        <v>1</v>
      </c>
      <c r="AD19" s="95">
        <f t="shared" si="76"/>
        <v>1</v>
      </c>
      <c r="AE19" s="95">
        <f t="shared" si="76"/>
        <v>15</v>
      </c>
      <c r="AF19" s="95">
        <f t="shared" si="76"/>
        <v>2</v>
      </c>
      <c r="AG19" s="95">
        <f t="shared" si="76"/>
        <v>0</v>
      </c>
      <c r="AH19" s="95">
        <f t="shared" si="76"/>
        <v>2</v>
      </c>
      <c r="AI19" s="95">
        <f t="shared" si="76"/>
        <v>3</v>
      </c>
      <c r="AJ19" s="95">
        <f t="shared" si="76"/>
        <v>0</v>
      </c>
      <c r="AK19" s="95">
        <f t="shared" si="76"/>
        <v>1</v>
      </c>
      <c r="AL19" s="95">
        <f t="shared" si="76"/>
        <v>4</v>
      </c>
      <c r="AM19" s="95">
        <f t="shared" si="76"/>
        <v>5</v>
      </c>
      <c r="AN19" s="95">
        <f t="shared" si="76"/>
        <v>0</v>
      </c>
      <c r="AO19" s="120"/>
      <c r="AP19" s="100">
        <f t="shared" ref="AP19:AT19" si="77">sum(AP16:AP18)</f>
        <v>8</v>
      </c>
      <c r="AQ19" s="95">
        <f t="shared" si="77"/>
        <v>8</v>
      </c>
      <c r="AR19" s="100">
        <f t="shared" si="77"/>
        <v>16</v>
      </c>
      <c r="AS19" s="115">
        <f t="shared" si="77"/>
        <v>18</v>
      </c>
      <c r="AT19" s="256">
        <f t="shared" si="77"/>
        <v>2</v>
      </c>
    </row>
    <row r="20">
      <c r="A20" s="94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84" t="s">
        <v>69</v>
      </c>
      <c r="P20" s="120"/>
      <c r="Q20" s="120"/>
      <c r="R20" s="120"/>
      <c r="S20" s="120"/>
      <c r="T20" s="137"/>
      <c r="U20" s="121"/>
      <c r="V20" s="138"/>
      <c r="W20" s="139"/>
      <c r="X20" s="272"/>
      <c r="Z20" s="240"/>
      <c r="AA20" s="43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37"/>
      <c r="AT20" s="265"/>
    </row>
    <row r="21">
      <c r="A21" s="12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37"/>
      <c r="U21" s="121"/>
      <c r="V21" s="138"/>
      <c r="W21" s="139"/>
      <c r="X21" s="272"/>
      <c r="Z21" s="36"/>
      <c r="AA21" s="39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37"/>
      <c r="AT21" s="265"/>
    </row>
    <row r="22">
      <c r="A22" s="122" t="s">
        <v>13</v>
      </c>
      <c r="B22" s="123">
        <f t="shared" ref="B22:N22" si="78">B19+B15+B10</f>
        <v>54</v>
      </c>
      <c r="C22" s="123">
        <f t="shared" si="78"/>
        <v>398</v>
      </c>
      <c r="D22" s="123">
        <f t="shared" si="78"/>
        <v>17</v>
      </c>
      <c r="E22" s="123">
        <f t="shared" si="78"/>
        <v>415</v>
      </c>
      <c r="F22" s="123">
        <f t="shared" si="78"/>
        <v>268</v>
      </c>
      <c r="G22" s="123">
        <f t="shared" si="78"/>
        <v>322</v>
      </c>
      <c r="H22" s="123">
        <f t="shared" si="78"/>
        <v>14</v>
      </c>
      <c r="I22" s="123">
        <f t="shared" si="78"/>
        <v>336</v>
      </c>
      <c r="J22" s="123">
        <f t="shared" si="78"/>
        <v>351</v>
      </c>
      <c r="K22" s="123">
        <f t="shared" si="78"/>
        <v>275</v>
      </c>
      <c r="L22" s="123">
        <f t="shared" si="78"/>
        <v>25</v>
      </c>
      <c r="M22" s="123">
        <f t="shared" si="78"/>
        <v>300</v>
      </c>
      <c r="N22" s="123">
        <f t="shared" si="78"/>
        <v>236</v>
      </c>
      <c r="O22" s="166"/>
      <c r="P22" s="123">
        <f t="shared" ref="P22:W22" si="79">P19+P15+P10</f>
        <v>54</v>
      </c>
      <c r="Q22" s="123">
        <f t="shared" si="79"/>
        <v>995</v>
      </c>
      <c r="R22" s="123">
        <f t="shared" si="79"/>
        <v>56</v>
      </c>
      <c r="S22" s="123">
        <f t="shared" si="79"/>
        <v>1105</v>
      </c>
      <c r="T22" s="125">
        <f t="shared" si="79"/>
        <v>855</v>
      </c>
      <c r="U22" s="266">
        <f t="shared" si="79"/>
        <v>-250</v>
      </c>
      <c r="V22" s="266">
        <f t="shared" si="79"/>
        <v>1051</v>
      </c>
      <c r="W22" s="123">
        <f t="shared" si="79"/>
        <v>855</v>
      </c>
      <c r="X22" s="279">
        <f>(Q22+R22)/T22</f>
        <v>1.229239766</v>
      </c>
      <c r="Y22" s="66">
        <v>91000</v>
      </c>
      <c r="Z22" s="228"/>
      <c r="AA22" s="165" t="s">
        <v>13</v>
      </c>
      <c r="AB22" s="123">
        <f t="shared" ref="AB22:AN22" si="80">AB19+AB15+AB10</f>
        <v>42</v>
      </c>
      <c r="AC22" s="123">
        <f t="shared" si="80"/>
        <v>5</v>
      </c>
      <c r="AD22" s="123">
        <f t="shared" si="80"/>
        <v>5</v>
      </c>
      <c r="AE22" s="123">
        <f t="shared" si="80"/>
        <v>69</v>
      </c>
      <c r="AF22" s="123">
        <f t="shared" si="80"/>
        <v>11</v>
      </c>
      <c r="AG22" s="123">
        <f t="shared" si="80"/>
        <v>8</v>
      </c>
      <c r="AH22" s="123">
        <f t="shared" si="80"/>
        <v>19</v>
      </c>
      <c r="AI22" s="123">
        <f t="shared" si="80"/>
        <v>12</v>
      </c>
      <c r="AJ22" s="123">
        <f t="shared" si="80"/>
        <v>4</v>
      </c>
      <c r="AK22" s="123">
        <f t="shared" si="80"/>
        <v>12</v>
      </c>
      <c r="AL22" s="123">
        <f t="shared" si="80"/>
        <v>6</v>
      </c>
      <c r="AM22" s="123">
        <f t="shared" si="80"/>
        <v>22</v>
      </c>
      <c r="AN22" s="123">
        <f t="shared" si="80"/>
        <v>0</v>
      </c>
      <c r="AO22" s="166"/>
      <c r="AP22" s="123">
        <f t="shared" ref="AP22:AT22" si="81">AP19+AP15+AP10</f>
        <v>42</v>
      </c>
      <c r="AQ22" s="123">
        <f t="shared" si="81"/>
        <v>46</v>
      </c>
      <c r="AR22" s="123">
        <f t="shared" si="81"/>
        <v>88</v>
      </c>
      <c r="AS22" s="125">
        <f t="shared" si="81"/>
        <v>79</v>
      </c>
      <c r="AT22" s="268">
        <f t="shared" si="81"/>
        <v>-9</v>
      </c>
    </row>
    <row r="24">
      <c r="A24" s="196" t="s">
        <v>63</v>
      </c>
      <c r="B24" s="151"/>
      <c r="C24" s="151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2"/>
      <c r="V24" s="280"/>
      <c r="W24" s="281"/>
      <c r="X24" s="280"/>
      <c r="Y24" s="18" t="s">
        <v>2</v>
      </c>
      <c r="Z24" s="160" t="s">
        <v>3</v>
      </c>
      <c r="AA24" s="23" t="s">
        <v>12</v>
      </c>
      <c r="AB24" s="270">
        <f>AB22</f>
        <v>42</v>
      </c>
      <c r="AD24" s="270">
        <f>AD22</f>
        <v>5</v>
      </c>
      <c r="AH24" s="270">
        <f>AH22</f>
        <v>19</v>
      </c>
      <c r="AI24" s="282">
        <f>sum(AB24:AH24)</f>
        <v>66</v>
      </c>
    </row>
    <row r="25">
      <c r="A25" s="39"/>
      <c r="B25" s="194"/>
      <c r="C25" s="163" t="s">
        <v>109</v>
      </c>
      <c r="D25" s="30"/>
      <c r="E25" s="30"/>
      <c r="F25" s="30"/>
      <c r="G25" s="164" t="s">
        <v>110</v>
      </c>
      <c r="H25" s="30"/>
      <c r="I25" s="30"/>
      <c r="J25" s="30"/>
      <c r="K25" s="164" t="s">
        <v>111</v>
      </c>
      <c r="L25" s="30"/>
      <c r="M25" s="30"/>
      <c r="N25" s="30"/>
      <c r="O25" s="36"/>
      <c r="P25" s="178"/>
      <c r="Q25" s="164" t="s">
        <v>13</v>
      </c>
      <c r="R25" s="30"/>
      <c r="S25" s="30"/>
      <c r="T25" s="42"/>
      <c r="V25" s="37">
        <v>1112.0</v>
      </c>
      <c r="W25" s="69">
        <f>V25-V22</f>
        <v>61</v>
      </c>
      <c r="Z25" s="36"/>
    </row>
    <row r="26">
      <c r="A26" s="43"/>
      <c r="B26" s="194"/>
      <c r="C26" s="179" t="s">
        <v>64</v>
      </c>
      <c r="D26" s="179" t="s">
        <v>65</v>
      </c>
      <c r="E26" s="179" t="s">
        <v>26</v>
      </c>
      <c r="F26" s="179" t="s">
        <v>66</v>
      </c>
      <c r="G26" s="179" t="s">
        <v>64</v>
      </c>
      <c r="H26" s="179" t="s">
        <v>65</v>
      </c>
      <c r="I26" s="179" t="s">
        <v>26</v>
      </c>
      <c r="J26" s="179" t="s">
        <v>66</v>
      </c>
      <c r="K26" s="179" t="s">
        <v>64</v>
      </c>
      <c r="L26" s="179" t="s">
        <v>65</v>
      </c>
      <c r="M26" s="179" t="s">
        <v>26</v>
      </c>
      <c r="N26" s="179" t="s">
        <v>66</v>
      </c>
      <c r="O26" s="211"/>
      <c r="P26" s="179"/>
      <c r="Q26" s="179" t="s">
        <v>64</v>
      </c>
      <c r="R26" s="179" t="s">
        <v>65</v>
      </c>
      <c r="S26" s="179" t="s">
        <v>26</v>
      </c>
      <c r="T26" s="181" t="s">
        <v>66</v>
      </c>
      <c r="V26" s="66">
        <f>445-374</f>
        <v>71</v>
      </c>
      <c r="W26" s="37" t="s">
        <v>132</v>
      </c>
      <c r="Z26" s="240"/>
      <c r="AO26" s="37" t="s">
        <v>69</v>
      </c>
    </row>
    <row r="27">
      <c r="A27" s="156" t="s">
        <v>22</v>
      </c>
      <c r="B27" s="194"/>
      <c r="C27" s="48">
        <v>90.0</v>
      </c>
      <c r="D27" s="48">
        <v>0.0</v>
      </c>
      <c r="E27" s="70">
        <f t="shared" ref="E27:E30" si="83">SUM(C27:D27)</f>
        <v>90</v>
      </c>
      <c r="F27" s="72">
        <v>155.0</v>
      </c>
      <c r="G27" s="158">
        <v>135.0</v>
      </c>
      <c r="H27" s="48"/>
      <c r="I27" s="70">
        <f t="shared" ref="I27:I30" si="84">SUM(G27:H27)</f>
        <v>135</v>
      </c>
      <c r="J27" s="72">
        <v>115.0</v>
      </c>
      <c r="K27" s="158">
        <v>194.0</v>
      </c>
      <c r="L27" s="48"/>
      <c r="M27" s="70">
        <f t="shared" ref="M27:M30" si="85">SUM(K27:L27)</f>
        <v>194</v>
      </c>
      <c r="N27" s="72">
        <v>110.0</v>
      </c>
      <c r="O27" s="120"/>
      <c r="P27" s="83" t="str">
        <f t="shared" ref="P27:P41" si="86">B27</f>
        <v/>
      </c>
      <c r="Q27" s="84">
        <f t="shared" ref="Q27:R27" si="82">K27+G27+C27</f>
        <v>419</v>
      </c>
      <c r="R27" s="84">
        <f t="shared" si="82"/>
        <v>0</v>
      </c>
      <c r="S27" s="70">
        <f t="shared" ref="S27:S30" si="88">sum(P27:R27)</f>
        <v>419</v>
      </c>
      <c r="T27" s="86">
        <f t="shared" ref="T27:T30" si="89">N27+J27+F27</f>
        <v>380</v>
      </c>
      <c r="V27" s="37">
        <v>2.0</v>
      </c>
      <c r="W27" s="37" t="s">
        <v>133</v>
      </c>
      <c r="Y27" s="247">
        <v>45657.0</v>
      </c>
      <c r="Z27" s="228" t="s">
        <v>42</v>
      </c>
      <c r="AO27" s="37" t="s">
        <v>134</v>
      </c>
    </row>
    <row r="28">
      <c r="A28" s="156" t="s">
        <v>36</v>
      </c>
      <c r="B28" s="194"/>
      <c r="C28" s="48">
        <v>12.0</v>
      </c>
      <c r="D28" s="48">
        <v>0.0</v>
      </c>
      <c r="E28" s="70">
        <f t="shared" si="83"/>
        <v>12</v>
      </c>
      <c r="F28" s="72">
        <v>28.0</v>
      </c>
      <c r="G28" s="158">
        <v>19.0</v>
      </c>
      <c r="H28" s="48"/>
      <c r="I28" s="70">
        <f t="shared" si="84"/>
        <v>19</v>
      </c>
      <c r="J28" s="72">
        <v>13.0</v>
      </c>
      <c r="K28" s="158">
        <v>32.0</v>
      </c>
      <c r="L28" s="48"/>
      <c r="M28" s="70">
        <f t="shared" si="85"/>
        <v>32</v>
      </c>
      <c r="N28" s="72">
        <v>16.0</v>
      </c>
      <c r="O28" s="120"/>
      <c r="P28" s="83" t="str">
        <f t="shared" si="86"/>
        <v/>
      </c>
      <c r="Q28" s="84">
        <f t="shared" ref="Q28:R28" si="87">K28+G28+C28</f>
        <v>63</v>
      </c>
      <c r="R28" s="84">
        <f t="shared" si="87"/>
        <v>0</v>
      </c>
      <c r="S28" s="70">
        <f t="shared" si="88"/>
        <v>63</v>
      </c>
      <c r="T28" s="86">
        <f t="shared" si="89"/>
        <v>57</v>
      </c>
      <c r="V28" s="66">
        <f>256-238</f>
        <v>18</v>
      </c>
      <c r="W28" s="37" t="s">
        <v>135</v>
      </c>
      <c r="Y28" s="247">
        <v>45657.0</v>
      </c>
      <c r="Z28" s="228" t="s">
        <v>42</v>
      </c>
      <c r="AO28" s="37" t="s">
        <v>22</v>
      </c>
      <c r="AR28" s="37">
        <v>3.0</v>
      </c>
    </row>
    <row r="29">
      <c r="A29" s="156" t="s">
        <v>40</v>
      </c>
      <c r="B29" s="194"/>
      <c r="C29" s="48"/>
      <c r="D29" s="48"/>
      <c r="E29" s="70">
        <f t="shared" si="83"/>
        <v>0</v>
      </c>
      <c r="F29" s="72"/>
      <c r="G29" s="158"/>
      <c r="H29" s="48"/>
      <c r="I29" s="70">
        <f t="shared" si="84"/>
        <v>0</v>
      </c>
      <c r="J29" s="72"/>
      <c r="K29" s="158"/>
      <c r="L29" s="48"/>
      <c r="M29" s="70">
        <f t="shared" si="85"/>
        <v>0</v>
      </c>
      <c r="N29" s="72"/>
      <c r="O29" s="120"/>
      <c r="P29" s="83" t="str">
        <f t="shared" si="86"/>
        <v/>
      </c>
      <c r="Q29" s="84">
        <f t="shared" ref="Q29:R29" si="90">K29+G29+C29</f>
        <v>0</v>
      </c>
      <c r="R29" s="84">
        <f t="shared" si="90"/>
        <v>0</v>
      </c>
      <c r="S29" s="70">
        <f t="shared" si="88"/>
        <v>0</v>
      </c>
      <c r="T29" s="86">
        <f t="shared" si="89"/>
        <v>0</v>
      </c>
      <c r="Y29" s="247">
        <v>45657.0</v>
      </c>
      <c r="Z29" s="228" t="s">
        <v>42</v>
      </c>
      <c r="AO29" s="37" t="s">
        <v>52</v>
      </c>
      <c r="AR29" s="37">
        <v>3.0</v>
      </c>
    </row>
    <row r="30">
      <c r="A30" s="156" t="s">
        <v>41</v>
      </c>
      <c r="B30" s="194"/>
      <c r="C30" s="48"/>
      <c r="D30" s="48"/>
      <c r="E30" s="70">
        <f t="shared" si="83"/>
        <v>0</v>
      </c>
      <c r="F30" s="72"/>
      <c r="G30" s="158"/>
      <c r="H30" s="48"/>
      <c r="I30" s="70">
        <f t="shared" si="84"/>
        <v>0</v>
      </c>
      <c r="J30" s="72"/>
      <c r="K30" s="158"/>
      <c r="L30" s="48"/>
      <c r="M30" s="70">
        <f t="shared" si="85"/>
        <v>0</v>
      </c>
      <c r="N30" s="72"/>
      <c r="O30" s="120"/>
      <c r="P30" s="83" t="str">
        <f t="shared" si="86"/>
        <v/>
      </c>
      <c r="Q30" s="84">
        <f t="shared" ref="Q30:R30" si="91">K30+G30+C30</f>
        <v>0</v>
      </c>
      <c r="R30" s="84">
        <f t="shared" si="91"/>
        <v>0</v>
      </c>
      <c r="S30" s="70">
        <f t="shared" si="88"/>
        <v>0</v>
      </c>
      <c r="T30" s="86">
        <f t="shared" si="89"/>
        <v>0</v>
      </c>
      <c r="Y30" s="247">
        <v>45657.0</v>
      </c>
      <c r="Z30" s="228" t="s">
        <v>42</v>
      </c>
      <c r="AO30" s="37" t="s">
        <v>40</v>
      </c>
      <c r="AR30" s="37">
        <v>1.0</v>
      </c>
    </row>
    <row r="31">
      <c r="A31" s="161" t="s">
        <v>44</v>
      </c>
      <c r="B31" s="194"/>
      <c r="C31" s="95">
        <f t="shared" ref="C31:N31" si="92">sum(C27:C30)</f>
        <v>102</v>
      </c>
      <c r="D31" s="95">
        <f t="shared" si="92"/>
        <v>0</v>
      </c>
      <c r="E31" s="95">
        <f t="shared" si="92"/>
        <v>102</v>
      </c>
      <c r="F31" s="95">
        <f t="shared" si="92"/>
        <v>183</v>
      </c>
      <c r="G31" s="95">
        <f t="shared" si="92"/>
        <v>154</v>
      </c>
      <c r="H31" s="95">
        <f t="shared" si="92"/>
        <v>0</v>
      </c>
      <c r="I31" s="95">
        <f t="shared" si="92"/>
        <v>154</v>
      </c>
      <c r="J31" s="95">
        <f t="shared" si="92"/>
        <v>128</v>
      </c>
      <c r="K31" s="95">
        <f t="shared" si="92"/>
        <v>226</v>
      </c>
      <c r="L31" s="95">
        <f t="shared" si="92"/>
        <v>0</v>
      </c>
      <c r="M31" s="95">
        <f t="shared" si="92"/>
        <v>226</v>
      </c>
      <c r="N31" s="95">
        <f t="shared" si="92"/>
        <v>126</v>
      </c>
      <c r="O31" s="120"/>
      <c r="P31" s="83" t="str">
        <f t="shared" si="86"/>
        <v/>
      </c>
      <c r="Q31" s="95">
        <f t="shared" ref="Q31:T31" si="93">sum(Q27:Q30)</f>
        <v>482</v>
      </c>
      <c r="R31" s="95">
        <f t="shared" si="93"/>
        <v>0</v>
      </c>
      <c r="S31" s="95">
        <f t="shared" si="93"/>
        <v>482</v>
      </c>
      <c r="T31" s="115">
        <f t="shared" si="93"/>
        <v>437</v>
      </c>
      <c r="Z31" s="240"/>
      <c r="AO31" s="37" t="s">
        <v>58</v>
      </c>
      <c r="AR31" s="37">
        <v>2.0</v>
      </c>
    </row>
    <row r="32">
      <c r="A32" s="156" t="s">
        <v>47</v>
      </c>
      <c r="B32" s="194"/>
      <c r="C32" s="260" t="str">
        <f>'Regs Q2'!V77</f>
        <v/>
      </c>
      <c r="D32" s="84"/>
      <c r="E32" s="225">
        <f t="shared" ref="E32:E35" si="95">SUM(C32:D32)</f>
        <v>0</v>
      </c>
      <c r="F32" s="72"/>
      <c r="G32" s="283" t="str">
        <f>'Regs Q2'!V54</f>
        <v/>
      </c>
      <c r="H32" s="84"/>
      <c r="I32" s="225">
        <f t="shared" ref="I32:I35" si="96">SUM(G32:H32)</f>
        <v>0</v>
      </c>
      <c r="J32" s="72"/>
      <c r="K32" s="283" t="str">
        <f>'Regs Q2'!V31</f>
        <v/>
      </c>
      <c r="L32" s="84"/>
      <c r="M32" s="225">
        <f t="shared" ref="M32:M35" si="97">SUM(K32:L32)</f>
        <v>0</v>
      </c>
      <c r="N32" s="72"/>
      <c r="O32" s="120"/>
      <c r="P32" s="83" t="str">
        <f t="shared" si="86"/>
        <v/>
      </c>
      <c r="Q32" s="245">
        <f t="shared" ref="Q32:R32" si="94">K32+G32+C32</f>
        <v>0</v>
      </c>
      <c r="R32" s="84">
        <f t="shared" si="94"/>
        <v>0</v>
      </c>
      <c r="S32" s="70">
        <f t="shared" ref="S32:S35" si="98">sum(P32:R32)</f>
        <v>0</v>
      </c>
      <c r="T32" s="86">
        <f t="shared" ref="T32:T35" si="99">N32+J32+F32</f>
        <v>0</v>
      </c>
      <c r="Y32" s="247">
        <v>45656.0</v>
      </c>
      <c r="Z32" s="228" t="s">
        <v>56</v>
      </c>
      <c r="AR32" s="284">
        <f>sum(AR28:AR31)</f>
        <v>9</v>
      </c>
    </row>
    <row r="33">
      <c r="A33" s="156" t="s">
        <v>51</v>
      </c>
      <c r="B33" s="194"/>
      <c r="C33" s="48">
        <v>24.0</v>
      </c>
      <c r="D33" s="84">
        <v>0.0</v>
      </c>
      <c r="E33" s="70">
        <f t="shared" si="95"/>
        <v>24</v>
      </c>
      <c r="F33" s="72">
        <v>33.0</v>
      </c>
      <c r="G33" s="158">
        <v>46.0</v>
      </c>
      <c r="H33" s="84">
        <v>0.0</v>
      </c>
      <c r="I33" s="70">
        <f t="shared" si="96"/>
        <v>46</v>
      </c>
      <c r="J33" s="72">
        <v>26.0</v>
      </c>
      <c r="K33" s="158">
        <v>66.0</v>
      </c>
      <c r="L33" s="84">
        <v>4.0</v>
      </c>
      <c r="M33" s="70">
        <f t="shared" si="97"/>
        <v>70</v>
      </c>
      <c r="N33" s="72">
        <v>46.0</v>
      </c>
      <c r="O33" s="120"/>
      <c r="P33" s="83" t="str">
        <f t="shared" si="86"/>
        <v/>
      </c>
      <c r="Q33" s="84">
        <f t="shared" ref="Q33:Q34" si="100">K33+G33+O41+C33</f>
        <v>136</v>
      </c>
      <c r="R33" s="84">
        <f>L33+H33+D33</f>
        <v>4</v>
      </c>
      <c r="S33" s="70">
        <f t="shared" si="98"/>
        <v>140</v>
      </c>
      <c r="T33" s="86">
        <f t="shared" si="99"/>
        <v>105</v>
      </c>
      <c r="Y33" s="285">
        <v>45656.0</v>
      </c>
      <c r="Z33" s="228" t="s">
        <v>56</v>
      </c>
      <c r="AO33" s="23" t="s">
        <v>136</v>
      </c>
      <c r="AQ33" s="286">
        <v>81.0</v>
      </c>
      <c r="AR33" s="287">
        <f>AR22-AR32</f>
        <v>79</v>
      </c>
      <c r="AS33" s="270">
        <f>AQ33-AR33</f>
        <v>2</v>
      </c>
    </row>
    <row r="34">
      <c r="A34" s="156" t="s">
        <v>52</v>
      </c>
      <c r="B34" s="194"/>
      <c r="C34" s="260" t="str">
        <f>'Regs Q2'!V79</f>
        <v/>
      </c>
      <c r="D34" s="84"/>
      <c r="E34" s="225">
        <f t="shared" si="95"/>
        <v>0</v>
      </c>
      <c r="F34" s="72"/>
      <c r="G34" s="283" t="str">
        <f>'Regs Q2'!V56</f>
        <v/>
      </c>
      <c r="H34" s="84"/>
      <c r="I34" s="225">
        <f t="shared" si="96"/>
        <v>0</v>
      </c>
      <c r="J34" s="72"/>
      <c r="K34" s="283" t="str">
        <f>'Regs Q2'!V33</f>
        <v/>
      </c>
      <c r="L34" s="84"/>
      <c r="M34" s="225">
        <f t="shared" si="97"/>
        <v>0</v>
      </c>
      <c r="N34" s="72"/>
      <c r="O34" s="120"/>
      <c r="P34" s="83" t="str">
        <f t="shared" si="86"/>
        <v/>
      </c>
      <c r="Q34" s="245">
        <f t="shared" si="100"/>
        <v>0</v>
      </c>
      <c r="R34" s="84">
        <v>0.0</v>
      </c>
      <c r="S34" s="70">
        <f t="shared" si="98"/>
        <v>0</v>
      </c>
      <c r="T34" s="86">
        <f t="shared" si="99"/>
        <v>0</v>
      </c>
      <c r="Y34" s="247">
        <v>45656.0</v>
      </c>
      <c r="Z34" s="228" t="s">
        <v>56</v>
      </c>
      <c r="AD34" s="37" t="s">
        <v>137</v>
      </c>
      <c r="AS34" s="23" t="s">
        <v>138</v>
      </c>
    </row>
    <row r="35">
      <c r="A35" s="156" t="s">
        <v>53</v>
      </c>
      <c r="B35" s="194"/>
      <c r="C35" s="260" t="str">
        <f>'Regs Q2'!V80</f>
        <v/>
      </c>
      <c r="D35" s="84"/>
      <c r="E35" s="225">
        <f t="shared" si="95"/>
        <v>0</v>
      </c>
      <c r="F35" s="72"/>
      <c r="G35" s="283" t="str">
        <f>'Regs Q2'!V57</f>
        <v/>
      </c>
      <c r="H35" s="84"/>
      <c r="I35" s="225">
        <f t="shared" si="96"/>
        <v>0</v>
      </c>
      <c r="J35" s="72"/>
      <c r="K35" s="283" t="str">
        <f>'Regs Q2'!V34</f>
        <v/>
      </c>
      <c r="L35" s="84"/>
      <c r="M35" s="225">
        <f t="shared" si="97"/>
        <v>0</v>
      </c>
      <c r="N35" s="72"/>
      <c r="O35" s="120"/>
      <c r="P35" s="83" t="str">
        <f t="shared" si="86"/>
        <v/>
      </c>
      <c r="Q35" s="245">
        <f t="shared" ref="Q35:R35" si="101">K35+G35+C35</f>
        <v>0</v>
      </c>
      <c r="R35" s="84">
        <f t="shared" si="101"/>
        <v>0</v>
      </c>
      <c r="S35" s="70">
        <f t="shared" si="98"/>
        <v>0</v>
      </c>
      <c r="T35" s="86">
        <f t="shared" si="99"/>
        <v>0</v>
      </c>
      <c r="Y35" s="247">
        <v>45656.0</v>
      </c>
      <c r="Z35" s="228" t="s">
        <v>56</v>
      </c>
    </row>
    <row r="36">
      <c r="A36" s="161" t="s">
        <v>54</v>
      </c>
      <c r="B36" s="194"/>
      <c r="C36" s="100">
        <f t="shared" ref="C36:N36" si="102">sum(C32:C35)</f>
        <v>24</v>
      </c>
      <c r="D36" s="95">
        <f t="shared" si="102"/>
        <v>0</v>
      </c>
      <c r="E36" s="100">
        <f t="shared" si="102"/>
        <v>24</v>
      </c>
      <c r="F36" s="95">
        <f t="shared" si="102"/>
        <v>33</v>
      </c>
      <c r="G36" s="100">
        <f t="shared" si="102"/>
        <v>46</v>
      </c>
      <c r="H36" s="95">
        <f t="shared" si="102"/>
        <v>0</v>
      </c>
      <c r="I36" s="100">
        <f t="shared" si="102"/>
        <v>46</v>
      </c>
      <c r="J36" s="95">
        <f t="shared" si="102"/>
        <v>26</v>
      </c>
      <c r="K36" s="100">
        <f t="shared" si="102"/>
        <v>66</v>
      </c>
      <c r="L36" s="95">
        <f t="shared" si="102"/>
        <v>4</v>
      </c>
      <c r="M36" s="100">
        <f t="shared" si="102"/>
        <v>70</v>
      </c>
      <c r="N36" s="95">
        <f t="shared" si="102"/>
        <v>46</v>
      </c>
      <c r="O36" s="120"/>
      <c r="P36" s="83" t="str">
        <f t="shared" si="86"/>
        <v/>
      </c>
      <c r="Q36" s="100">
        <f t="shared" ref="Q36:T36" si="103">sum(Q32:Q35)</f>
        <v>136</v>
      </c>
      <c r="R36" s="95">
        <f t="shared" si="103"/>
        <v>4</v>
      </c>
      <c r="S36" s="95">
        <f t="shared" si="103"/>
        <v>140</v>
      </c>
      <c r="T36" s="115">
        <f t="shared" si="103"/>
        <v>105</v>
      </c>
      <c r="Z36" s="240"/>
    </row>
    <row r="37">
      <c r="A37" s="156" t="s">
        <v>55</v>
      </c>
      <c r="B37" s="194"/>
      <c r="C37" s="48">
        <v>42.0</v>
      </c>
      <c r="D37" s="84">
        <v>0.0</v>
      </c>
      <c r="E37" s="70">
        <f t="shared" ref="E37:E39" si="105">SUM(C37:D37)</f>
        <v>42</v>
      </c>
      <c r="F37" s="72">
        <v>61.0</v>
      </c>
      <c r="G37" s="158">
        <v>23.0</v>
      </c>
      <c r="H37" s="84">
        <v>0.0</v>
      </c>
      <c r="I37" s="70">
        <f t="shared" ref="I37:I39" si="106">SUM(G37:H37)</f>
        <v>23</v>
      </c>
      <c r="J37" s="72">
        <v>52.0</v>
      </c>
      <c r="K37" s="158">
        <v>75.0</v>
      </c>
      <c r="L37" s="84">
        <v>0.0</v>
      </c>
      <c r="M37" s="70">
        <f t="shared" ref="M37:M39" si="107">SUM(K37:L37)</f>
        <v>75</v>
      </c>
      <c r="N37" s="72">
        <v>40.0</v>
      </c>
      <c r="O37" s="120"/>
      <c r="P37" s="83" t="str">
        <f t="shared" si="86"/>
        <v/>
      </c>
      <c r="Q37" s="84">
        <f t="shared" ref="Q37:R37" si="104">K37+G37+C37</f>
        <v>140</v>
      </c>
      <c r="R37" s="84">
        <f t="shared" si="104"/>
        <v>0</v>
      </c>
      <c r="S37" s="70">
        <f t="shared" ref="S37:S39" si="109">sum(P37:R37)</f>
        <v>140</v>
      </c>
      <c r="T37" s="86">
        <f t="shared" ref="T37:T39" si="110">N37+J37+F37</f>
        <v>153</v>
      </c>
      <c r="Y37" s="247">
        <v>45657.0</v>
      </c>
      <c r="Z37" s="228" t="s">
        <v>81</v>
      </c>
    </row>
    <row r="38">
      <c r="A38" s="156" t="s">
        <v>57</v>
      </c>
      <c r="B38" s="194"/>
      <c r="C38" s="260" t="str">
        <f>'Regs Q2'!V83</f>
        <v/>
      </c>
      <c r="D38" s="84">
        <v>0.0</v>
      </c>
      <c r="E38" s="225">
        <f t="shared" si="105"/>
        <v>0</v>
      </c>
      <c r="F38" s="72"/>
      <c r="G38" s="158"/>
      <c r="H38" s="84">
        <v>0.0</v>
      </c>
      <c r="I38" s="70">
        <f t="shared" si="106"/>
        <v>0</v>
      </c>
      <c r="J38" s="72"/>
      <c r="K38" s="158"/>
      <c r="L38" s="84">
        <v>0.0</v>
      </c>
      <c r="M38" s="70">
        <f t="shared" si="107"/>
        <v>0</v>
      </c>
      <c r="N38" s="72"/>
      <c r="O38" s="120"/>
      <c r="P38" s="83" t="str">
        <f t="shared" si="86"/>
        <v/>
      </c>
      <c r="Q38" s="245">
        <f t="shared" ref="Q38:R38" si="108">K38+G38+C38</f>
        <v>0</v>
      </c>
      <c r="R38" s="84">
        <f t="shared" si="108"/>
        <v>0</v>
      </c>
      <c r="S38" s="70">
        <f t="shared" si="109"/>
        <v>0</v>
      </c>
      <c r="T38" s="86">
        <f t="shared" si="110"/>
        <v>0</v>
      </c>
      <c r="X38" s="130"/>
      <c r="Y38" s="247">
        <v>45657.0</v>
      </c>
      <c r="Z38" s="228" t="s">
        <v>81</v>
      </c>
    </row>
    <row r="39">
      <c r="A39" s="156" t="s">
        <v>58</v>
      </c>
      <c r="B39" s="194"/>
      <c r="C39" s="260" t="str">
        <f>'Regs Q2'!V84</f>
        <v/>
      </c>
      <c r="D39" s="84"/>
      <c r="E39" s="225">
        <f t="shared" si="105"/>
        <v>0</v>
      </c>
      <c r="F39" s="72"/>
      <c r="G39" s="158"/>
      <c r="H39" s="84"/>
      <c r="I39" s="70">
        <f t="shared" si="106"/>
        <v>0</v>
      </c>
      <c r="J39" s="72"/>
      <c r="K39" s="283" t="str">
        <f>'Regs Q2'!V38</f>
        <v/>
      </c>
      <c r="L39" s="84"/>
      <c r="M39" s="225">
        <f t="shared" si="107"/>
        <v>0</v>
      </c>
      <c r="N39" s="72"/>
      <c r="O39" s="120"/>
      <c r="P39" s="83" t="str">
        <f t="shared" si="86"/>
        <v/>
      </c>
      <c r="Q39" s="245">
        <f t="shared" ref="Q39:R39" si="111">K39+G39+C39</f>
        <v>0</v>
      </c>
      <c r="R39" s="84">
        <f t="shared" si="111"/>
        <v>0</v>
      </c>
      <c r="S39" s="70">
        <f t="shared" si="109"/>
        <v>0</v>
      </c>
      <c r="T39" s="86">
        <f t="shared" si="110"/>
        <v>0</v>
      </c>
      <c r="X39" s="130"/>
      <c r="Y39" s="247">
        <v>45657.0</v>
      </c>
      <c r="Z39" s="228" t="s">
        <v>81</v>
      </c>
    </row>
    <row r="40">
      <c r="A40" s="161"/>
      <c r="B40" s="194"/>
      <c r="C40" s="95">
        <f t="shared" ref="C40:N40" si="112">sum(C37:C39)</f>
        <v>42</v>
      </c>
      <c r="D40" s="95">
        <f t="shared" si="112"/>
        <v>0</v>
      </c>
      <c r="E40" s="95">
        <f t="shared" si="112"/>
        <v>42</v>
      </c>
      <c r="F40" s="95">
        <f t="shared" si="112"/>
        <v>61</v>
      </c>
      <c r="G40" s="95">
        <f t="shared" si="112"/>
        <v>23</v>
      </c>
      <c r="H40" s="95">
        <f t="shared" si="112"/>
        <v>0</v>
      </c>
      <c r="I40" s="95">
        <f t="shared" si="112"/>
        <v>23</v>
      </c>
      <c r="J40" s="95">
        <f t="shared" si="112"/>
        <v>52</v>
      </c>
      <c r="K40" s="95">
        <f t="shared" si="112"/>
        <v>75</v>
      </c>
      <c r="L40" s="95">
        <f t="shared" si="112"/>
        <v>0</v>
      </c>
      <c r="M40" s="95">
        <f t="shared" si="112"/>
        <v>75</v>
      </c>
      <c r="N40" s="95">
        <f t="shared" si="112"/>
        <v>40</v>
      </c>
      <c r="O40" s="120"/>
      <c r="P40" s="83" t="str">
        <f t="shared" si="86"/>
        <v/>
      </c>
      <c r="Q40" s="95">
        <f t="shared" ref="Q40:T40" si="113">sum(Q37:Q39)</f>
        <v>140</v>
      </c>
      <c r="R40" s="95">
        <f t="shared" si="113"/>
        <v>0</v>
      </c>
      <c r="S40" s="95">
        <f t="shared" si="113"/>
        <v>140</v>
      </c>
      <c r="T40" s="115">
        <f t="shared" si="113"/>
        <v>153</v>
      </c>
      <c r="W40" s="288"/>
    </row>
    <row r="41">
      <c r="A41" s="161"/>
      <c r="B41" s="194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83" t="str">
        <f t="shared" si="86"/>
        <v/>
      </c>
      <c r="Q41" s="120"/>
      <c r="R41" s="120"/>
      <c r="S41" s="120"/>
      <c r="T41" s="137"/>
    </row>
    <row r="42">
      <c r="A42" s="39"/>
      <c r="B42" s="36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37"/>
    </row>
    <row r="43">
      <c r="A43" s="165" t="s">
        <v>13</v>
      </c>
      <c r="B43" s="212"/>
      <c r="C43" s="123">
        <f t="shared" ref="C43:N43" si="114">C40+C36+C31</f>
        <v>168</v>
      </c>
      <c r="D43" s="123">
        <f t="shared" si="114"/>
        <v>0</v>
      </c>
      <c r="E43" s="123">
        <f t="shared" si="114"/>
        <v>168</v>
      </c>
      <c r="F43" s="123">
        <f t="shared" si="114"/>
        <v>277</v>
      </c>
      <c r="G43" s="123">
        <f t="shared" si="114"/>
        <v>223</v>
      </c>
      <c r="H43" s="123">
        <f t="shared" si="114"/>
        <v>0</v>
      </c>
      <c r="I43" s="123">
        <f t="shared" si="114"/>
        <v>223</v>
      </c>
      <c r="J43" s="123">
        <f t="shared" si="114"/>
        <v>206</v>
      </c>
      <c r="K43" s="123">
        <f t="shared" si="114"/>
        <v>367</v>
      </c>
      <c r="L43" s="123">
        <f t="shared" si="114"/>
        <v>4</v>
      </c>
      <c r="M43" s="123">
        <f t="shared" si="114"/>
        <v>371</v>
      </c>
      <c r="N43" s="123">
        <f t="shared" si="114"/>
        <v>212</v>
      </c>
      <c r="O43" s="166"/>
      <c r="P43" s="166"/>
      <c r="Q43" s="123">
        <f t="shared" ref="Q43:T43" si="115">Q40+Q36+Q31</f>
        <v>758</v>
      </c>
      <c r="R43" s="123">
        <f t="shared" si="115"/>
        <v>4</v>
      </c>
      <c r="S43" s="123">
        <f t="shared" si="115"/>
        <v>762</v>
      </c>
      <c r="T43" s="125">
        <f t="shared" si="115"/>
        <v>695</v>
      </c>
    </row>
    <row r="45">
      <c r="K45" s="69">
        <f>K43+K22+L22</f>
        <v>667</v>
      </c>
    </row>
  </sheetData>
  <mergeCells count="15">
    <mergeCell ref="AF4:AI4"/>
    <mergeCell ref="AJ4:AN4"/>
    <mergeCell ref="A24:T24"/>
    <mergeCell ref="C25:F25"/>
    <mergeCell ref="G25:J25"/>
    <mergeCell ref="K25:N25"/>
    <mergeCell ref="Q25:T25"/>
    <mergeCell ref="A3:T3"/>
    <mergeCell ref="AA3:AS3"/>
    <mergeCell ref="C4:F4"/>
    <mergeCell ref="G4:J4"/>
    <mergeCell ref="K4:N4"/>
    <mergeCell ref="Q4:T4"/>
    <mergeCell ref="AC4:AE4"/>
    <mergeCell ref="AQ4:AS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8" max="18" width="19.5"/>
  </cols>
  <sheetData>
    <row r="3">
      <c r="C3" s="203" t="s">
        <v>140</v>
      </c>
    </row>
    <row r="4">
      <c r="C4" s="37" t="s">
        <v>141</v>
      </c>
      <c r="D4" s="37" t="s">
        <v>142</v>
      </c>
      <c r="E4" s="37" t="s">
        <v>143</v>
      </c>
      <c r="F4" s="37" t="s">
        <v>144</v>
      </c>
      <c r="G4" s="37" t="s">
        <v>145</v>
      </c>
      <c r="H4" s="37" t="s">
        <v>146</v>
      </c>
      <c r="I4" s="37" t="s">
        <v>147</v>
      </c>
      <c r="J4" s="37"/>
      <c r="K4" s="37"/>
      <c r="L4" s="37"/>
      <c r="M4" s="37" t="s">
        <v>148</v>
      </c>
      <c r="N4" s="37" t="s">
        <v>13</v>
      </c>
      <c r="O4" s="37" t="s">
        <v>149</v>
      </c>
      <c r="P4" s="37" t="s">
        <v>150</v>
      </c>
    </row>
    <row r="6">
      <c r="B6" s="37" t="s">
        <v>22</v>
      </c>
      <c r="C6" s="37">
        <v>97.0</v>
      </c>
      <c r="D6" s="37">
        <v>0.0</v>
      </c>
      <c r="E6" s="37">
        <v>41.0</v>
      </c>
      <c r="F6" s="37">
        <v>20.0</v>
      </c>
      <c r="G6" s="37">
        <v>4.0</v>
      </c>
      <c r="H6" s="37">
        <v>34.0</v>
      </c>
      <c r="I6" s="37">
        <v>2.0</v>
      </c>
      <c r="J6" s="37"/>
      <c r="K6" s="37"/>
      <c r="L6" s="37"/>
      <c r="M6" s="37">
        <v>1.0</v>
      </c>
      <c r="N6" s="131">
        <f t="shared" ref="N6:N9" si="1">sum(C6:M6)</f>
        <v>199</v>
      </c>
      <c r="O6" s="37">
        <f>333+30</f>
        <v>363</v>
      </c>
      <c r="P6" s="131">
        <f t="shared" ref="P6:P9" si="2">sum(N6:O6)</f>
        <v>562</v>
      </c>
    </row>
    <row r="7">
      <c r="B7" s="37" t="s">
        <v>36</v>
      </c>
      <c r="C7" s="37">
        <v>58.0</v>
      </c>
      <c r="D7" s="37">
        <v>0.0</v>
      </c>
      <c r="E7" s="37">
        <v>52.0</v>
      </c>
      <c r="F7" s="37">
        <v>4.0</v>
      </c>
      <c r="G7" s="37">
        <v>3.0</v>
      </c>
      <c r="H7" s="37">
        <v>5.0</v>
      </c>
      <c r="I7" s="37">
        <v>7.0</v>
      </c>
      <c r="J7" s="37"/>
      <c r="K7" s="37"/>
      <c r="L7" s="37"/>
      <c r="M7" s="37">
        <v>1.0</v>
      </c>
      <c r="N7" s="131">
        <f t="shared" si="1"/>
        <v>130</v>
      </c>
      <c r="O7" s="37">
        <v>50.0</v>
      </c>
      <c r="P7" s="131">
        <f t="shared" si="2"/>
        <v>180</v>
      </c>
    </row>
    <row r="8">
      <c r="B8" s="37" t="s">
        <v>40</v>
      </c>
      <c r="C8" s="37">
        <v>53.0</v>
      </c>
      <c r="D8" s="37">
        <v>0.0</v>
      </c>
      <c r="E8" s="37">
        <v>20.0</v>
      </c>
      <c r="F8" s="37">
        <v>14.0</v>
      </c>
      <c r="G8" s="37">
        <v>4.0</v>
      </c>
      <c r="H8" s="37">
        <v>3.0</v>
      </c>
      <c r="I8" s="37">
        <v>0.0</v>
      </c>
      <c r="J8" s="37"/>
      <c r="K8" s="37"/>
      <c r="L8" s="37"/>
      <c r="M8" s="37">
        <v>2.0</v>
      </c>
      <c r="N8" s="131">
        <f t="shared" si="1"/>
        <v>96</v>
      </c>
      <c r="P8" s="131">
        <f t="shared" si="2"/>
        <v>96</v>
      </c>
    </row>
    <row r="9">
      <c r="B9" s="37" t="s">
        <v>41</v>
      </c>
      <c r="C9" s="37">
        <v>74.0</v>
      </c>
      <c r="D9" s="37">
        <v>0.0</v>
      </c>
      <c r="E9" s="37">
        <v>50.0</v>
      </c>
      <c r="F9" s="37">
        <v>18.0</v>
      </c>
      <c r="G9" s="37">
        <v>5.0</v>
      </c>
      <c r="H9" s="37">
        <v>0.0</v>
      </c>
      <c r="I9" s="37">
        <v>1.0</v>
      </c>
      <c r="J9" s="37"/>
      <c r="K9" s="37"/>
      <c r="L9" s="37"/>
      <c r="M9" s="37">
        <v>1.0</v>
      </c>
      <c r="N9" s="131">
        <f t="shared" si="1"/>
        <v>149</v>
      </c>
      <c r="P9" s="131">
        <f t="shared" si="2"/>
        <v>149</v>
      </c>
    </row>
    <row r="10">
      <c r="B10" s="23" t="s">
        <v>44</v>
      </c>
      <c r="C10" s="131">
        <f t="shared" ref="C10:I10" si="3">sum(C6:C9)</f>
        <v>282</v>
      </c>
      <c r="D10" s="131">
        <f t="shared" si="3"/>
        <v>0</v>
      </c>
      <c r="E10" s="131">
        <f t="shared" si="3"/>
        <v>163</v>
      </c>
      <c r="F10" s="131">
        <f t="shared" si="3"/>
        <v>56</v>
      </c>
      <c r="G10" s="131">
        <f t="shared" si="3"/>
        <v>16</v>
      </c>
      <c r="H10" s="131">
        <f t="shared" si="3"/>
        <v>42</v>
      </c>
      <c r="I10" s="131">
        <f t="shared" si="3"/>
        <v>10</v>
      </c>
      <c r="J10" s="131"/>
      <c r="K10" s="131"/>
      <c r="L10" s="131"/>
      <c r="M10" s="131">
        <f t="shared" ref="M10:P10" si="4">sum(M6:M9)</f>
        <v>5</v>
      </c>
      <c r="N10" s="131">
        <f t="shared" si="4"/>
        <v>574</v>
      </c>
      <c r="O10" s="131">
        <f t="shared" si="4"/>
        <v>413</v>
      </c>
      <c r="P10" s="131">
        <f t="shared" si="4"/>
        <v>987</v>
      </c>
    </row>
    <row r="11">
      <c r="B11" s="37" t="s">
        <v>47</v>
      </c>
      <c r="C11" s="37">
        <v>116.0</v>
      </c>
      <c r="D11" s="37">
        <v>0.0</v>
      </c>
      <c r="E11" s="37">
        <v>14.0</v>
      </c>
      <c r="F11" s="37">
        <v>7.0</v>
      </c>
      <c r="G11" s="37">
        <v>4.0</v>
      </c>
      <c r="H11" s="37">
        <v>1.0</v>
      </c>
      <c r="I11" s="37">
        <v>1.0</v>
      </c>
      <c r="J11" s="37"/>
      <c r="K11" s="37"/>
      <c r="L11" s="37"/>
      <c r="M11" s="37">
        <v>1.0</v>
      </c>
      <c r="N11" s="131">
        <f t="shared" ref="N11:N14" si="5">sum(C11:M11)</f>
        <v>144</v>
      </c>
      <c r="O11" s="37">
        <v>1.0</v>
      </c>
      <c r="P11" s="131">
        <f t="shared" ref="P11:P14" si="6">sum(N11:O11)</f>
        <v>145</v>
      </c>
    </row>
    <row r="12">
      <c r="B12" s="37" t="s">
        <v>51</v>
      </c>
      <c r="C12" s="37">
        <v>74.0</v>
      </c>
      <c r="D12" s="37">
        <v>0.0</v>
      </c>
      <c r="E12" s="37">
        <v>22.0</v>
      </c>
      <c r="F12" s="37">
        <v>13.0</v>
      </c>
      <c r="G12" s="37">
        <v>8.0</v>
      </c>
      <c r="H12" s="37">
        <v>2.0</v>
      </c>
      <c r="I12" s="37">
        <v>6.0</v>
      </c>
      <c r="J12" s="37"/>
      <c r="K12" s="37"/>
      <c r="L12" s="37"/>
      <c r="M12" s="37">
        <v>1.0</v>
      </c>
      <c r="N12" s="131">
        <f t="shared" si="5"/>
        <v>126</v>
      </c>
      <c r="O12" s="37">
        <v>134.0</v>
      </c>
      <c r="P12" s="131">
        <f t="shared" si="6"/>
        <v>260</v>
      </c>
    </row>
    <row r="13">
      <c r="B13" s="37" t="s">
        <v>52</v>
      </c>
      <c r="C13" s="37">
        <v>77.0</v>
      </c>
      <c r="D13" s="37">
        <v>0.0</v>
      </c>
      <c r="E13" s="37">
        <v>22.0</v>
      </c>
      <c r="F13" s="37">
        <v>3.0</v>
      </c>
      <c r="G13" s="37">
        <v>5.0</v>
      </c>
      <c r="H13" s="37">
        <v>1.0</v>
      </c>
      <c r="I13" s="37">
        <v>0.0</v>
      </c>
      <c r="J13" s="37"/>
      <c r="K13" s="37"/>
      <c r="L13" s="37"/>
      <c r="M13" s="37">
        <v>0.0</v>
      </c>
      <c r="N13" s="131">
        <f t="shared" si="5"/>
        <v>108</v>
      </c>
      <c r="P13" s="131">
        <f t="shared" si="6"/>
        <v>108</v>
      </c>
    </row>
    <row r="14">
      <c r="B14" s="37" t="s">
        <v>53</v>
      </c>
      <c r="C14" s="37">
        <v>105.0</v>
      </c>
      <c r="D14" s="37">
        <v>0.0</v>
      </c>
      <c r="E14" s="37">
        <v>44.0</v>
      </c>
      <c r="F14" s="37">
        <v>3.0</v>
      </c>
      <c r="G14" s="37">
        <v>8.0</v>
      </c>
      <c r="H14" s="37">
        <v>1.0</v>
      </c>
      <c r="I14" s="37">
        <v>0.0</v>
      </c>
      <c r="J14" s="37"/>
      <c r="K14" s="37"/>
      <c r="L14" s="37"/>
      <c r="M14" s="37">
        <v>0.0</v>
      </c>
      <c r="N14" s="131">
        <f t="shared" si="5"/>
        <v>161</v>
      </c>
      <c r="P14" s="131">
        <f t="shared" si="6"/>
        <v>161</v>
      </c>
    </row>
    <row r="15">
      <c r="B15" s="23" t="s">
        <v>54</v>
      </c>
      <c r="C15" s="131">
        <f t="shared" ref="C15:I15" si="7">sum(C11:C14)</f>
        <v>372</v>
      </c>
      <c r="D15" s="131">
        <f t="shared" si="7"/>
        <v>0</v>
      </c>
      <c r="E15" s="131">
        <f t="shared" si="7"/>
        <v>102</v>
      </c>
      <c r="F15" s="131">
        <f t="shared" si="7"/>
        <v>26</v>
      </c>
      <c r="G15" s="131">
        <f t="shared" si="7"/>
        <v>25</v>
      </c>
      <c r="H15" s="131">
        <f t="shared" si="7"/>
        <v>5</v>
      </c>
      <c r="I15" s="131">
        <f t="shared" si="7"/>
        <v>7</v>
      </c>
      <c r="J15" s="131"/>
      <c r="K15" s="131"/>
      <c r="L15" s="131"/>
      <c r="M15" s="131">
        <f t="shared" ref="M15:P15" si="8">sum(M11:M14)</f>
        <v>2</v>
      </c>
      <c r="N15" s="131">
        <f t="shared" si="8"/>
        <v>539</v>
      </c>
      <c r="O15" s="131">
        <f t="shared" si="8"/>
        <v>135</v>
      </c>
      <c r="P15" s="131">
        <f t="shared" si="8"/>
        <v>674</v>
      </c>
    </row>
    <row r="16">
      <c r="B16" s="37" t="s">
        <v>55</v>
      </c>
      <c r="C16" s="37">
        <v>51.0</v>
      </c>
      <c r="D16" s="37">
        <v>0.0</v>
      </c>
      <c r="E16" s="37">
        <v>32.0</v>
      </c>
      <c r="F16" s="37">
        <v>4.0</v>
      </c>
      <c r="G16" s="37">
        <v>5.0</v>
      </c>
      <c r="H16" s="37">
        <v>35.0</v>
      </c>
      <c r="I16" s="37">
        <v>0.0</v>
      </c>
      <c r="J16" s="37"/>
      <c r="K16" s="37"/>
      <c r="L16" s="37"/>
      <c r="M16" s="37">
        <v>4.0</v>
      </c>
      <c r="N16" s="131">
        <f t="shared" ref="N16:N18" si="9">sum(C16:M16)</f>
        <v>131</v>
      </c>
      <c r="O16" s="37">
        <v>180.0</v>
      </c>
      <c r="P16" s="131">
        <f t="shared" ref="P16:P18" si="10">sum(N16:O16)</f>
        <v>311</v>
      </c>
    </row>
    <row r="17">
      <c r="B17" s="37" t="s">
        <v>57</v>
      </c>
      <c r="C17" s="37">
        <v>55.0</v>
      </c>
      <c r="D17" s="37">
        <v>1.0</v>
      </c>
      <c r="E17" s="37">
        <v>38.0</v>
      </c>
      <c r="F17" s="37">
        <v>15.0</v>
      </c>
      <c r="G17" s="37">
        <v>3.0</v>
      </c>
      <c r="H17" s="37">
        <v>0.0</v>
      </c>
      <c r="I17" s="37">
        <v>0.0</v>
      </c>
      <c r="J17" s="37"/>
      <c r="K17" s="37"/>
      <c r="L17" s="37"/>
      <c r="M17" s="37">
        <v>1.0</v>
      </c>
      <c r="N17" s="131">
        <f t="shared" si="9"/>
        <v>113</v>
      </c>
      <c r="P17" s="131">
        <f t="shared" si="10"/>
        <v>113</v>
      </c>
    </row>
    <row r="18">
      <c r="B18" s="37" t="s">
        <v>58</v>
      </c>
      <c r="C18" s="37">
        <v>28.0</v>
      </c>
      <c r="D18" s="37">
        <v>0.0</v>
      </c>
      <c r="E18" s="37">
        <v>8.0</v>
      </c>
      <c r="F18" s="37">
        <v>2.0</v>
      </c>
      <c r="G18" s="37">
        <v>5.0</v>
      </c>
      <c r="H18" s="37">
        <v>0.0</v>
      </c>
      <c r="I18" s="37">
        <v>0.0</v>
      </c>
      <c r="J18" s="37"/>
      <c r="K18" s="37"/>
      <c r="L18" s="37"/>
      <c r="M18" s="37">
        <v>3.0</v>
      </c>
      <c r="N18" s="131">
        <f t="shared" si="9"/>
        <v>46</v>
      </c>
      <c r="O18" s="37">
        <v>3.0</v>
      </c>
      <c r="P18" s="131">
        <f t="shared" si="10"/>
        <v>49</v>
      </c>
    </row>
    <row r="19">
      <c r="B19" s="23" t="s">
        <v>59</v>
      </c>
      <c r="C19" s="131">
        <f t="shared" ref="C19:I19" si="11">sum(C16:C18)</f>
        <v>134</v>
      </c>
      <c r="D19" s="131">
        <f t="shared" si="11"/>
        <v>1</v>
      </c>
      <c r="E19" s="131">
        <f t="shared" si="11"/>
        <v>78</v>
      </c>
      <c r="F19" s="131">
        <f t="shared" si="11"/>
        <v>21</v>
      </c>
      <c r="G19" s="131">
        <f t="shared" si="11"/>
        <v>13</v>
      </c>
      <c r="H19" s="131">
        <f t="shared" si="11"/>
        <v>35</v>
      </c>
      <c r="I19" s="131">
        <f t="shared" si="11"/>
        <v>0</v>
      </c>
      <c r="J19" s="131"/>
      <c r="K19" s="131"/>
      <c r="L19" s="131"/>
      <c r="M19" s="131">
        <f t="shared" ref="M19:P19" si="12">sum(M16:M18)</f>
        <v>8</v>
      </c>
      <c r="N19" s="131">
        <f t="shared" si="12"/>
        <v>290</v>
      </c>
      <c r="O19" s="131">
        <f t="shared" si="12"/>
        <v>183</v>
      </c>
      <c r="P19" s="131">
        <f t="shared" si="12"/>
        <v>473</v>
      </c>
    </row>
    <row r="20">
      <c r="N20" s="131"/>
    </row>
    <row r="21">
      <c r="N21" s="131"/>
    </row>
    <row r="22">
      <c r="B22" s="23" t="s">
        <v>13</v>
      </c>
      <c r="C22" s="131">
        <f t="shared" ref="C22:I22" si="13">C19+C15+C10</f>
        <v>788</v>
      </c>
      <c r="D22" s="131">
        <f t="shared" si="13"/>
        <v>1</v>
      </c>
      <c r="E22" s="131">
        <f t="shared" si="13"/>
        <v>343</v>
      </c>
      <c r="F22" s="131">
        <f t="shared" si="13"/>
        <v>103</v>
      </c>
      <c r="G22" s="131">
        <f t="shared" si="13"/>
        <v>54</v>
      </c>
      <c r="H22" s="131">
        <f t="shared" si="13"/>
        <v>82</v>
      </c>
      <c r="I22" s="131">
        <f t="shared" si="13"/>
        <v>17</v>
      </c>
      <c r="J22" s="131"/>
      <c r="K22" s="131"/>
      <c r="L22" s="131"/>
      <c r="M22" s="131">
        <f t="shared" ref="M22:P22" si="14">M19+M15+M10</f>
        <v>15</v>
      </c>
      <c r="N22" s="131">
        <f t="shared" si="14"/>
        <v>1403</v>
      </c>
      <c r="O22" s="131">
        <f t="shared" si="14"/>
        <v>731</v>
      </c>
      <c r="P22" s="131">
        <f t="shared" si="14"/>
        <v>2134</v>
      </c>
      <c r="R22" s="37">
        <v>834.0</v>
      </c>
    </row>
    <row r="25">
      <c r="C25" s="203" t="s">
        <v>154</v>
      </c>
    </row>
    <row r="26">
      <c r="C26" s="37" t="s">
        <v>141</v>
      </c>
      <c r="D26" s="37" t="s">
        <v>142</v>
      </c>
      <c r="E26" s="37" t="s">
        <v>143</v>
      </c>
      <c r="F26" s="37" t="s">
        <v>144</v>
      </c>
      <c r="G26" s="37" t="s">
        <v>145</v>
      </c>
      <c r="H26" s="37" t="s">
        <v>146</v>
      </c>
      <c r="I26" s="37" t="s">
        <v>147</v>
      </c>
      <c r="J26" s="37"/>
      <c r="K26" s="37"/>
      <c r="L26" s="37"/>
      <c r="M26" s="37" t="s">
        <v>148</v>
      </c>
      <c r="N26" s="37" t="s">
        <v>13</v>
      </c>
      <c r="O26" s="37" t="s">
        <v>149</v>
      </c>
      <c r="P26" s="37" t="s">
        <v>150</v>
      </c>
    </row>
    <row r="28">
      <c r="B28" s="37" t="s">
        <v>22</v>
      </c>
      <c r="C28" s="37">
        <v>92.0</v>
      </c>
      <c r="E28" s="37">
        <v>36.0</v>
      </c>
      <c r="F28" s="37">
        <v>16.0</v>
      </c>
      <c r="G28" s="37">
        <v>6.0</v>
      </c>
      <c r="H28" s="37">
        <v>5.0</v>
      </c>
      <c r="J28" s="37"/>
      <c r="K28" s="37"/>
      <c r="L28" s="37"/>
      <c r="M28" s="37">
        <v>2.0</v>
      </c>
      <c r="N28" s="131">
        <f t="shared" ref="N28:N31" si="15">sum(C28:M28)</f>
        <v>157</v>
      </c>
      <c r="O28" s="37">
        <v>303.0</v>
      </c>
      <c r="P28" s="131">
        <f t="shared" ref="P28:P31" si="16">sum(N28:O28)</f>
        <v>460</v>
      </c>
    </row>
    <row r="29">
      <c r="B29" s="37" t="s">
        <v>36</v>
      </c>
      <c r="C29" s="37">
        <v>73.0</v>
      </c>
      <c r="E29" s="37">
        <v>26.0</v>
      </c>
      <c r="F29" s="37">
        <v>8.0</v>
      </c>
      <c r="G29" s="37">
        <v>3.0</v>
      </c>
      <c r="H29" s="37">
        <v>3.0</v>
      </c>
      <c r="I29" s="37">
        <v>2.0</v>
      </c>
      <c r="N29" s="131">
        <f t="shared" si="15"/>
        <v>115</v>
      </c>
      <c r="O29" s="37">
        <v>39.0</v>
      </c>
      <c r="P29" s="131">
        <f t="shared" si="16"/>
        <v>154</v>
      </c>
    </row>
    <row r="30">
      <c r="B30" s="37" t="s">
        <v>40</v>
      </c>
      <c r="C30" s="37">
        <v>63.0</v>
      </c>
      <c r="E30" s="37">
        <v>15.0</v>
      </c>
      <c r="F30" s="37">
        <v>7.0</v>
      </c>
      <c r="G30" s="37">
        <v>5.0</v>
      </c>
      <c r="H30" s="37">
        <v>1.0</v>
      </c>
      <c r="J30" s="37"/>
      <c r="K30" s="37"/>
      <c r="L30" s="37"/>
      <c r="M30" s="37">
        <v>1.0</v>
      </c>
      <c r="N30" s="131">
        <f t="shared" si="15"/>
        <v>92</v>
      </c>
      <c r="P30" s="131">
        <f t="shared" si="16"/>
        <v>92</v>
      </c>
    </row>
    <row r="31">
      <c r="B31" s="37" t="s">
        <v>41</v>
      </c>
      <c r="C31" s="37">
        <v>71.0</v>
      </c>
      <c r="E31" s="37">
        <v>32.0</v>
      </c>
      <c r="F31" s="37">
        <v>8.0</v>
      </c>
      <c r="G31" s="37">
        <v>2.0</v>
      </c>
      <c r="H31" s="37">
        <v>1.0</v>
      </c>
      <c r="N31" s="131">
        <f t="shared" si="15"/>
        <v>114</v>
      </c>
      <c r="P31" s="131">
        <f t="shared" si="16"/>
        <v>114</v>
      </c>
    </row>
    <row r="32">
      <c r="B32" s="23" t="s">
        <v>44</v>
      </c>
      <c r="C32" s="131">
        <f t="shared" ref="C32:I32" si="17">sum(C28:C31)</f>
        <v>299</v>
      </c>
      <c r="D32" s="131">
        <f t="shared" si="17"/>
        <v>0</v>
      </c>
      <c r="E32" s="131">
        <f t="shared" si="17"/>
        <v>109</v>
      </c>
      <c r="F32" s="131">
        <f t="shared" si="17"/>
        <v>39</v>
      </c>
      <c r="G32" s="131">
        <f t="shared" si="17"/>
        <v>16</v>
      </c>
      <c r="H32" s="131">
        <f t="shared" si="17"/>
        <v>10</v>
      </c>
      <c r="I32" s="131">
        <f t="shared" si="17"/>
        <v>2</v>
      </c>
      <c r="J32" s="131"/>
      <c r="K32" s="131"/>
      <c r="L32" s="131"/>
      <c r="M32" s="131">
        <f t="shared" ref="M32:P32" si="18">sum(M28:M31)</f>
        <v>3</v>
      </c>
      <c r="N32" s="131">
        <f t="shared" si="18"/>
        <v>478</v>
      </c>
      <c r="O32" s="131">
        <f t="shared" si="18"/>
        <v>342</v>
      </c>
      <c r="P32" s="131">
        <f t="shared" si="18"/>
        <v>820</v>
      </c>
    </row>
    <row r="33">
      <c r="B33" s="37" t="s">
        <v>47</v>
      </c>
      <c r="C33" s="37">
        <v>86.0</v>
      </c>
      <c r="E33" s="37">
        <v>12.0</v>
      </c>
      <c r="F33" s="37">
        <v>1.0</v>
      </c>
      <c r="G33" s="37">
        <v>5.0</v>
      </c>
      <c r="H33" s="37">
        <v>1.0</v>
      </c>
      <c r="J33" s="37"/>
      <c r="K33" s="37"/>
      <c r="L33" s="37"/>
      <c r="M33" s="37">
        <v>2.0</v>
      </c>
      <c r="N33" s="131">
        <f t="shared" ref="N33:N36" si="19">sum(C33:M33)</f>
        <v>107</v>
      </c>
      <c r="P33" s="131">
        <f t="shared" ref="P33:P36" si="20">sum(N33:O33)</f>
        <v>107</v>
      </c>
    </row>
    <row r="34">
      <c r="B34" s="37" t="s">
        <v>51</v>
      </c>
      <c r="C34" s="37">
        <v>73.0</v>
      </c>
      <c r="E34" s="37">
        <v>24.0</v>
      </c>
      <c r="F34" s="37">
        <v>11.0</v>
      </c>
      <c r="G34" s="37">
        <v>2.0</v>
      </c>
      <c r="H34" s="37">
        <v>3.0</v>
      </c>
      <c r="N34" s="131">
        <f t="shared" si="19"/>
        <v>113</v>
      </c>
      <c r="O34" s="37">
        <v>73.0</v>
      </c>
      <c r="P34" s="131">
        <f t="shared" si="20"/>
        <v>186</v>
      </c>
    </row>
    <row r="35">
      <c r="B35" s="37" t="s">
        <v>52</v>
      </c>
      <c r="C35" s="37">
        <v>81.0</v>
      </c>
      <c r="E35" s="37">
        <v>22.0</v>
      </c>
      <c r="F35" s="37">
        <v>6.0</v>
      </c>
      <c r="G35" s="37">
        <v>4.0</v>
      </c>
      <c r="H35" s="37">
        <v>1.0</v>
      </c>
      <c r="N35" s="131">
        <f t="shared" si="19"/>
        <v>114</v>
      </c>
      <c r="P35" s="131">
        <f t="shared" si="20"/>
        <v>114</v>
      </c>
    </row>
    <row r="36">
      <c r="B36" s="37" t="s">
        <v>53</v>
      </c>
      <c r="C36" s="37">
        <v>117.0</v>
      </c>
      <c r="E36" s="37">
        <v>26.0</v>
      </c>
      <c r="F36" s="37">
        <v>8.0</v>
      </c>
      <c r="G36" s="37">
        <v>3.0</v>
      </c>
      <c r="J36" s="37"/>
      <c r="K36" s="37"/>
      <c r="L36" s="37"/>
      <c r="M36" s="37">
        <v>2.0</v>
      </c>
      <c r="N36" s="131">
        <f t="shared" si="19"/>
        <v>156</v>
      </c>
      <c r="P36" s="131">
        <f t="shared" si="20"/>
        <v>156</v>
      </c>
    </row>
    <row r="37">
      <c r="B37" s="23" t="s">
        <v>54</v>
      </c>
      <c r="C37" s="131">
        <f t="shared" ref="C37:I37" si="21">sum(C33:C36)</f>
        <v>357</v>
      </c>
      <c r="D37" s="131">
        <f t="shared" si="21"/>
        <v>0</v>
      </c>
      <c r="E37" s="131">
        <f t="shared" si="21"/>
        <v>84</v>
      </c>
      <c r="F37" s="131">
        <f t="shared" si="21"/>
        <v>26</v>
      </c>
      <c r="G37" s="131">
        <f t="shared" si="21"/>
        <v>14</v>
      </c>
      <c r="H37" s="131">
        <f t="shared" si="21"/>
        <v>5</v>
      </c>
      <c r="I37" s="131">
        <f t="shared" si="21"/>
        <v>0</v>
      </c>
      <c r="J37" s="131"/>
      <c r="K37" s="131"/>
      <c r="L37" s="131"/>
      <c r="M37" s="131">
        <f t="shared" ref="M37:P37" si="22">sum(M33:M36)</f>
        <v>4</v>
      </c>
      <c r="N37" s="131">
        <f t="shared" si="22"/>
        <v>490</v>
      </c>
      <c r="O37" s="131">
        <f t="shared" si="22"/>
        <v>73</v>
      </c>
      <c r="P37" s="131">
        <f t="shared" si="22"/>
        <v>563</v>
      </c>
    </row>
    <row r="38">
      <c r="B38" s="37" t="s">
        <v>55</v>
      </c>
      <c r="C38" s="37">
        <v>52.0</v>
      </c>
      <c r="E38" s="37">
        <v>24.0</v>
      </c>
      <c r="F38" s="37">
        <v>4.0</v>
      </c>
      <c r="G38" s="37">
        <v>6.0</v>
      </c>
      <c r="H38" s="37">
        <v>39.0</v>
      </c>
      <c r="J38" s="37"/>
      <c r="K38" s="37"/>
      <c r="L38" s="37"/>
      <c r="M38" s="37">
        <v>2.0</v>
      </c>
      <c r="N38" s="131">
        <f t="shared" ref="N38:N40" si="23">sum(C38:M38)</f>
        <v>127</v>
      </c>
      <c r="O38" s="37">
        <v>139.0</v>
      </c>
      <c r="P38" s="131">
        <f t="shared" ref="P38:P40" si="24">sum(N38:O38)</f>
        <v>266</v>
      </c>
    </row>
    <row r="39">
      <c r="B39" s="37" t="s">
        <v>57</v>
      </c>
      <c r="C39" s="37">
        <v>62.0</v>
      </c>
      <c r="E39" s="37">
        <v>28.0</v>
      </c>
      <c r="F39" s="37">
        <v>11.0</v>
      </c>
      <c r="G39" s="37">
        <v>8.0</v>
      </c>
      <c r="H39" s="37">
        <v>1.0</v>
      </c>
      <c r="J39" s="37"/>
      <c r="K39" s="37"/>
      <c r="L39" s="37"/>
      <c r="M39" s="37">
        <v>2.0</v>
      </c>
      <c r="N39" s="131">
        <f t="shared" si="23"/>
        <v>112</v>
      </c>
      <c r="P39" s="131">
        <f t="shared" si="24"/>
        <v>112</v>
      </c>
    </row>
    <row r="40">
      <c r="B40" s="37" t="s">
        <v>58</v>
      </c>
      <c r="C40" s="37">
        <v>38.0</v>
      </c>
      <c r="E40" s="37">
        <v>4.0</v>
      </c>
      <c r="F40" s="37">
        <v>3.0</v>
      </c>
      <c r="G40" s="37">
        <v>1.0</v>
      </c>
      <c r="J40" s="37"/>
      <c r="K40" s="37"/>
      <c r="L40" s="37"/>
      <c r="M40" s="37">
        <v>1.0</v>
      </c>
      <c r="N40" s="131">
        <f t="shared" si="23"/>
        <v>47</v>
      </c>
      <c r="O40" s="37">
        <v>1.0</v>
      </c>
      <c r="P40" s="131">
        <f t="shared" si="24"/>
        <v>48</v>
      </c>
    </row>
    <row r="41">
      <c r="B41" s="23" t="s">
        <v>59</v>
      </c>
      <c r="C41" s="131">
        <f t="shared" ref="C41:I41" si="25">sum(C38:C40)</f>
        <v>152</v>
      </c>
      <c r="D41" s="131">
        <f t="shared" si="25"/>
        <v>0</v>
      </c>
      <c r="E41" s="131">
        <f t="shared" si="25"/>
        <v>56</v>
      </c>
      <c r="F41" s="131">
        <f t="shared" si="25"/>
        <v>18</v>
      </c>
      <c r="G41" s="131">
        <f t="shared" si="25"/>
        <v>15</v>
      </c>
      <c r="H41" s="131">
        <f t="shared" si="25"/>
        <v>40</v>
      </c>
      <c r="I41" s="131">
        <f t="shared" si="25"/>
        <v>0</v>
      </c>
      <c r="J41" s="131"/>
      <c r="K41" s="131"/>
      <c r="L41" s="131"/>
      <c r="M41" s="131">
        <f t="shared" ref="M41:P41" si="26">sum(M38:M40)</f>
        <v>5</v>
      </c>
      <c r="N41" s="131">
        <f t="shared" si="26"/>
        <v>286</v>
      </c>
      <c r="O41" s="131">
        <f t="shared" si="26"/>
        <v>140</v>
      </c>
      <c r="P41" s="131">
        <f t="shared" si="26"/>
        <v>426</v>
      </c>
    </row>
    <row r="42">
      <c r="N42" s="131"/>
    </row>
    <row r="43">
      <c r="N43" s="131"/>
    </row>
    <row r="44">
      <c r="B44" s="23" t="s">
        <v>13</v>
      </c>
      <c r="C44" s="131">
        <f t="shared" ref="C44:I44" si="27">C41+C37+C32</f>
        <v>808</v>
      </c>
      <c r="D44" s="131">
        <f t="shared" si="27"/>
        <v>0</v>
      </c>
      <c r="E44" s="131">
        <f t="shared" si="27"/>
        <v>249</v>
      </c>
      <c r="F44" s="131">
        <f t="shared" si="27"/>
        <v>83</v>
      </c>
      <c r="G44" s="131">
        <f t="shared" si="27"/>
        <v>45</v>
      </c>
      <c r="H44" s="131">
        <f t="shared" si="27"/>
        <v>55</v>
      </c>
      <c r="I44" s="131">
        <f t="shared" si="27"/>
        <v>2</v>
      </c>
      <c r="J44" s="131"/>
      <c r="K44" s="131"/>
      <c r="L44" s="131"/>
      <c r="M44" s="131">
        <f t="shared" ref="M44:P44" si="28">M41+M37+M32</f>
        <v>12</v>
      </c>
      <c r="N44" s="131">
        <f t="shared" si="28"/>
        <v>1254</v>
      </c>
      <c r="O44" s="131">
        <f t="shared" si="28"/>
        <v>555</v>
      </c>
      <c r="P44" s="131">
        <f t="shared" si="28"/>
        <v>1809</v>
      </c>
      <c r="R44" s="37">
        <v>618.0</v>
      </c>
    </row>
    <row r="47">
      <c r="C47" s="203" t="s">
        <v>155</v>
      </c>
    </row>
    <row r="48">
      <c r="C48" s="37" t="s">
        <v>141</v>
      </c>
      <c r="D48" s="37" t="s">
        <v>142</v>
      </c>
      <c r="E48" s="37" t="s">
        <v>143</v>
      </c>
      <c r="F48" s="37" t="s">
        <v>144</v>
      </c>
      <c r="G48" s="37" t="s">
        <v>145</v>
      </c>
      <c r="H48" s="37" t="s">
        <v>146</v>
      </c>
      <c r="I48" s="37" t="s">
        <v>147</v>
      </c>
      <c r="J48" s="37"/>
      <c r="K48" s="37"/>
      <c r="L48" s="37"/>
      <c r="M48" s="37" t="s">
        <v>148</v>
      </c>
      <c r="N48" s="37" t="s">
        <v>13</v>
      </c>
      <c r="O48" s="37" t="s">
        <v>149</v>
      </c>
      <c r="P48" s="37" t="s">
        <v>150</v>
      </c>
    </row>
    <row r="50">
      <c r="B50" s="37" t="s">
        <v>22</v>
      </c>
      <c r="C50" s="37">
        <v>89.0</v>
      </c>
      <c r="E50" s="37">
        <v>47.0</v>
      </c>
      <c r="F50" s="37">
        <v>25.0</v>
      </c>
      <c r="G50" s="37">
        <v>8.0</v>
      </c>
      <c r="H50" s="37">
        <v>2.0</v>
      </c>
      <c r="I50" s="37">
        <v>1.0</v>
      </c>
      <c r="J50" s="37"/>
      <c r="K50" s="37"/>
      <c r="L50" s="37"/>
      <c r="M50" s="37">
        <v>1.0</v>
      </c>
      <c r="N50" s="131">
        <f t="shared" ref="N50:N53" si="29">sum(C50:M50)</f>
        <v>173</v>
      </c>
      <c r="O50" s="37">
        <v>503.0</v>
      </c>
      <c r="P50" s="131">
        <f t="shared" ref="P50:P53" si="30">sum(N50:O50)</f>
        <v>676</v>
      </c>
    </row>
    <row r="51">
      <c r="B51" s="37" t="s">
        <v>36</v>
      </c>
      <c r="C51" s="37">
        <v>49.0</v>
      </c>
      <c r="D51" s="37">
        <v>1.0</v>
      </c>
      <c r="E51" s="37">
        <v>30.0</v>
      </c>
      <c r="F51" s="37">
        <v>2.0</v>
      </c>
      <c r="G51" s="37">
        <v>5.0</v>
      </c>
      <c r="H51" s="37">
        <v>5.0</v>
      </c>
      <c r="I51" s="37">
        <v>1.0</v>
      </c>
      <c r="J51" s="37"/>
      <c r="K51" s="37"/>
      <c r="L51" s="37"/>
      <c r="M51" s="37">
        <v>1.0</v>
      </c>
      <c r="N51" s="131">
        <f t="shared" si="29"/>
        <v>94</v>
      </c>
      <c r="O51" s="37">
        <v>56.0</v>
      </c>
      <c r="P51" s="131">
        <f t="shared" si="30"/>
        <v>150</v>
      </c>
    </row>
    <row r="52">
      <c r="B52" s="37" t="s">
        <v>40</v>
      </c>
      <c r="C52" s="37">
        <v>74.0</v>
      </c>
      <c r="E52" s="37">
        <v>17.0</v>
      </c>
      <c r="F52" s="37">
        <v>11.0</v>
      </c>
      <c r="G52" s="37">
        <v>5.0</v>
      </c>
      <c r="N52" s="131">
        <f t="shared" si="29"/>
        <v>107</v>
      </c>
      <c r="P52" s="131">
        <f t="shared" si="30"/>
        <v>107</v>
      </c>
    </row>
    <row r="53">
      <c r="B53" s="37" t="s">
        <v>41</v>
      </c>
      <c r="C53" s="37">
        <v>80.0</v>
      </c>
      <c r="E53" s="37">
        <v>41.0</v>
      </c>
      <c r="F53" s="37">
        <v>14.0</v>
      </c>
      <c r="G53" s="37">
        <v>8.0</v>
      </c>
      <c r="J53" s="37"/>
      <c r="K53" s="37"/>
      <c r="L53" s="37"/>
      <c r="M53" s="37">
        <v>1.0</v>
      </c>
      <c r="N53" s="131">
        <f t="shared" si="29"/>
        <v>144</v>
      </c>
      <c r="P53" s="131">
        <f t="shared" si="30"/>
        <v>144</v>
      </c>
      <c r="R53" s="37" t="s">
        <v>156</v>
      </c>
    </row>
    <row r="54">
      <c r="B54" s="23" t="s">
        <v>44</v>
      </c>
      <c r="C54" s="131">
        <f t="shared" ref="C54:I54" si="31">sum(C50:C53)</f>
        <v>292</v>
      </c>
      <c r="D54" s="131">
        <f t="shared" si="31"/>
        <v>1</v>
      </c>
      <c r="E54" s="131">
        <f t="shared" si="31"/>
        <v>135</v>
      </c>
      <c r="F54" s="131">
        <f t="shared" si="31"/>
        <v>52</v>
      </c>
      <c r="G54" s="131">
        <f t="shared" si="31"/>
        <v>26</v>
      </c>
      <c r="H54" s="131">
        <f t="shared" si="31"/>
        <v>7</v>
      </c>
      <c r="I54" s="131">
        <f t="shared" si="31"/>
        <v>2</v>
      </c>
      <c r="J54" s="131"/>
      <c r="K54" s="131"/>
      <c r="L54" s="131"/>
      <c r="M54" s="131">
        <f t="shared" ref="M54:P54" si="32">sum(M50:M53)</f>
        <v>3</v>
      </c>
      <c r="N54" s="131">
        <f t="shared" si="32"/>
        <v>518</v>
      </c>
      <c r="O54" s="131">
        <f t="shared" si="32"/>
        <v>559</v>
      </c>
      <c r="P54" s="131">
        <f t="shared" si="32"/>
        <v>1077</v>
      </c>
    </row>
    <row r="55">
      <c r="B55" s="37" t="s">
        <v>47</v>
      </c>
      <c r="C55" s="37">
        <v>97.0</v>
      </c>
      <c r="E55" s="37">
        <v>16.0</v>
      </c>
      <c r="F55" s="37">
        <v>4.0</v>
      </c>
      <c r="G55" s="37">
        <v>6.0</v>
      </c>
      <c r="H55" s="37">
        <v>1.0</v>
      </c>
      <c r="N55" s="131">
        <f t="shared" ref="N55:N58" si="33">sum(C55:M55)</f>
        <v>124</v>
      </c>
      <c r="P55" s="131">
        <f t="shared" ref="P55:P58" si="34">sum(N55:O55)</f>
        <v>124</v>
      </c>
    </row>
    <row r="56">
      <c r="B56" s="37" t="s">
        <v>51</v>
      </c>
      <c r="C56" s="37">
        <v>67.0</v>
      </c>
      <c r="E56" s="37">
        <v>22.0</v>
      </c>
      <c r="F56" s="37">
        <v>18.0</v>
      </c>
      <c r="G56" s="37">
        <v>3.0</v>
      </c>
      <c r="H56" s="37">
        <v>1.0</v>
      </c>
      <c r="N56" s="131">
        <f t="shared" si="33"/>
        <v>111</v>
      </c>
      <c r="O56" s="37">
        <v>89.0</v>
      </c>
      <c r="P56" s="131">
        <f t="shared" si="34"/>
        <v>200</v>
      </c>
    </row>
    <row r="57">
      <c r="B57" s="37" t="s">
        <v>52</v>
      </c>
      <c r="C57" s="37">
        <v>58.0</v>
      </c>
      <c r="E57" s="37">
        <v>20.0</v>
      </c>
      <c r="F57" s="37">
        <v>4.0</v>
      </c>
      <c r="G57" s="37">
        <v>6.0</v>
      </c>
      <c r="H57" s="37">
        <v>1.0</v>
      </c>
      <c r="N57" s="131">
        <f t="shared" si="33"/>
        <v>89</v>
      </c>
      <c r="P57" s="131">
        <f t="shared" si="34"/>
        <v>89</v>
      </c>
    </row>
    <row r="58">
      <c r="B58" s="37" t="s">
        <v>53</v>
      </c>
      <c r="C58" s="37">
        <v>100.0</v>
      </c>
      <c r="E58" s="37">
        <v>49.0</v>
      </c>
      <c r="F58" s="37">
        <v>9.0</v>
      </c>
      <c r="G58" s="37">
        <v>11.0</v>
      </c>
      <c r="J58" s="37"/>
      <c r="K58" s="37"/>
      <c r="L58" s="37"/>
      <c r="M58" s="37">
        <v>9.0</v>
      </c>
      <c r="N58" s="131">
        <f t="shared" si="33"/>
        <v>178</v>
      </c>
      <c r="P58" s="131">
        <f t="shared" si="34"/>
        <v>178</v>
      </c>
    </row>
    <row r="59">
      <c r="B59" s="23" t="s">
        <v>54</v>
      </c>
      <c r="C59" s="131">
        <f t="shared" ref="C59:I59" si="35">sum(C55:C58)</f>
        <v>322</v>
      </c>
      <c r="D59" s="131">
        <f t="shared" si="35"/>
        <v>0</v>
      </c>
      <c r="E59" s="131">
        <f t="shared" si="35"/>
        <v>107</v>
      </c>
      <c r="F59" s="131">
        <f t="shared" si="35"/>
        <v>35</v>
      </c>
      <c r="G59" s="131">
        <f t="shared" si="35"/>
        <v>26</v>
      </c>
      <c r="H59" s="131">
        <f t="shared" si="35"/>
        <v>3</v>
      </c>
      <c r="I59" s="131">
        <f t="shared" si="35"/>
        <v>0</v>
      </c>
      <c r="J59" s="131"/>
      <c r="K59" s="131"/>
      <c r="L59" s="131"/>
      <c r="M59" s="131">
        <f t="shared" ref="M59:P59" si="36">sum(M55:M58)</f>
        <v>9</v>
      </c>
      <c r="N59" s="131">
        <f t="shared" si="36"/>
        <v>502</v>
      </c>
      <c r="O59" s="131">
        <f t="shared" si="36"/>
        <v>89</v>
      </c>
      <c r="P59" s="131">
        <f t="shared" si="36"/>
        <v>591</v>
      </c>
    </row>
    <row r="60">
      <c r="B60" s="37" t="s">
        <v>55</v>
      </c>
      <c r="C60" s="37">
        <v>48.0</v>
      </c>
      <c r="E60" s="37">
        <v>40.0</v>
      </c>
      <c r="F60" s="37">
        <v>4.0</v>
      </c>
      <c r="G60" s="37">
        <v>7.0</v>
      </c>
      <c r="H60" s="37">
        <v>18.0</v>
      </c>
      <c r="J60" s="37"/>
      <c r="K60" s="37"/>
      <c r="L60" s="37"/>
      <c r="M60" s="37">
        <v>1.0</v>
      </c>
      <c r="N60" s="131">
        <f t="shared" ref="N60:N62" si="37">sum(C60:M60)</f>
        <v>118</v>
      </c>
      <c r="O60" s="37">
        <v>231.0</v>
      </c>
      <c r="P60" s="131">
        <f t="shared" ref="P60:P62" si="38">sum(N60:O60)</f>
        <v>349</v>
      </c>
    </row>
    <row r="61">
      <c r="B61" s="37" t="s">
        <v>57</v>
      </c>
      <c r="C61" s="37">
        <v>85.0</v>
      </c>
      <c r="E61" s="37">
        <v>25.0</v>
      </c>
      <c r="F61" s="37">
        <v>6.0</v>
      </c>
      <c r="G61" s="37">
        <v>9.0</v>
      </c>
      <c r="H61" s="37">
        <v>8.0</v>
      </c>
      <c r="I61" s="37">
        <v>1.0</v>
      </c>
      <c r="N61" s="131">
        <f t="shared" si="37"/>
        <v>134</v>
      </c>
      <c r="P61" s="131">
        <f t="shared" si="38"/>
        <v>134</v>
      </c>
    </row>
    <row r="62">
      <c r="B62" s="37" t="s">
        <v>58</v>
      </c>
      <c r="C62" s="37">
        <v>37.0</v>
      </c>
      <c r="E62" s="37">
        <v>3.0</v>
      </c>
      <c r="F62" s="37">
        <v>2.0</v>
      </c>
      <c r="G62" s="37">
        <v>3.0</v>
      </c>
      <c r="N62" s="131">
        <f t="shared" si="37"/>
        <v>45</v>
      </c>
      <c r="P62" s="131">
        <f t="shared" si="38"/>
        <v>45</v>
      </c>
    </row>
    <row r="63">
      <c r="B63" s="23" t="s">
        <v>59</v>
      </c>
      <c r="C63" s="131">
        <f t="shared" ref="C63:I63" si="39">sum(C60:C62)</f>
        <v>170</v>
      </c>
      <c r="D63" s="131">
        <f t="shared" si="39"/>
        <v>0</v>
      </c>
      <c r="E63" s="131">
        <f t="shared" si="39"/>
        <v>68</v>
      </c>
      <c r="F63" s="131">
        <f t="shared" si="39"/>
        <v>12</v>
      </c>
      <c r="G63" s="131">
        <f t="shared" si="39"/>
        <v>19</v>
      </c>
      <c r="H63" s="131">
        <f t="shared" si="39"/>
        <v>26</v>
      </c>
      <c r="I63" s="131">
        <f t="shared" si="39"/>
        <v>1</v>
      </c>
      <c r="J63" s="131"/>
      <c r="K63" s="131"/>
      <c r="L63" s="131"/>
      <c r="M63" s="131">
        <f t="shared" ref="M63:P63" si="40">sum(M60:M62)</f>
        <v>1</v>
      </c>
      <c r="N63" s="131">
        <f t="shared" si="40"/>
        <v>297</v>
      </c>
      <c r="O63" s="131">
        <f t="shared" si="40"/>
        <v>231</v>
      </c>
      <c r="P63" s="131">
        <f t="shared" si="40"/>
        <v>528</v>
      </c>
    </row>
    <row r="64">
      <c r="N64" s="131"/>
    </row>
    <row r="65">
      <c r="N65" s="131"/>
    </row>
    <row r="66">
      <c r="B66" s="23" t="s">
        <v>13</v>
      </c>
      <c r="C66" s="131">
        <f t="shared" ref="C66:I66" si="41">C63+C59+C54</f>
        <v>784</v>
      </c>
      <c r="D66" s="131">
        <f t="shared" si="41"/>
        <v>1</v>
      </c>
      <c r="E66" s="131">
        <f t="shared" si="41"/>
        <v>310</v>
      </c>
      <c r="F66" s="131">
        <f t="shared" si="41"/>
        <v>99</v>
      </c>
      <c r="G66" s="131">
        <f t="shared" si="41"/>
        <v>71</v>
      </c>
      <c r="H66" s="131">
        <f t="shared" si="41"/>
        <v>36</v>
      </c>
      <c r="I66" s="131">
        <f t="shared" si="41"/>
        <v>3</v>
      </c>
      <c r="J66" s="131"/>
      <c r="K66" s="131"/>
      <c r="L66" s="131"/>
      <c r="M66" s="131">
        <f t="shared" ref="M66:P66" si="42">M63+M59+M54</f>
        <v>13</v>
      </c>
      <c r="N66" s="131">
        <f t="shared" si="42"/>
        <v>1317</v>
      </c>
      <c r="O66" s="131">
        <f t="shared" si="42"/>
        <v>879</v>
      </c>
      <c r="P66" s="131">
        <f t="shared" si="42"/>
        <v>2196</v>
      </c>
      <c r="Q66" s="66">
        <f>E66/N66</f>
        <v>0.2353834472</v>
      </c>
      <c r="R66" s="37">
        <v>885.0</v>
      </c>
      <c r="S66" s="66">
        <f>R66+R44+R22</f>
        <v>2337</v>
      </c>
      <c r="T66" s="66">
        <f>O66+O44+O22</f>
        <v>2165</v>
      </c>
      <c r="U66" s="66">
        <f>S66/T66</f>
        <v>1.079445727</v>
      </c>
    </row>
    <row r="69">
      <c r="C69" s="203" t="s">
        <v>161</v>
      </c>
    </row>
    <row r="70">
      <c r="C70" s="37" t="s">
        <v>141</v>
      </c>
      <c r="D70" s="37" t="s">
        <v>142</v>
      </c>
      <c r="E70" s="37" t="s">
        <v>143</v>
      </c>
      <c r="F70" s="37" t="s">
        <v>144</v>
      </c>
      <c r="G70" s="37" t="s">
        <v>145</v>
      </c>
      <c r="H70" s="37" t="s">
        <v>146</v>
      </c>
      <c r="I70" s="37" t="s">
        <v>147</v>
      </c>
      <c r="J70" s="37" t="s">
        <v>162</v>
      </c>
      <c r="K70" s="37" t="s">
        <v>163</v>
      </c>
      <c r="L70" s="37" t="s">
        <v>164</v>
      </c>
      <c r="M70" s="37" t="s">
        <v>148</v>
      </c>
      <c r="N70" s="37" t="s">
        <v>13</v>
      </c>
      <c r="O70" s="37" t="s">
        <v>149</v>
      </c>
      <c r="P70" s="37" t="s">
        <v>150</v>
      </c>
      <c r="R70" s="37" t="s">
        <v>89</v>
      </c>
      <c r="S70" s="37" t="s">
        <v>90</v>
      </c>
      <c r="T70" s="37" t="s">
        <v>91</v>
      </c>
    </row>
    <row r="72">
      <c r="B72" s="289" t="s">
        <v>22</v>
      </c>
      <c r="C72" s="37">
        <v>70.0</v>
      </c>
      <c r="D72" s="37">
        <v>1.0</v>
      </c>
      <c r="E72" s="37">
        <v>22.0</v>
      </c>
      <c r="F72" s="37">
        <v>20.0</v>
      </c>
      <c r="G72" s="37">
        <v>4.0</v>
      </c>
      <c r="H72" s="37">
        <v>1.0</v>
      </c>
      <c r="J72" s="37">
        <v>6.0</v>
      </c>
      <c r="K72" s="37">
        <v>5.0</v>
      </c>
      <c r="L72" s="37">
        <v>1.0</v>
      </c>
      <c r="M72" s="37">
        <v>5.0</v>
      </c>
      <c r="N72" s="131">
        <f t="shared" ref="N72:N75" si="43">sum(C72:M72)</f>
        <v>135</v>
      </c>
      <c r="P72" s="131">
        <f t="shared" ref="P72:P75" si="44">sum(N72:O72)</f>
        <v>135</v>
      </c>
      <c r="R72" s="37">
        <v>63.0</v>
      </c>
      <c r="S72" s="37">
        <v>41.0</v>
      </c>
      <c r="T72" s="37">
        <v>31.0</v>
      </c>
      <c r="U72" s="66">
        <f t="shared" ref="U72:U75" si="45">sum(R72:T72)</f>
        <v>135</v>
      </c>
      <c r="V72" s="66">
        <f t="shared" ref="V72:V75" si="46">U72-P72</f>
        <v>0</v>
      </c>
    </row>
    <row r="73">
      <c r="B73" s="289" t="s">
        <v>36</v>
      </c>
      <c r="C73" s="37">
        <v>47.0</v>
      </c>
      <c r="E73" s="37">
        <v>18.0</v>
      </c>
      <c r="F73" s="37">
        <v>4.0</v>
      </c>
      <c r="G73" s="37">
        <v>1.0</v>
      </c>
      <c r="H73" s="37">
        <v>2.0</v>
      </c>
      <c r="I73" s="37">
        <v>1.0</v>
      </c>
      <c r="J73" s="37">
        <v>2.0</v>
      </c>
      <c r="N73" s="131">
        <f t="shared" si="43"/>
        <v>75</v>
      </c>
      <c r="P73" s="131">
        <f t="shared" si="44"/>
        <v>75</v>
      </c>
      <c r="R73" s="37">
        <v>30.0</v>
      </c>
      <c r="S73" s="37">
        <v>19.0</v>
      </c>
      <c r="T73" s="37">
        <v>26.0</v>
      </c>
      <c r="U73" s="66">
        <f t="shared" si="45"/>
        <v>75</v>
      </c>
      <c r="V73" s="66">
        <f t="shared" si="46"/>
        <v>0</v>
      </c>
    </row>
    <row r="74">
      <c r="B74" s="289" t="s">
        <v>40</v>
      </c>
      <c r="C74" s="37">
        <v>56.0</v>
      </c>
      <c r="E74" s="37">
        <v>4.0</v>
      </c>
      <c r="F74" s="37">
        <v>6.0</v>
      </c>
      <c r="G74" s="37">
        <v>2.0</v>
      </c>
      <c r="J74" s="37">
        <v>3.0</v>
      </c>
      <c r="K74" s="37"/>
      <c r="L74" s="37"/>
      <c r="M74" s="37">
        <v>3.0</v>
      </c>
      <c r="N74" s="131">
        <f t="shared" si="43"/>
        <v>74</v>
      </c>
      <c r="P74" s="131">
        <f t="shared" si="44"/>
        <v>74</v>
      </c>
      <c r="R74" s="37">
        <v>27.0</v>
      </c>
      <c r="S74" s="37">
        <v>31.0</v>
      </c>
      <c r="T74" s="37">
        <v>16.0</v>
      </c>
      <c r="U74" s="66">
        <f t="shared" si="45"/>
        <v>74</v>
      </c>
      <c r="V74" s="66">
        <f t="shared" si="46"/>
        <v>0</v>
      </c>
    </row>
    <row r="75">
      <c r="B75" s="289" t="s">
        <v>41</v>
      </c>
      <c r="C75" s="37">
        <v>61.0</v>
      </c>
      <c r="E75" s="37">
        <v>17.0</v>
      </c>
      <c r="F75" s="37">
        <v>8.0</v>
      </c>
      <c r="G75" s="37">
        <v>4.0</v>
      </c>
      <c r="J75" s="37">
        <v>6.0</v>
      </c>
      <c r="K75" s="37"/>
      <c r="L75" s="37"/>
      <c r="M75" s="37">
        <v>1.0</v>
      </c>
      <c r="N75" s="131">
        <f t="shared" si="43"/>
        <v>97</v>
      </c>
      <c r="P75" s="131">
        <f t="shared" si="44"/>
        <v>97</v>
      </c>
      <c r="R75" s="37">
        <v>39.0</v>
      </c>
      <c r="S75" s="37">
        <v>34.0</v>
      </c>
      <c r="T75" s="37">
        <v>24.0</v>
      </c>
      <c r="U75" s="66">
        <f t="shared" si="45"/>
        <v>97</v>
      </c>
      <c r="V75" s="66">
        <f t="shared" si="46"/>
        <v>0</v>
      </c>
    </row>
    <row r="76">
      <c r="B76" s="23" t="s">
        <v>44</v>
      </c>
      <c r="C76" s="131">
        <f t="shared" ref="C76:P76" si="47">sum(C72:C75)</f>
        <v>234</v>
      </c>
      <c r="D76" s="131">
        <f t="shared" si="47"/>
        <v>1</v>
      </c>
      <c r="E76" s="131">
        <f t="shared" si="47"/>
        <v>61</v>
      </c>
      <c r="F76" s="131">
        <f t="shared" si="47"/>
        <v>38</v>
      </c>
      <c r="G76" s="131">
        <f t="shared" si="47"/>
        <v>11</v>
      </c>
      <c r="H76" s="131">
        <f t="shared" si="47"/>
        <v>3</v>
      </c>
      <c r="I76" s="131">
        <f t="shared" si="47"/>
        <v>1</v>
      </c>
      <c r="J76" s="131">
        <f t="shared" si="47"/>
        <v>17</v>
      </c>
      <c r="K76" s="131">
        <f t="shared" si="47"/>
        <v>5</v>
      </c>
      <c r="L76" s="131">
        <f t="shared" si="47"/>
        <v>1</v>
      </c>
      <c r="M76" s="131">
        <f t="shared" si="47"/>
        <v>9</v>
      </c>
      <c r="N76" s="131">
        <f t="shared" si="47"/>
        <v>381</v>
      </c>
      <c r="O76" s="131">
        <f t="shared" si="47"/>
        <v>0</v>
      </c>
      <c r="P76" s="131">
        <f t="shared" si="47"/>
        <v>381</v>
      </c>
    </row>
    <row r="77">
      <c r="B77" s="37" t="s">
        <v>47</v>
      </c>
      <c r="C77" s="37">
        <v>52.0</v>
      </c>
      <c r="D77" s="37">
        <v>1.0</v>
      </c>
      <c r="E77" s="37">
        <v>4.0</v>
      </c>
      <c r="F77" s="37">
        <v>1.0</v>
      </c>
      <c r="G77" s="37">
        <v>5.0</v>
      </c>
      <c r="J77" s="37">
        <v>3.0</v>
      </c>
      <c r="N77" s="131">
        <f t="shared" ref="N77:N80" si="48">sum(C77:M77)</f>
        <v>66</v>
      </c>
      <c r="P77" s="131">
        <f t="shared" ref="P77:P80" si="49">sum(N77:O77)</f>
        <v>66</v>
      </c>
      <c r="R77" s="37">
        <v>41.0</v>
      </c>
      <c r="S77" s="37">
        <v>25.0</v>
      </c>
      <c r="U77" s="66">
        <f t="shared" ref="U77:U80" si="50">sum(R77:T77)</f>
        <v>66</v>
      </c>
      <c r="V77" s="66">
        <f t="shared" ref="V77:V80" si="51">U77-P77</f>
        <v>0</v>
      </c>
    </row>
    <row r="78">
      <c r="B78" s="37" t="s">
        <v>51</v>
      </c>
      <c r="C78" s="37">
        <v>44.0</v>
      </c>
      <c r="D78" s="37">
        <v>1.0</v>
      </c>
      <c r="E78" s="37">
        <v>12.0</v>
      </c>
      <c r="F78" s="37">
        <v>9.0</v>
      </c>
      <c r="G78" s="37">
        <v>2.0</v>
      </c>
      <c r="H78" s="37">
        <v>1.0</v>
      </c>
      <c r="N78" s="131">
        <f t="shared" si="48"/>
        <v>69</v>
      </c>
      <c r="P78" s="131">
        <f t="shared" si="49"/>
        <v>69</v>
      </c>
      <c r="R78" s="37">
        <v>33.0</v>
      </c>
      <c r="S78" s="37">
        <v>36.0</v>
      </c>
      <c r="U78" s="66">
        <f t="shared" si="50"/>
        <v>69</v>
      </c>
      <c r="V78" s="66">
        <f t="shared" si="51"/>
        <v>0</v>
      </c>
    </row>
    <row r="79">
      <c r="B79" s="37" t="s">
        <v>52</v>
      </c>
      <c r="C79" s="37">
        <v>37.0</v>
      </c>
      <c r="D79" s="37">
        <v>1.0</v>
      </c>
      <c r="E79" s="37">
        <v>11.0</v>
      </c>
      <c r="F79" s="37">
        <v>5.0</v>
      </c>
      <c r="G79" s="37">
        <v>1.0</v>
      </c>
      <c r="J79" s="37">
        <v>3.0</v>
      </c>
      <c r="N79" s="131">
        <f t="shared" si="48"/>
        <v>58</v>
      </c>
      <c r="P79" s="131">
        <f t="shared" si="49"/>
        <v>58</v>
      </c>
      <c r="R79" s="37">
        <v>35.0</v>
      </c>
      <c r="S79" s="37">
        <v>23.0</v>
      </c>
      <c r="U79" s="66">
        <f t="shared" si="50"/>
        <v>58</v>
      </c>
      <c r="V79" s="66">
        <f t="shared" si="51"/>
        <v>0</v>
      </c>
    </row>
    <row r="80">
      <c r="B80" s="37" t="s">
        <v>53</v>
      </c>
      <c r="C80" s="37">
        <v>79.0</v>
      </c>
      <c r="E80" s="37">
        <v>14.0</v>
      </c>
      <c r="F80" s="37">
        <v>3.0</v>
      </c>
      <c r="G80" s="37">
        <v>2.0</v>
      </c>
      <c r="J80" s="37">
        <v>3.0</v>
      </c>
      <c r="N80" s="131">
        <f t="shared" si="48"/>
        <v>101</v>
      </c>
      <c r="P80" s="131">
        <f t="shared" si="49"/>
        <v>101</v>
      </c>
      <c r="R80" s="37">
        <v>54.0</v>
      </c>
      <c r="S80" s="37">
        <v>47.0</v>
      </c>
      <c r="U80" s="66">
        <f t="shared" si="50"/>
        <v>101</v>
      </c>
      <c r="V80" s="66">
        <f t="shared" si="51"/>
        <v>0</v>
      </c>
    </row>
    <row r="81">
      <c r="B81" s="23" t="s">
        <v>54</v>
      </c>
      <c r="C81" s="131">
        <f t="shared" ref="C81:P81" si="52">sum(C77:C80)</f>
        <v>212</v>
      </c>
      <c r="D81" s="131">
        <f t="shared" si="52"/>
        <v>3</v>
      </c>
      <c r="E81" s="131">
        <f t="shared" si="52"/>
        <v>41</v>
      </c>
      <c r="F81" s="131">
        <f t="shared" si="52"/>
        <v>18</v>
      </c>
      <c r="G81" s="131">
        <f t="shared" si="52"/>
        <v>10</v>
      </c>
      <c r="H81" s="131">
        <f t="shared" si="52"/>
        <v>1</v>
      </c>
      <c r="I81" s="131">
        <f t="shared" si="52"/>
        <v>0</v>
      </c>
      <c r="J81" s="131">
        <f t="shared" si="52"/>
        <v>9</v>
      </c>
      <c r="K81" s="131">
        <f t="shared" si="52"/>
        <v>0</v>
      </c>
      <c r="L81" s="131">
        <f t="shared" si="52"/>
        <v>0</v>
      </c>
      <c r="M81" s="131">
        <f t="shared" si="52"/>
        <v>0</v>
      </c>
      <c r="N81" s="131">
        <f t="shared" si="52"/>
        <v>294</v>
      </c>
      <c r="O81" s="131">
        <f t="shared" si="52"/>
        <v>0</v>
      </c>
      <c r="P81" s="131">
        <f t="shared" si="52"/>
        <v>294</v>
      </c>
    </row>
    <row r="82">
      <c r="B82" s="37" t="s">
        <v>55</v>
      </c>
      <c r="C82" s="37">
        <v>29.0</v>
      </c>
      <c r="E82" s="37">
        <v>17.0</v>
      </c>
      <c r="F82" s="37">
        <v>1.0</v>
      </c>
      <c r="G82" s="37">
        <v>4.0</v>
      </c>
      <c r="H82" s="37">
        <v>9.0</v>
      </c>
      <c r="J82" s="37">
        <v>2.0</v>
      </c>
      <c r="K82" s="37">
        <v>1.0</v>
      </c>
      <c r="N82" s="131">
        <f t="shared" ref="N82:N84" si="53">sum(C82:M82)</f>
        <v>63</v>
      </c>
      <c r="P82" s="131">
        <f t="shared" ref="P82:P84" si="54">sum(N82:O82)</f>
        <v>63</v>
      </c>
      <c r="R82" s="37">
        <v>34.0</v>
      </c>
      <c r="S82" s="37">
        <v>29.0</v>
      </c>
      <c r="U82" s="66">
        <f t="shared" ref="U82:U84" si="55">sum(R82:T82)</f>
        <v>63</v>
      </c>
      <c r="V82" s="66">
        <f t="shared" ref="V82:V84" si="56">U82-P82</f>
        <v>0</v>
      </c>
    </row>
    <row r="83">
      <c r="B83" s="37" t="s">
        <v>57</v>
      </c>
      <c r="C83" s="37">
        <v>53.0</v>
      </c>
      <c r="D83" s="37">
        <v>2.0</v>
      </c>
      <c r="E83" s="37">
        <v>6.0</v>
      </c>
      <c r="F83" s="37">
        <v>4.0</v>
      </c>
      <c r="G83" s="37">
        <v>5.0</v>
      </c>
      <c r="H83" s="37">
        <v>4.0</v>
      </c>
      <c r="J83" s="37">
        <v>6.0</v>
      </c>
      <c r="N83" s="131">
        <f t="shared" si="53"/>
        <v>80</v>
      </c>
      <c r="P83" s="131">
        <f t="shared" si="54"/>
        <v>80</v>
      </c>
      <c r="R83" s="37">
        <v>43.0</v>
      </c>
      <c r="S83" s="37">
        <v>37.0</v>
      </c>
      <c r="U83" s="66">
        <f t="shared" si="55"/>
        <v>80</v>
      </c>
      <c r="V83" s="66">
        <f t="shared" si="56"/>
        <v>0</v>
      </c>
    </row>
    <row r="84">
      <c r="B84" s="37" t="s">
        <v>58</v>
      </c>
      <c r="C84" s="37">
        <v>22.0</v>
      </c>
      <c r="E84" s="37">
        <v>5.0</v>
      </c>
      <c r="F84" s="37">
        <v>1.0</v>
      </c>
      <c r="G84" s="37">
        <v>1.0</v>
      </c>
      <c r="J84" s="37">
        <v>1.0</v>
      </c>
      <c r="N84" s="131">
        <f t="shared" si="53"/>
        <v>30</v>
      </c>
      <c r="P84" s="131">
        <f t="shared" si="54"/>
        <v>30</v>
      </c>
      <c r="R84" s="37">
        <v>16.0</v>
      </c>
      <c r="S84" s="37">
        <v>14.0</v>
      </c>
      <c r="U84" s="66">
        <f t="shared" si="55"/>
        <v>30</v>
      </c>
      <c r="V84" s="66">
        <f t="shared" si="56"/>
        <v>0</v>
      </c>
    </row>
    <row r="85">
      <c r="B85" s="23" t="s">
        <v>59</v>
      </c>
      <c r="C85" s="131">
        <f t="shared" ref="C85:P85" si="57">sum(C82:C84)</f>
        <v>104</v>
      </c>
      <c r="D85" s="131">
        <f t="shared" si="57"/>
        <v>2</v>
      </c>
      <c r="E85" s="131">
        <f t="shared" si="57"/>
        <v>28</v>
      </c>
      <c r="F85" s="131">
        <f t="shared" si="57"/>
        <v>6</v>
      </c>
      <c r="G85" s="131">
        <f t="shared" si="57"/>
        <v>10</v>
      </c>
      <c r="H85" s="131">
        <f t="shared" si="57"/>
        <v>13</v>
      </c>
      <c r="I85" s="131">
        <f t="shared" si="57"/>
        <v>0</v>
      </c>
      <c r="J85" s="131">
        <f t="shared" si="57"/>
        <v>9</v>
      </c>
      <c r="K85" s="131">
        <f t="shared" si="57"/>
        <v>1</v>
      </c>
      <c r="L85" s="131">
        <f t="shared" si="57"/>
        <v>0</v>
      </c>
      <c r="M85" s="131">
        <f t="shared" si="57"/>
        <v>0</v>
      </c>
      <c r="N85" s="131">
        <f t="shared" si="57"/>
        <v>173</v>
      </c>
      <c r="O85" s="131">
        <f t="shared" si="57"/>
        <v>0</v>
      </c>
      <c r="P85" s="131">
        <f t="shared" si="57"/>
        <v>173</v>
      </c>
    </row>
    <row r="86">
      <c r="N86" s="131"/>
    </row>
    <row r="87">
      <c r="N87" s="131"/>
    </row>
    <row r="88">
      <c r="B88" s="23" t="s">
        <v>13</v>
      </c>
      <c r="C88" s="131">
        <f t="shared" ref="C88:P88" si="58">C85+C81+C76</f>
        <v>550</v>
      </c>
      <c r="D88" s="131">
        <f t="shared" si="58"/>
        <v>6</v>
      </c>
      <c r="E88" s="131">
        <f t="shared" si="58"/>
        <v>130</v>
      </c>
      <c r="F88" s="131">
        <f t="shared" si="58"/>
        <v>62</v>
      </c>
      <c r="G88" s="131">
        <f t="shared" si="58"/>
        <v>31</v>
      </c>
      <c r="H88" s="131">
        <f t="shared" si="58"/>
        <v>17</v>
      </c>
      <c r="I88" s="131">
        <f t="shared" si="58"/>
        <v>1</v>
      </c>
      <c r="J88" s="131">
        <f t="shared" si="58"/>
        <v>35</v>
      </c>
      <c r="K88" s="131">
        <f t="shared" si="58"/>
        <v>6</v>
      </c>
      <c r="L88" s="131">
        <f t="shared" si="58"/>
        <v>1</v>
      </c>
      <c r="M88" s="131">
        <f t="shared" si="58"/>
        <v>9</v>
      </c>
      <c r="N88" s="131">
        <f t="shared" si="58"/>
        <v>848</v>
      </c>
      <c r="O88" s="131">
        <f t="shared" si="58"/>
        <v>0</v>
      </c>
      <c r="P88" s="131">
        <f t="shared" si="58"/>
        <v>848</v>
      </c>
      <c r="Q88" s="66">
        <f>E88/N88</f>
        <v>0.1533018868</v>
      </c>
      <c r="R88" s="66">
        <f t="shared" ref="R88:T88" si="59">sum(R71:R87)</f>
        <v>415</v>
      </c>
      <c r="S88" s="66">
        <f t="shared" si="59"/>
        <v>336</v>
      </c>
      <c r="T88" s="66">
        <f t="shared" si="59"/>
        <v>97</v>
      </c>
      <c r="U88" s="66">
        <f>sum(R88:T88)</f>
        <v>848</v>
      </c>
      <c r="V88" s="66">
        <f>U88-P88</f>
        <v>0</v>
      </c>
    </row>
    <row r="91">
      <c r="C91" s="203" t="s">
        <v>166</v>
      </c>
    </row>
    <row r="92">
      <c r="C92" s="37" t="s">
        <v>141</v>
      </c>
      <c r="D92" s="37" t="s">
        <v>142</v>
      </c>
      <c r="E92" s="37" t="s">
        <v>143</v>
      </c>
      <c r="F92" s="37" t="s">
        <v>144</v>
      </c>
      <c r="G92" s="37" t="s">
        <v>145</v>
      </c>
      <c r="H92" s="37" t="s">
        <v>146</v>
      </c>
      <c r="I92" s="37" t="s">
        <v>147</v>
      </c>
      <c r="J92" s="37" t="s">
        <v>162</v>
      </c>
      <c r="K92" s="37" t="s">
        <v>163</v>
      </c>
      <c r="L92" s="37" t="s">
        <v>167</v>
      </c>
      <c r="M92" s="37" t="s">
        <v>148</v>
      </c>
      <c r="N92" s="37" t="s">
        <v>13</v>
      </c>
      <c r="O92" s="37" t="s">
        <v>149</v>
      </c>
      <c r="P92" s="37" t="s">
        <v>150</v>
      </c>
    </row>
    <row r="94">
      <c r="B94" s="37" t="s">
        <v>22</v>
      </c>
      <c r="C94" s="66">
        <f t="shared" ref="C94:M94" si="60">C72+C50+C28+C6</f>
        <v>348</v>
      </c>
      <c r="D94" s="66">
        <f t="shared" si="60"/>
        <v>1</v>
      </c>
      <c r="E94" s="66">
        <f t="shared" si="60"/>
        <v>146</v>
      </c>
      <c r="F94" s="66">
        <f t="shared" si="60"/>
        <v>81</v>
      </c>
      <c r="G94" s="66">
        <f t="shared" si="60"/>
        <v>22</v>
      </c>
      <c r="H94" s="66">
        <f t="shared" si="60"/>
        <v>42</v>
      </c>
      <c r="I94" s="66">
        <f t="shared" si="60"/>
        <v>3</v>
      </c>
      <c r="J94" s="66">
        <f t="shared" si="60"/>
        <v>6</v>
      </c>
      <c r="K94" s="66">
        <f t="shared" si="60"/>
        <v>5</v>
      </c>
      <c r="L94" s="66">
        <f t="shared" si="60"/>
        <v>1</v>
      </c>
      <c r="M94" s="66">
        <f t="shared" si="60"/>
        <v>9</v>
      </c>
      <c r="N94" s="131">
        <f t="shared" ref="N94:N97" si="62">sum(C94:M94)</f>
        <v>664</v>
      </c>
      <c r="O94" s="66">
        <f t="shared" ref="O94:O97" si="63">O72+O50+O28+O6</f>
        <v>1169</v>
      </c>
      <c r="P94" s="131">
        <f t="shared" ref="P94:P97" si="64">sum(N94:O94)</f>
        <v>1833</v>
      </c>
    </row>
    <row r="95">
      <c r="B95" s="37" t="s">
        <v>36</v>
      </c>
      <c r="C95" s="66">
        <f t="shared" ref="C95:M95" si="61">C73+C51+C29+C7</f>
        <v>227</v>
      </c>
      <c r="D95" s="66">
        <f t="shared" si="61"/>
        <v>1</v>
      </c>
      <c r="E95" s="66">
        <f t="shared" si="61"/>
        <v>126</v>
      </c>
      <c r="F95" s="66">
        <f t="shared" si="61"/>
        <v>18</v>
      </c>
      <c r="G95" s="66">
        <f t="shared" si="61"/>
        <v>12</v>
      </c>
      <c r="H95" s="66">
        <f t="shared" si="61"/>
        <v>15</v>
      </c>
      <c r="I95" s="66">
        <f t="shared" si="61"/>
        <v>11</v>
      </c>
      <c r="J95" s="66">
        <f t="shared" si="61"/>
        <v>2</v>
      </c>
      <c r="K95" s="66">
        <f t="shared" si="61"/>
        <v>0</v>
      </c>
      <c r="L95" s="66">
        <f t="shared" si="61"/>
        <v>0</v>
      </c>
      <c r="M95" s="66">
        <f t="shared" si="61"/>
        <v>2</v>
      </c>
      <c r="N95" s="131">
        <f t="shared" si="62"/>
        <v>414</v>
      </c>
      <c r="O95" s="66">
        <f t="shared" si="63"/>
        <v>145</v>
      </c>
      <c r="P95" s="131">
        <f t="shared" si="64"/>
        <v>559</v>
      </c>
    </row>
    <row r="96">
      <c r="B96" s="37" t="s">
        <v>40</v>
      </c>
      <c r="C96" s="66">
        <f t="shared" ref="C96:M96" si="65">C74+C52+C30+C8</f>
        <v>246</v>
      </c>
      <c r="D96" s="66">
        <f t="shared" si="65"/>
        <v>0</v>
      </c>
      <c r="E96" s="66">
        <f t="shared" si="65"/>
        <v>56</v>
      </c>
      <c r="F96" s="66">
        <f t="shared" si="65"/>
        <v>38</v>
      </c>
      <c r="G96" s="66">
        <f t="shared" si="65"/>
        <v>16</v>
      </c>
      <c r="H96" s="66">
        <f t="shared" si="65"/>
        <v>4</v>
      </c>
      <c r="I96" s="66">
        <f t="shared" si="65"/>
        <v>0</v>
      </c>
      <c r="J96" s="66">
        <f t="shared" si="65"/>
        <v>3</v>
      </c>
      <c r="K96" s="66">
        <f t="shared" si="65"/>
        <v>0</v>
      </c>
      <c r="L96" s="66">
        <f t="shared" si="65"/>
        <v>0</v>
      </c>
      <c r="M96" s="66">
        <f t="shared" si="65"/>
        <v>6</v>
      </c>
      <c r="N96" s="131">
        <f t="shared" si="62"/>
        <v>369</v>
      </c>
      <c r="O96" s="66">
        <f t="shared" si="63"/>
        <v>0</v>
      </c>
      <c r="P96" s="131">
        <f t="shared" si="64"/>
        <v>369</v>
      </c>
    </row>
    <row r="97">
      <c r="B97" s="37" t="s">
        <v>41</v>
      </c>
      <c r="C97" s="66">
        <f t="shared" ref="C97:M97" si="66">C75+C53+C31+C9</f>
        <v>286</v>
      </c>
      <c r="D97" s="66">
        <f t="shared" si="66"/>
        <v>0</v>
      </c>
      <c r="E97" s="66">
        <f t="shared" si="66"/>
        <v>140</v>
      </c>
      <c r="F97" s="66">
        <f t="shared" si="66"/>
        <v>48</v>
      </c>
      <c r="G97" s="66">
        <f t="shared" si="66"/>
        <v>19</v>
      </c>
      <c r="H97" s="66">
        <f t="shared" si="66"/>
        <v>1</v>
      </c>
      <c r="I97" s="66">
        <f t="shared" si="66"/>
        <v>1</v>
      </c>
      <c r="J97" s="66">
        <f t="shared" si="66"/>
        <v>6</v>
      </c>
      <c r="K97" s="66">
        <f t="shared" si="66"/>
        <v>0</v>
      </c>
      <c r="L97" s="66">
        <f t="shared" si="66"/>
        <v>0</v>
      </c>
      <c r="M97" s="66">
        <f t="shared" si="66"/>
        <v>3</v>
      </c>
      <c r="N97" s="131">
        <f t="shared" si="62"/>
        <v>504</v>
      </c>
      <c r="O97" s="66">
        <f t="shared" si="63"/>
        <v>0</v>
      </c>
      <c r="P97" s="131">
        <f t="shared" si="64"/>
        <v>504</v>
      </c>
    </row>
    <row r="98">
      <c r="B98" s="23" t="s">
        <v>44</v>
      </c>
      <c r="C98" s="131">
        <f t="shared" ref="C98:P98" si="67">sum(C94:C97)</f>
        <v>1107</v>
      </c>
      <c r="D98" s="131">
        <f t="shared" si="67"/>
        <v>2</v>
      </c>
      <c r="E98" s="131">
        <f t="shared" si="67"/>
        <v>468</v>
      </c>
      <c r="F98" s="131">
        <f t="shared" si="67"/>
        <v>185</v>
      </c>
      <c r="G98" s="131">
        <f t="shared" si="67"/>
        <v>69</v>
      </c>
      <c r="H98" s="131">
        <f t="shared" si="67"/>
        <v>62</v>
      </c>
      <c r="I98" s="131">
        <f t="shared" si="67"/>
        <v>15</v>
      </c>
      <c r="J98" s="131">
        <f t="shared" si="67"/>
        <v>17</v>
      </c>
      <c r="K98" s="131">
        <f t="shared" si="67"/>
        <v>5</v>
      </c>
      <c r="L98" s="131">
        <f t="shared" si="67"/>
        <v>1</v>
      </c>
      <c r="M98" s="131">
        <f t="shared" si="67"/>
        <v>20</v>
      </c>
      <c r="N98" s="131">
        <f t="shared" si="67"/>
        <v>1951</v>
      </c>
      <c r="O98" s="131">
        <f t="shared" si="67"/>
        <v>1314</v>
      </c>
      <c r="P98" s="131">
        <f t="shared" si="67"/>
        <v>3265</v>
      </c>
    </row>
    <row r="99">
      <c r="B99" s="37" t="s">
        <v>47</v>
      </c>
      <c r="C99" s="66">
        <f t="shared" ref="C99:M99" si="68">C77+C55+C33+C11</f>
        <v>351</v>
      </c>
      <c r="D99" s="66">
        <f t="shared" si="68"/>
        <v>1</v>
      </c>
      <c r="E99" s="66">
        <f t="shared" si="68"/>
        <v>46</v>
      </c>
      <c r="F99" s="66">
        <f t="shared" si="68"/>
        <v>13</v>
      </c>
      <c r="G99" s="66">
        <f t="shared" si="68"/>
        <v>20</v>
      </c>
      <c r="H99" s="66">
        <f t="shared" si="68"/>
        <v>3</v>
      </c>
      <c r="I99" s="66">
        <f t="shared" si="68"/>
        <v>1</v>
      </c>
      <c r="J99" s="66">
        <f t="shared" si="68"/>
        <v>3</v>
      </c>
      <c r="K99" s="66">
        <f t="shared" si="68"/>
        <v>0</v>
      </c>
      <c r="L99" s="66">
        <f t="shared" si="68"/>
        <v>0</v>
      </c>
      <c r="M99" s="66">
        <f t="shared" si="68"/>
        <v>3</v>
      </c>
      <c r="N99" s="131">
        <f t="shared" ref="N99:N102" si="70">sum(C99:M99)</f>
        <v>441</v>
      </c>
      <c r="O99" s="66">
        <f t="shared" ref="O99:O102" si="71">O77+O55+O33+O11</f>
        <v>1</v>
      </c>
      <c r="P99" s="131">
        <f t="shared" ref="P99:P102" si="72">sum(N99:O99)</f>
        <v>442</v>
      </c>
    </row>
    <row r="100">
      <c r="B100" s="37" t="s">
        <v>51</v>
      </c>
      <c r="C100" s="66">
        <f t="shared" ref="C100:M100" si="69">C78+C56+C34+C12</f>
        <v>258</v>
      </c>
      <c r="D100" s="66">
        <f t="shared" si="69"/>
        <v>1</v>
      </c>
      <c r="E100" s="66">
        <f t="shared" si="69"/>
        <v>80</v>
      </c>
      <c r="F100" s="66">
        <f t="shared" si="69"/>
        <v>51</v>
      </c>
      <c r="G100" s="66">
        <f t="shared" si="69"/>
        <v>15</v>
      </c>
      <c r="H100" s="66">
        <f t="shared" si="69"/>
        <v>7</v>
      </c>
      <c r="I100" s="66">
        <f t="shared" si="69"/>
        <v>6</v>
      </c>
      <c r="J100" s="66">
        <f t="shared" si="69"/>
        <v>0</v>
      </c>
      <c r="K100" s="66">
        <f t="shared" si="69"/>
        <v>0</v>
      </c>
      <c r="L100" s="66">
        <f t="shared" si="69"/>
        <v>0</v>
      </c>
      <c r="M100" s="66">
        <f t="shared" si="69"/>
        <v>1</v>
      </c>
      <c r="N100" s="131">
        <f t="shared" si="70"/>
        <v>419</v>
      </c>
      <c r="O100" s="66">
        <f t="shared" si="71"/>
        <v>296</v>
      </c>
      <c r="P100" s="131">
        <f t="shared" si="72"/>
        <v>715</v>
      </c>
    </row>
    <row r="101">
      <c r="B101" s="37" t="s">
        <v>52</v>
      </c>
      <c r="C101" s="66">
        <f t="shared" ref="C101:M101" si="73">C79+C57+C35+C13</f>
        <v>253</v>
      </c>
      <c r="D101" s="66">
        <f t="shared" si="73"/>
        <v>1</v>
      </c>
      <c r="E101" s="66">
        <f t="shared" si="73"/>
        <v>75</v>
      </c>
      <c r="F101" s="66">
        <f t="shared" si="73"/>
        <v>18</v>
      </c>
      <c r="G101" s="66">
        <f t="shared" si="73"/>
        <v>16</v>
      </c>
      <c r="H101" s="66">
        <f t="shared" si="73"/>
        <v>3</v>
      </c>
      <c r="I101" s="66">
        <f t="shared" si="73"/>
        <v>0</v>
      </c>
      <c r="J101" s="66">
        <f t="shared" si="73"/>
        <v>3</v>
      </c>
      <c r="K101" s="66">
        <f t="shared" si="73"/>
        <v>0</v>
      </c>
      <c r="L101" s="66">
        <f t="shared" si="73"/>
        <v>0</v>
      </c>
      <c r="M101" s="66">
        <f t="shared" si="73"/>
        <v>0</v>
      </c>
      <c r="N101" s="131">
        <f t="shared" si="70"/>
        <v>369</v>
      </c>
      <c r="O101" s="66">
        <f t="shared" si="71"/>
        <v>0</v>
      </c>
      <c r="P101" s="131">
        <f t="shared" si="72"/>
        <v>369</v>
      </c>
    </row>
    <row r="102">
      <c r="B102" s="37" t="s">
        <v>53</v>
      </c>
      <c r="C102" s="66">
        <f t="shared" ref="C102:M102" si="74">C80+C58+C36+C14</f>
        <v>401</v>
      </c>
      <c r="D102" s="66">
        <f t="shared" si="74"/>
        <v>0</v>
      </c>
      <c r="E102" s="66">
        <f t="shared" si="74"/>
        <v>133</v>
      </c>
      <c r="F102" s="66">
        <f t="shared" si="74"/>
        <v>23</v>
      </c>
      <c r="G102" s="66">
        <f t="shared" si="74"/>
        <v>24</v>
      </c>
      <c r="H102" s="66">
        <f t="shared" si="74"/>
        <v>1</v>
      </c>
      <c r="I102" s="66">
        <f t="shared" si="74"/>
        <v>0</v>
      </c>
      <c r="J102" s="66">
        <f t="shared" si="74"/>
        <v>3</v>
      </c>
      <c r="K102" s="66">
        <f t="shared" si="74"/>
        <v>0</v>
      </c>
      <c r="L102" s="66">
        <f t="shared" si="74"/>
        <v>0</v>
      </c>
      <c r="M102" s="66">
        <f t="shared" si="74"/>
        <v>11</v>
      </c>
      <c r="N102" s="131">
        <f t="shared" si="70"/>
        <v>596</v>
      </c>
      <c r="O102" s="66">
        <f t="shared" si="71"/>
        <v>0</v>
      </c>
      <c r="P102" s="131">
        <f t="shared" si="72"/>
        <v>596</v>
      </c>
    </row>
    <row r="103">
      <c r="B103" s="23" t="s">
        <v>54</v>
      </c>
      <c r="C103" s="131">
        <f t="shared" ref="C103:P103" si="75">sum(C99:C102)</f>
        <v>1263</v>
      </c>
      <c r="D103" s="131">
        <f t="shared" si="75"/>
        <v>3</v>
      </c>
      <c r="E103" s="131">
        <f t="shared" si="75"/>
        <v>334</v>
      </c>
      <c r="F103" s="131">
        <f t="shared" si="75"/>
        <v>105</v>
      </c>
      <c r="G103" s="131">
        <f t="shared" si="75"/>
        <v>75</v>
      </c>
      <c r="H103" s="131">
        <f t="shared" si="75"/>
        <v>14</v>
      </c>
      <c r="I103" s="131">
        <f t="shared" si="75"/>
        <v>7</v>
      </c>
      <c r="J103" s="131">
        <f t="shared" si="75"/>
        <v>9</v>
      </c>
      <c r="K103" s="131">
        <f t="shared" si="75"/>
        <v>0</v>
      </c>
      <c r="L103" s="131">
        <f t="shared" si="75"/>
        <v>0</v>
      </c>
      <c r="M103" s="131">
        <f t="shared" si="75"/>
        <v>15</v>
      </c>
      <c r="N103" s="131">
        <f t="shared" si="75"/>
        <v>1825</v>
      </c>
      <c r="O103" s="131">
        <f t="shared" si="75"/>
        <v>297</v>
      </c>
      <c r="P103" s="131">
        <f t="shared" si="75"/>
        <v>2122</v>
      </c>
    </row>
    <row r="104">
      <c r="B104" s="37" t="s">
        <v>55</v>
      </c>
      <c r="C104" s="66">
        <f t="shared" ref="C104:M104" si="76">C82+C60+C38+C16</f>
        <v>180</v>
      </c>
      <c r="D104" s="66">
        <f t="shared" si="76"/>
        <v>0</v>
      </c>
      <c r="E104" s="66">
        <f t="shared" si="76"/>
        <v>113</v>
      </c>
      <c r="F104" s="66">
        <f t="shared" si="76"/>
        <v>13</v>
      </c>
      <c r="G104" s="66">
        <f t="shared" si="76"/>
        <v>22</v>
      </c>
      <c r="H104" s="66">
        <f t="shared" si="76"/>
        <v>101</v>
      </c>
      <c r="I104" s="66">
        <f t="shared" si="76"/>
        <v>0</v>
      </c>
      <c r="J104" s="66">
        <f t="shared" si="76"/>
        <v>2</v>
      </c>
      <c r="K104" s="66">
        <f t="shared" si="76"/>
        <v>1</v>
      </c>
      <c r="L104" s="66">
        <f t="shared" si="76"/>
        <v>0</v>
      </c>
      <c r="M104" s="66">
        <f t="shared" si="76"/>
        <v>7</v>
      </c>
      <c r="N104" s="131">
        <f t="shared" ref="N104:N106" si="78">sum(C104:M104)</f>
        <v>439</v>
      </c>
      <c r="O104" s="66">
        <f t="shared" ref="O104:O106" si="79">O82+O60+O38+O16</f>
        <v>550</v>
      </c>
      <c r="P104" s="131">
        <f t="shared" ref="P104:P106" si="80">sum(N104:O104)</f>
        <v>989</v>
      </c>
    </row>
    <row r="105">
      <c r="B105" s="37" t="s">
        <v>57</v>
      </c>
      <c r="C105" s="66">
        <f t="shared" ref="C105:M105" si="77">C83+C61+C39+C17</f>
        <v>255</v>
      </c>
      <c r="D105" s="66">
        <f t="shared" si="77"/>
        <v>3</v>
      </c>
      <c r="E105" s="66">
        <f t="shared" si="77"/>
        <v>97</v>
      </c>
      <c r="F105" s="66">
        <f t="shared" si="77"/>
        <v>36</v>
      </c>
      <c r="G105" s="66">
        <f t="shared" si="77"/>
        <v>25</v>
      </c>
      <c r="H105" s="66">
        <f t="shared" si="77"/>
        <v>13</v>
      </c>
      <c r="I105" s="66">
        <f t="shared" si="77"/>
        <v>1</v>
      </c>
      <c r="J105" s="66">
        <f t="shared" si="77"/>
        <v>6</v>
      </c>
      <c r="K105" s="66">
        <f t="shared" si="77"/>
        <v>0</v>
      </c>
      <c r="L105" s="66">
        <f t="shared" si="77"/>
        <v>0</v>
      </c>
      <c r="M105" s="66">
        <f t="shared" si="77"/>
        <v>3</v>
      </c>
      <c r="N105" s="131">
        <f t="shared" si="78"/>
        <v>439</v>
      </c>
      <c r="O105" s="66">
        <f t="shared" si="79"/>
        <v>0</v>
      </c>
      <c r="P105" s="131">
        <f t="shared" si="80"/>
        <v>439</v>
      </c>
    </row>
    <row r="106">
      <c r="B106" s="37" t="s">
        <v>58</v>
      </c>
      <c r="C106" s="66">
        <f t="shared" ref="C106:M106" si="81">C84+C62+C40+C18</f>
        <v>125</v>
      </c>
      <c r="D106" s="66">
        <f t="shared" si="81"/>
        <v>0</v>
      </c>
      <c r="E106" s="66">
        <f t="shared" si="81"/>
        <v>20</v>
      </c>
      <c r="F106" s="66">
        <f t="shared" si="81"/>
        <v>8</v>
      </c>
      <c r="G106" s="66">
        <f t="shared" si="81"/>
        <v>10</v>
      </c>
      <c r="H106" s="66">
        <f t="shared" si="81"/>
        <v>0</v>
      </c>
      <c r="I106" s="66">
        <f t="shared" si="81"/>
        <v>0</v>
      </c>
      <c r="J106" s="66">
        <f t="shared" si="81"/>
        <v>1</v>
      </c>
      <c r="K106" s="66">
        <f t="shared" si="81"/>
        <v>0</v>
      </c>
      <c r="L106" s="66">
        <f t="shared" si="81"/>
        <v>0</v>
      </c>
      <c r="M106" s="66">
        <f t="shared" si="81"/>
        <v>4</v>
      </c>
      <c r="N106" s="131">
        <f t="shared" si="78"/>
        <v>168</v>
      </c>
      <c r="O106" s="66">
        <f t="shared" si="79"/>
        <v>4</v>
      </c>
      <c r="P106" s="131">
        <f t="shared" si="80"/>
        <v>172</v>
      </c>
    </row>
    <row r="107">
      <c r="B107" s="23" t="s">
        <v>59</v>
      </c>
      <c r="C107" s="131">
        <f t="shared" ref="C107:P107" si="82">sum(C104:C106)</f>
        <v>560</v>
      </c>
      <c r="D107" s="131">
        <f t="shared" si="82"/>
        <v>3</v>
      </c>
      <c r="E107" s="131">
        <f t="shared" si="82"/>
        <v>230</v>
      </c>
      <c r="F107" s="131">
        <f t="shared" si="82"/>
        <v>57</v>
      </c>
      <c r="G107" s="131">
        <f t="shared" si="82"/>
        <v>57</v>
      </c>
      <c r="H107" s="131">
        <f t="shared" si="82"/>
        <v>114</v>
      </c>
      <c r="I107" s="131">
        <f t="shared" si="82"/>
        <v>1</v>
      </c>
      <c r="J107" s="131">
        <f t="shared" si="82"/>
        <v>9</v>
      </c>
      <c r="K107" s="131">
        <f t="shared" si="82"/>
        <v>1</v>
      </c>
      <c r="L107" s="131">
        <f t="shared" si="82"/>
        <v>0</v>
      </c>
      <c r="M107" s="131">
        <f t="shared" si="82"/>
        <v>14</v>
      </c>
      <c r="N107" s="131">
        <f t="shared" si="82"/>
        <v>1046</v>
      </c>
      <c r="O107" s="131">
        <f t="shared" si="82"/>
        <v>554</v>
      </c>
      <c r="P107" s="131">
        <f t="shared" si="82"/>
        <v>1600</v>
      </c>
    </row>
    <row r="108">
      <c r="N108" s="131"/>
    </row>
    <row r="109">
      <c r="N109" s="131"/>
    </row>
    <row r="110">
      <c r="B110" s="23" t="s">
        <v>13</v>
      </c>
      <c r="C110" s="131">
        <f t="shared" ref="C110:P110" si="83">C107+C103+C98</f>
        <v>2930</v>
      </c>
      <c r="D110" s="131">
        <f t="shared" si="83"/>
        <v>8</v>
      </c>
      <c r="E110" s="131">
        <f t="shared" si="83"/>
        <v>1032</v>
      </c>
      <c r="F110" s="131">
        <f t="shared" si="83"/>
        <v>347</v>
      </c>
      <c r="G110" s="131">
        <f t="shared" si="83"/>
        <v>201</v>
      </c>
      <c r="H110" s="131">
        <f t="shared" si="83"/>
        <v>190</v>
      </c>
      <c r="I110" s="131">
        <f t="shared" si="83"/>
        <v>23</v>
      </c>
      <c r="J110" s="131">
        <f t="shared" si="83"/>
        <v>35</v>
      </c>
      <c r="K110" s="131">
        <f t="shared" si="83"/>
        <v>6</v>
      </c>
      <c r="L110" s="131">
        <f t="shared" si="83"/>
        <v>1</v>
      </c>
      <c r="M110" s="131">
        <f t="shared" si="83"/>
        <v>49</v>
      </c>
      <c r="N110" s="131">
        <f t="shared" si="83"/>
        <v>4822</v>
      </c>
      <c r="O110" s="131">
        <f t="shared" si="83"/>
        <v>2165</v>
      </c>
      <c r="P110" s="131">
        <f t="shared" si="83"/>
        <v>6987</v>
      </c>
      <c r="Q110" s="66">
        <f>E110/N110</f>
        <v>0.2140190792</v>
      </c>
    </row>
  </sheetData>
  <mergeCells count="5">
    <mergeCell ref="C3:N3"/>
    <mergeCell ref="C25:N25"/>
    <mergeCell ref="C47:N47"/>
    <mergeCell ref="C69:N69"/>
    <mergeCell ref="C91:N9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6" width="7.13"/>
    <col customWidth="1" min="7" max="7" width="9.5"/>
    <col customWidth="1" min="8" max="8" width="10.38"/>
    <col customWidth="1" min="9" max="10" width="7.13"/>
    <col customWidth="1" min="11" max="11" width="9.38"/>
    <col customWidth="1" min="12" max="12" width="9.75"/>
    <col customWidth="1" min="13" max="16" width="7.13"/>
    <col customWidth="1" min="17" max="17" width="10.13"/>
    <col customWidth="1" min="18" max="18" width="9.0"/>
    <col customWidth="1" min="19" max="21" width="7.13"/>
    <col customWidth="1" min="28" max="30" width="8.75"/>
    <col customWidth="1" min="31" max="31" width="10.5"/>
    <col customWidth="1" min="32" max="43" width="8.75"/>
  </cols>
  <sheetData>
    <row r="1">
      <c r="Y1" s="7"/>
    </row>
    <row r="3">
      <c r="A3" s="196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2"/>
      <c r="U3" s="3"/>
      <c r="V3" s="234"/>
      <c r="W3" s="235"/>
      <c r="X3" s="236"/>
      <c r="Y3" s="18" t="s">
        <v>2</v>
      </c>
      <c r="Z3" s="160" t="s">
        <v>3</v>
      </c>
      <c r="AA3" s="196" t="s">
        <v>108</v>
      </c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1"/>
      <c r="AP3" s="152"/>
      <c r="AQ3" s="237"/>
      <c r="AR3" s="18" t="s">
        <v>2</v>
      </c>
      <c r="AS3" s="160" t="s">
        <v>3</v>
      </c>
    </row>
    <row r="4">
      <c r="A4" s="39"/>
      <c r="B4" s="194"/>
      <c r="C4" s="163" t="s">
        <v>151</v>
      </c>
      <c r="D4" s="30"/>
      <c r="E4" s="30"/>
      <c r="F4" s="30"/>
      <c r="G4" s="164" t="s">
        <v>152</v>
      </c>
      <c r="H4" s="30"/>
      <c r="I4" s="30"/>
      <c r="J4" s="30"/>
      <c r="K4" s="164" t="s">
        <v>153</v>
      </c>
      <c r="L4" s="30"/>
      <c r="M4" s="30"/>
      <c r="N4" s="30"/>
      <c r="O4" s="36"/>
      <c r="P4" s="178"/>
      <c r="Q4" s="164" t="s">
        <v>13</v>
      </c>
      <c r="R4" s="30"/>
      <c r="S4" s="30"/>
      <c r="T4" s="42"/>
      <c r="U4" s="25"/>
      <c r="V4" s="25"/>
      <c r="X4" s="41"/>
      <c r="Z4" s="36"/>
      <c r="AA4" s="39"/>
      <c r="AB4" s="194"/>
      <c r="AC4" s="163" t="s">
        <v>112</v>
      </c>
      <c r="AD4" s="30"/>
      <c r="AE4" s="30"/>
      <c r="AF4" s="164" t="s">
        <v>80</v>
      </c>
      <c r="AG4" s="30"/>
      <c r="AH4" s="30"/>
      <c r="AI4" s="164" t="s">
        <v>77</v>
      </c>
      <c r="AJ4" s="30"/>
      <c r="AK4" s="30"/>
      <c r="AL4" s="36"/>
      <c r="AM4" s="178"/>
      <c r="AN4" s="164" t="s">
        <v>13</v>
      </c>
      <c r="AO4" s="30"/>
      <c r="AP4" s="42"/>
      <c r="AQ4" s="44"/>
    </row>
    <row r="5">
      <c r="A5" s="43"/>
      <c r="B5" s="179" t="s">
        <v>12</v>
      </c>
      <c r="C5" s="179" t="s">
        <v>24</v>
      </c>
      <c r="D5" s="179" t="s">
        <v>25</v>
      </c>
      <c r="E5" s="179" t="s">
        <v>26</v>
      </c>
      <c r="F5" s="179" t="s">
        <v>27</v>
      </c>
      <c r="G5" s="179" t="s">
        <v>24</v>
      </c>
      <c r="H5" s="179" t="s">
        <v>25</v>
      </c>
      <c r="I5" s="179" t="s">
        <v>26</v>
      </c>
      <c r="J5" s="179" t="s">
        <v>27</v>
      </c>
      <c r="K5" s="179" t="s">
        <v>24</v>
      </c>
      <c r="L5" s="179" t="s">
        <v>25</v>
      </c>
      <c r="M5" s="179" t="s">
        <v>26</v>
      </c>
      <c r="N5" s="179" t="s">
        <v>27</v>
      </c>
      <c r="O5" s="211"/>
      <c r="P5" s="179" t="s">
        <v>12</v>
      </c>
      <c r="Q5" s="179" t="s">
        <v>24</v>
      </c>
      <c r="R5" s="179" t="s">
        <v>25</v>
      </c>
      <c r="S5" s="179" t="s">
        <v>26</v>
      </c>
      <c r="T5" s="181" t="s">
        <v>27</v>
      </c>
      <c r="U5" s="183" t="s">
        <v>31</v>
      </c>
      <c r="V5" s="59" t="s">
        <v>34</v>
      </c>
      <c r="W5" s="23" t="s">
        <v>14</v>
      </c>
      <c r="X5" s="33" t="s">
        <v>35</v>
      </c>
      <c r="Z5" s="240"/>
      <c r="AA5" s="43"/>
      <c r="AB5" s="179" t="s">
        <v>12</v>
      </c>
      <c r="AC5" s="179" t="s">
        <v>118</v>
      </c>
      <c r="AD5" s="179" t="s">
        <v>26</v>
      </c>
      <c r="AE5" s="179" t="s">
        <v>27</v>
      </c>
      <c r="AF5" s="179" t="s">
        <v>118</v>
      </c>
      <c r="AG5" s="179" t="s">
        <v>26</v>
      </c>
      <c r="AH5" s="179" t="s">
        <v>27</v>
      </c>
      <c r="AI5" s="179" t="s">
        <v>118</v>
      </c>
      <c r="AJ5" s="179" t="s">
        <v>26</v>
      </c>
      <c r="AK5" s="179" t="s">
        <v>27</v>
      </c>
      <c r="AL5" s="211"/>
      <c r="AM5" s="179" t="s">
        <v>12</v>
      </c>
      <c r="AN5" s="179" t="s">
        <v>118</v>
      </c>
      <c r="AO5" s="179" t="s">
        <v>26</v>
      </c>
      <c r="AP5" s="181" t="s">
        <v>27</v>
      </c>
      <c r="AQ5" s="241" t="s">
        <v>31</v>
      </c>
      <c r="AS5" s="240"/>
    </row>
    <row r="6">
      <c r="A6" s="46" t="s">
        <v>22</v>
      </c>
      <c r="B6" s="223">
        <f>-'2024 - Q2'!U6</f>
        <v>80</v>
      </c>
      <c r="C6" s="48">
        <v>39.0</v>
      </c>
      <c r="D6" s="48">
        <v>2.0</v>
      </c>
      <c r="E6" s="70">
        <f t="shared" ref="E6:E9" si="2">SUM(C6:D6)</f>
        <v>41</v>
      </c>
      <c r="F6" s="242">
        <f>Targets!B30</f>
        <v>42</v>
      </c>
      <c r="G6" s="243">
        <v>24.0</v>
      </c>
      <c r="H6" s="48"/>
      <c r="I6" s="70">
        <f t="shared" ref="I6:I9" si="3">SUM(G6:H6)</f>
        <v>24</v>
      </c>
      <c r="J6" s="242">
        <f>Targets!C30</f>
        <v>21</v>
      </c>
      <c r="K6" s="243">
        <v>107.0</v>
      </c>
      <c r="L6" s="48">
        <v>1.0</v>
      </c>
      <c r="M6" s="70">
        <f t="shared" ref="M6:M9" si="4">SUM(K6:L6)</f>
        <v>108</v>
      </c>
      <c r="N6" s="242">
        <f>Targets!D30</f>
        <v>120</v>
      </c>
      <c r="O6" s="84"/>
      <c r="P6" s="224">
        <f t="shared" ref="P6:P9" si="5">B6</f>
        <v>80</v>
      </c>
      <c r="Q6" s="84">
        <f t="shared" ref="Q6:R6" si="1">K6+G6+C6</f>
        <v>170</v>
      </c>
      <c r="R6" s="84">
        <f t="shared" si="1"/>
        <v>3</v>
      </c>
      <c r="S6" s="225">
        <f t="shared" ref="S6:S9" si="7">sum(P6:R6)</f>
        <v>253</v>
      </c>
      <c r="T6" s="244">
        <f t="shared" ref="T6:T9" si="8">N6+J6+F6</f>
        <v>183</v>
      </c>
      <c r="U6" s="226">
        <f t="shared" ref="U6:U9" si="9">T6-S6</f>
        <v>-70</v>
      </c>
      <c r="V6" s="46">
        <f t="shared" ref="V6:V9" si="10">R6+Q6</f>
        <v>173</v>
      </c>
      <c r="W6" s="245">
        <f t="shared" ref="W6:W9" si="11">T6</f>
        <v>183</v>
      </c>
      <c r="X6" s="246">
        <f t="shared" ref="X6:X9" si="12">(Q6+R6)/T6</f>
        <v>0.9453551913</v>
      </c>
      <c r="Y6" s="7">
        <v>45565.0</v>
      </c>
      <c r="Z6" s="228" t="s">
        <v>42</v>
      </c>
      <c r="AA6" s="156" t="s">
        <v>22</v>
      </c>
      <c r="AB6" s="223">
        <f>Targets!AC30</f>
        <v>5</v>
      </c>
      <c r="AC6" s="48">
        <f t="shared" ref="AC6:AC9" si="13">AG47</f>
        <v>1</v>
      </c>
      <c r="AD6" s="70">
        <f t="shared" ref="AD6:AD9" si="14">SUM(AC6)</f>
        <v>1</v>
      </c>
      <c r="AE6" s="72">
        <f>Targets!T43+Targets!U43</f>
        <v>8</v>
      </c>
      <c r="AF6" s="243">
        <v>3.0</v>
      </c>
      <c r="AG6" s="70">
        <f t="shared" ref="AG6:AG9" si="15">SUM(AF6)</f>
        <v>3</v>
      </c>
      <c r="AH6" s="72">
        <f>Targets!V43</f>
        <v>1</v>
      </c>
      <c r="AI6" s="243">
        <v>0.0</v>
      </c>
      <c r="AJ6" s="70">
        <f t="shared" ref="AJ6:AJ9" si="16">SUM(AI6)</f>
        <v>0</v>
      </c>
      <c r="AK6" s="72" t="str">
        <f>Targets!W43</f>
        <v/>
      </c>
      <c r="AL6" s="120"/>
      <c r="AM6" s="224">
        <f t="shared" ref="AM6:AM9" si="17">AB6</f>
        <v>5</v>
      </c>
      <c r="AN6" s="84">
        <f t="shared" ref="AN6:AN9" si="18">AI6+AF6+AC6</f>
        <v>4</v>
      </c>
      <c r="AO6" s="225">
        <f t="shared" ref="AO6:AO9" si="19">AN6+AM6</f>
        <v>9</v>
      </c>
      <c r="AP6" s="86">
        <f t="shared" ref="AP6:AP9" si="20">AK6+AH6+AE6</f>
        <v>9</v>
      </c>
      <c r="AQ6" s="248">
        <f t="shared" ref="AQ6:AQ9" si="21">AP6-AO6</f>
        <v>0</v>
      </c>
      <c r="AR6" s="7">
        <v>45565.0</v>
      </c>
      <c r="AS6" s="228" t="s">
        <v>42</v>
      </c>
    </row>
    <row r="7">
      <c r="A7" s="46" t="s">
        <v>36</v>
      </c>
      <c r="B7" s="223">
        <f>-'2024 - Q2'!U7</f>
        <v>-20</v>
      </c>
      <c r="C7" s="48">
        <v>28.0</v>
      </c>
      <c r="D7" s="48">
        <v>3.0</v>
      </c>
      <c r="E7" s="70">
        <f t="shared" si="2"/>
        <v>31</v>
      </c>
      <c r="F7" s="242">
        <f>Targets!B27</f>
        <v>37</v>
      </c>
      <c r="G7" s="243">
        <v>4.0</v>
      </c>
      <c r="H7" s="48"/>
      <c r="I7" s="70">
        <f t="shared" si="3"/>
        <v>4</v>
      </c>
      <c r="J7" s="242">
        <f>Targets!C27</f>
        <v>16</v>
      </c>
      <c r="K7" s="243">
        <v>56.0</v>
      </c>
      <c r="L7" s="48">
        <v>3.0</v>
      </c>
      <c r="M7" s="70">
        <f t="shared" si="4"/>
        <v>59</v>
      </c>
      <c r="N7" s="242">
        <f>Targets!D27</f>
        <v>115</v>
      </c>
      <c r="O7" s="84"/>
      <c r="P7" s="224">
        <f t="shared" si="5"/>
        <v>-20</v>
      </c>
      <c r="Q7" s="84">
        <f t="shared" ref="Q7:R7" si="6">K7+G7+C7</f>
        <v>88</v>
      </c>
      <c r="R7" s="84">
        <f t="shared" si="6"/>
        <v>6</v>
      </c>
      <c r="S7" s="225">
        <f t="shared" si="7"/>
        <v>74</v>
      </c>
      <c r="T7" s="244">
        <f t="shared" si="8"/>
        <v>168</v>
      </c>
      <c r="U7" s="226">
        <f t="shared" si="9"/>
        <v>94</v>
      </c>
      <c r="V7" s="46">
        <f t="shared" si="10"/>
        <v>94</v>
      </c>
      <c r="W7" s="245">
        <f t="shared" si="11"/>
        <v>168</v>
      </c>
      <c r="X7" s="246">
        <f t="shared" si="12"/>
        <v>0.5595238095</v>
      </c>
      <c r="Y7" s="7">
        <v>45565.0</v>
      </c>
      <c r="Z7" s="228" t="s">
        <v>42</v>
      </c>
      <c r="AA7" s="156" t="s">
        <v>36</v>
      </c>
      <c r="AB7" s="223">
        <f>Targets!AC27</f>
        <v>3</v>
      </c>
      <c r="AC7" s="48" t="str">
        <f t="shared" si="13"/>
        <v/>
      </c>
      <c r="AD7" s="70">
        <f t="shared" si="14"/>
        <v>0</v>
      </c>
      <c r="AE7" s="72">
        <f>Targets!T44+Targets!U44</f>
        <v>7</v>
      </c>
      <c r="AF7" s="243">
        <v>2.0</v>
      </c>
      <c r="AG7" s="70">
        <f t="shared" si="15"/>
        <v>2</v>
      </c>
      <c r="AH7" s="72">
        <f>Targets!V44</f>
        <v>1</v>
      </c>
      <c r="AI7" s="243">
        <v>0.0</v>
      </c>
      <c r="AJ7" s="70">
        <f t="shared" si="16"/>
        <v>0</v>
      </c>
      <c r="AK7" s="72" t="str">
        <f>Targets!W44</f>
        <v/>
      </c>
      <c r="AL7" s="120"/>
      <c r="AM7" s="224">
        <f t="shared" si="17"/>
        <v>3</v>
      </c>
      <c r="AN7" s="84">
        <f t="shared" si="18"/>
        <v>2</v>
      </c>
      <c r="AO7" s="225">
        <f t="shared" si="19"/>
        <v>5</v>
      </c>
      <c r="AP7" s="86">
        <f t="shared" si="20"/>
        <v>8</v>
      </c>
      <c r="AQ7" s="248">
        <f t="shared" si="21"/>
        <v>3</v>
      </c>
      <c r="AR7" s="7">
        <v>45565.0</v>
      </c>
      <c r="AS7" s="228" t="s">
        <v>42</v>
      </c>
    </row>
    <row r="8">
      <c r="A8" s="46" t="s">
        <v>40</v>
      </c>
      <c r="B8" s="223">
        <f>-'2024 - Q2'!U8</f>
        <v>17</v>
      </c>
      <c r="C8" s="48">
        <v>27.0</v>
      </c>
      <c r="D8" s="214"/>
      <c r="E8" s="70">
        <f t="shared" si="2"/>
        <v>27</v>
      </c>
      <c r="F8" s="242">
        <f>Targets!B28</f>
        <v>26</v>
      </c>
      <c r="G8" s="243">
        <v>16.0</v>
      </c>
      <c r="H8" s="48"/>
      <c r="I8" s="70">
        <f t="shared" si="3"/>
        <v>16</v>
      </c>
      <c r="J8" s="242">
        <f>Targets!C28</f>
        <v>13</v>
      </c>
      <c r="K8" s="243">
        <v>64.0</v>
      </c>
      <c r="L8" s="48"/>
      <c r="M8" s="70">
        <f t="shared" si="4"/>
        <v>64</v>
      </c>
      <c r="N8" s="242">
        <f>Targets!D28</f>
        <v>79</v>
      </c>
      <c r="O8" s="84"/>
      <c r="P8" s="224">
        <f t="shared" si="5"/>
        <v>17</v>
      </c>
      <c r="Q8" s="84">
        <f t="shared" ref="Q8:R8" si="22">K8+G8+C8</f>
        <v>107</v>
      </c>
      <c r="R8" s="84">
        <f t="shared" si="22"/>
        <v>0</v>
      </c>
      <c r="S8" s="225">
        <f t="shared" si="7"/>
        <v>124</v>
      </c>
      <c r="T8" s="244">
        <f t="shared" si="8"/>
        <v>118</v>
      </c>
      <c r="U8" s="226">
        <f t="shared" si="9"/>
        <v>-6</v>
      </c>
      <c r="V8" s="46">
        <f t="shared" si="10"/>
        <v>107</v>
      </c>
      <c r="W8" s="245">
        <f t="shared" si="11"/>
        <v>118</v>
      </c>
      <c r="X8" s="246">
        <f t="shared" si="12"/>
        <v>0.906779661</v>
      </c>
      <c r="Y8" s="7">
        <v>45565.0</v>
      </c>
      <c r="Z8" s="228" t="s">
        <v>42</v>
      </c>
      <c r="AA8" s="156" t="s">
        <v>40</v>
      </c>
      <c r="AB8" s="223">
        <f>Targets!AC28</f>
        <v>8</v>
      </c>
      <c r="AC8" s="48" t="str">
        <f t="shared" si="13"/>
        <v/>
      </c>
      <c r="AD8" s="70">
        <f t="shared" si="14"/>
        <v>0</v>
      </c>
      <c r="AE8" s="72">
        <f>Targets!T45+Targets!U45</f>
        <v>5</v>
      </c>
      <c r="AF8" s="243">
        <v>2.0</v>
      </c>
      <c r="AG8" s="70">
        <f t="shared" si="15"/>
        <v>2</v>
      </c>
      <c r="AH8" s="72">
        <f>Targets!V45</f>
        <v>1</v>
      </c>
      <c r="AI8" s="243">
        <v>0.0</v>
      </c>
      <c r="AJ8" s="70">
        <f t="shared" si="16"/>
        <v>0</v>
      </c>
      <c r="AK8" s="72" t="str">
        <f>Targets!W45</f>
        <v/>
      </c>
      <c r="AL8" s="120"/>
      <c r="AM8" s="224">
        <f t="shared" si="17"/>
        <v>8</v>
      </c>
      <c r="AN8" s="84">
        <f t="shared" si="18"/>
        <v>2</v>
      </c>
      <c r="AO8" s="225">
        <f t="shared" si="19"/>
        <v>10</v>
      </c>
      <c r="AP8" s="86">
        <f t="shared" si="20"/>
        <v>6</v>
      </c>
      <c r="AQ8" s="248">
        <f t="shared" si="21"/>
        <v>-4</v>
      </c>
      <c r="AR8" s="7">
        <v>45565.0</v>
      </c>
      <c r="AS8" s="228" t="s">
        <v>42</v>
      </c>
    </row>
    <row r="9">
      <c r="A9" s="46" t="s">
        <v>41</v>
      </c>
      <c r="B9" s="223">
        <f>-'2024 - Q2'!U9</f>
        <v>25</v>
      </c>
      <c r="C9" s="87">
        <v>45.0</v>
      </c>
      <c r="D9" s="250"/>
      <c r="E9" s="70">
        <f t="shared" si="2"/>
        <v>45</v>
      </c>
      <c r="F9" s="242">
        <f>Targets!B29</f>
        <v>35</v>
      </c>
      <c r="G9" s="243">
        <v>15.0</v>
      </c>
      <c r="H9" s="48"/>
      <c r="I9" s="70">
        <f t="shared" si="3"/>
        <v>15</v>
      </c>
      <c r="J9" s="242">
        <f>Targets!C29</f>
        <v>17</v>
      </c>
      <c r="K9" s="243">
        <v>84.0</v>
      </c>
      <c r="L9" s="48"/>
      <c r="M9" s="70">
        <f t="shared" si="4"/>
        <v>84</v>
      </c>
      <c r="N9" s="242">
        <f>Targets!D29</f>
        <v>96</v>
      </c>
      <c r="O9" s="84"/>
      <c r="P9" s="224">
        <f t="shared" si="5"/>
        <v>25</v>
      </c>
      <c r="Q9" s="84">
        <f t="shared" ref="Q9:R9" si="23">K9+G9+C9</f>
        <v>144</v>
      </c>
      <c r="R9" s="84">
        <f t="shared" si="23"/>
        <v>0</v>
      </c>
      <c r="S9" s="225">
        <f t="shared" si="7"/>
        <v>169</v>
      </c>
      <c r="T9" s="244">
        <f t="shared" si="8"/>
        <v>148</v>
      </c>
      <c r="U9" s="226">
        <f t="shared" si="9"/>
        <v>-21</v>
      </c>
      <c r="V9" s="46">
        <f t="shared" si="10"/>
        <v>144</v>
      </c>
      <c r="W9" s="245">
        <f t="shared" si="11"/>
        <v>148</v>
      </c>
      <c r="X9" s="246">
        <f t="shared" si="12"/>
        <v>0.972972973</v>
      </c>
      <c r="Y9" s="7">
        <v>45565.0</v>
      </c>
      <c r="Z9" s="228" t="s">
        <v>42</v>
      </c>
      <c r="AA9" s="156" t="s">
        <v>41</v>
      </c>
      <c r="AB9" s="223">
        <f>Targets!AC29</f>
        <v>1</v>
      </c>
      <c r="AC9" s="48">
        <f t="shared" si="13"/>
        <v>1</v>
      </c>
      <c r="AD9" s="70">
        <f t="shared" si="14"/>
        <v>1</v>
      </c>
      <c r="AE9" s="72">
        <f>Targets!T46+Targets!U46</f>
        <v>6</v>
      </c>
      <c r="AF9" s="243">
        <v>1.0</v>
      </c>
      <c r="AG9" s="70">
        <f t="shared" si="15"/>
        <v>1</v>
      </c>
      <c r="AH9" s="72">
        <f>Targets!V46</f>
        <v>1</v>
      </c>
      <c r="AI9" s="243">
        <v>0.0</v>
      </c>
      <c r="AJ9" s="70">
        <f t="shared" si="16"/>
        <v>0</v>
      </c>
      <c r="AK9" s="72" t="str">
        <f>Targets!W46</f>
        <v/>
      </c>
      <c r="AL9" s="120"/>
      <c r="AM9" s="224">
        <f t="shared" si="17"/>
        <v>1</v>
      </c>
      <c r="AN9" s="84">
        <f t="shared" si="18"/>
        <v>2</v>
      </c>
      <c r="AO9" s="225">
        <f t="shared" si="19"/>
        <v>3</v>
      </c>
      <c r="AP9" s="86">
        <f t="shared" si="20"/>
        <v>7</v>
      </c>
      <c r="AQ9" s="248">
        <f t="shared" si="21"/>
        <v>4</v>
      </c>
      <c r="AR9" s="7">
        <v>45565.0</v>
      </c>
      <c r="AS9" s="228" t="s">
        <v>42</v>
      </c>
    </row>
    <row r="10">
      <c r="A10" s="94" t="s">
        <v>44</v>
      </c>
      <c r="B10" s="100">
        <f t="shared" ref="B10:N10" si="24">sum(B6:B9)</f>
        <v>102</v>
      </c>
      <c r="C10" s="95">
        <f t="shared" si="24"/>
        <v>139</v>
      </c>
      <c r="D10" s="95">
        <f t="shared" si="24"/>
        <v>5</v>
      </c>
      <c r="E10" s="95">
        <f t="shared" si="24"/>
        <v>144</v>
      </c>
      <c r="F10" s="100">
        <f t="shared" si="24"/>
        <v>140</v>
      </c>
      <c r="G10" s="95">
        <f t="shared" si="24"/>
        <v>59</v>
      </c>
      <c r="H10" s="95">
        <f t="shared" si="24"/>
        <v>0</v>
      </c>
      <c r="I10" s="95">
        <f t="shared" si="24"/>
        <v>59</v>
      </c>
      <c r="J10" s="100">
        <f t="shared" si="24"/>
        <v>67</v>
      </c>
      <c r="K10" s="95">
        <f t="shared" si="24"/>
        <v>311</v>
      </c>
      <c r="L10" s="95">
        <f t="shared" si="24"/>
        <v>4</v>
      </c>
      <c r="M10" s="95">
        <f t="shared" si="24"/>
        <v>315</v>
      </c>
      <c r="N10" s="100">
        <f t="shared" si="24"/>
        <v>410</v>
      </c>
      <c r="O10" s="120"/>
      <c r="P10" s="100">
        <f t="shared" ref="P10:W10" si="25">sum(P6:P9)</f>
        <v>102</v>
      </c>
      <c r="Q10" s="95">
        <f t="shared" si="25"/>
        <v>509</v>
      </c>
      <c r="R10" s="95">
        <f t="shared" si="25"/>
        <v>9</v>
      </c>
      <c r="S10" s="100">
        <f t="shared" si="25"/>
        <v>620</v>
      </c>
      <c r="T10" s="103">
        <f t="shared" si="25"/>
        <v>617</v>
      </c>
      <c r="U10" s="231">
        <f t="shared" si="25"/>
        <v>-3</v>
      </c>
      <c r="V10" s="116">
        <f t="shared" si="25"/>
        <v>518</v>
      </c>
      <c r="W10" s="100">
        <f t="shared" si="25"/>
        <v>617</v>
      </c>
      <c r="X10" s="272"/>
      <c r="Z10" s="240"/>
      <c r="AA10" s="161" t="s">
        <v>44</v>
      </c>
      <c r="AB10" s="100">
        <f t="shared" ref="AB10:AK10" si="26">sum(AB6:AB9)</f>
        <v>17</v>
      </c>
      <c r="AC10" s="95">
        <f t="shared" si="26"/>
        <v>2</v>
      </c>
      <c r="AD10" s="95">
        <f t="shared" si="26"/>
        <v>2</v>
      </c>
      <c r="AE10" s="95">
        <f t="shared" si="26"/>
        <v>26</v>
      </c>
      <c r="AF10" s="95">
        <f t="shared" si="26"/>
        <v>8</v>
      </c>
      <c r="AG10" s="95">
        <f t="shared" si="26"/>
        <v>8</v>
      </c>
      <c r="AH10" s="95">
        <f t="shared" si="26"/>
        <v>4</v>
      </c>
      <c r="AI10" s="95">
        <f t="shared" si="26"/>
        <v>0</v>
      </c>
      <c r="AJ10" s="95">
        <f t="shared" si="26"/>
        <v>0</v>
      </c>
      <c r="AK10" s="95">
        <f t="shared" si="26"/>
        <v>0</v>
      </c>
      <c r="AL10" s="120"/>
      <c r="AM10" s="100">
        <f t="shared" ref="AM10:AQ10" si="27">sum(AM6:AM9)</f>
        <v>17</v>
      </c>
      <c r="AN10" s="95">
        <f t="shared" si="27"/>
        <v>10</v>
      </c>
      <c r="AO10" s="100">
        <f t="shared" si="27"/>
        <v>27</v>
      </c>
      <c r="AP10" s="115">
        <f t="shared" si="27"/>
        <v>30</v>
      </c>
      <c r="AQ10" s="256">
        <f t="shared" si="27"/>
        <v>3</v>
      </c>
    </row>
    <row r="11">
      <c r="A11" s="46" t="s">
        <v>47</v>
      </c>
      <c r="B11" s="223">
        <f>-'2024 - Q2'!U11</f>
        <v>31</v>
      </c>
      <c r="C11" s="84">
        <v>28.0</v>
      </c>
      <c r="D11" s="84"/>
      <c r="E11" s="70">
        <f t="shared" ref="E11:E14" si="29">SUM(C11:D11)</f>
        <v>28</v>
      </c>
      <c r="F11" s="242">
        <f>Targets!B33</f>
        <v>34</v>
      </c>
      <c r="G11" s="243">
        <v>11.0</v>
      </c>
      <c r="H11" s="48"/>
      <c r="I11" s="70">
        <f t="shared" ref="I11:I14" si="30">SUM(G11:H11)</f>
        <v>11</v>
      </c>
      <c r="J11" s="242">
        <f>Targets!C33</f>
        <v>16</v>
      </c>
      <c r="K11" s="243">
        <v>85.0</v>
      </c>
      <c r="L11" s="48"/>
      <c r="M11" s="70">
        <f t="shared" ref="M11:M14" si="31">SUM(K11:L11)</f>
        <v>85</v>
      </c>
      <c r="N11" s="242">
        <f>Targets!D33</f>
        <v>89</v>
      </c>
      <c r="O11" s="120"/>
      <c r="P11" s="224">
        <f t="shared" ref="P11:P14" si="32">B11</f>
        <v>31</v>
      </c>
      <c r="Q11" s="84">
        <f t="shared" ref="Q11:R11" si="28">K11+G11+C11</f>
        <v>124</v>
      </c>
      <c r="R11" s="84">
        <f t="shared" si="28"/>
        <v>0</v>
      </c>
      <c r="S11" s="225">
        <f t="shared" ref="S11:S14" si="33">sum(P11:R11)</f>
        <v>155</v>
      </c>
      <c r="T11" s="244">
        <f t="shared" ref="T11:T14" si="34">N11+J11+F11</f>
        <v>139</v>
      </c>
      <c r="U11" s="226">
        <f t="shared" ref="U11:U14" si="35">T11-S11</f>
        <v>-16</v>
      </c>
      <c r="V11" s="46">
        <f t="shared" ref="V11:V14" si="36">R11+Q11</f>
        <v>124</v>
      </c>
      <c r="W11" s="245">
        <f t="shared" ref="W11:W14" si="37">T11</f>
        <v>139</v>
      </c>
      <c r="X11" s="246">
        <f t="shared" ref="X11:X14" si="38">(Q11+R11)/T11</f>
        <v>0.8920863309</v>
      </c>
      <c r="Y11" s="7">
        <v>45565.0</v>
      </c>
      <c r="Z11" s="228" t="s">
        <v>56</v>
      </c>
      <c r="AA11" s="156" t="s">
        <v>47</v>
      </c>
      <c r="AB11" s="223">
        <f>Targets!AC33</f>
        <v>6</v>
      </c>
      <c r="AC11" s="48" t="str">
        <f t="shared" ref="AC11:AC14" si="39">AG52</f>
        <v/>
      </c>
      <c r="AD11" s="70">
        <f t="shared" ref="AD11:AD14" si="40">SUM(AC11)</f>
        <v>0</v>
      </c>
      <c r="AE11" s="72">
        <f>Targets!T48+Targets!U48</f>
        <v>7</v>
      </c>
      <c r="AF11" s="84">
        <v>1.0</v>
      </c>
      <c r="AG11" s="70">
        <f t="shared" ref="AG11:AG14" si="41">SUM(AF11)</f>
        <v>1</v>
      </c>
      <c r="AH11" s="72">
        <f>Targets!V48</f>
        <v>1</v>
      </c>
      <c r="AI11" s="84">
        <v>0.0</v>
      </c>
      <c r="AJ11" s="70">
        <v>0.0</v>
      </c>
      <c r="AK11" s="72" t="str">
        <f>Targets!W48</f>
        <v/>
      </c>
      <c r="AL11" s="120"/>
      <c r="AM11" s="224">
        <f t="shared" ref="AM11:AM14" si="42">AB11</f>
        <v>6</v>
      </c>
      <c r="AN11" s="84">
        <f>AI11+AF11+AC11</f>
        <v>1</v>
      </c>
      <c r="AO11" s="225">
        <f t="shared" ref="AO11:AO14" si="43">AN11+AM11</f>
        <v>7</v>
      </c>
      <c r="AP11" s="86">
        <f t="shared" ref="AP11:AP14" si="44">AK11+AH11+AE11</f>
        <v>8</v>
      </c>
      <c r="AQ11" s="248">
        <f t="shared" ref="AQ11:AQ14" si="45">AP11-AO11</f>
        <v>1</v>
      </c>
      <c r="AR11" s="7">
        <v>45565.0</v>
      </c>
      <c r="AS11" s="37" t="s">
        <v>56</v>
      </c>
    </row>
    <row r="12">
      <c r="A12" s="46" t="s">
        <v>51</v>
      </c>
      <c r="B12" s="223">
        <f>-'2024 - Q2'!U12</f>
        <v>20</v>
      </c>
      <c r="C12" s="84">
        <v>36.0</v>
      </c>
      <c r="D12" s="84"/>
      <c r="E12" s="70">
        <f t="shared" si="29"/>
        <v>36</v>
      </c>
      <c r="F12" s="242">
        <f>Targets!B32</f>
        <v>31</v>
      </c>
      <c r="G12" s="243">
        <v>21.0</v>
      </c>
      <c r="H12" s="48"/>
      <c r="I12" s="70">
        <f t="shared" si="30"/>
        <v>21</v>
      </c>
      <c r="J12" s="242">
        <f>Targets!C32</f>
        <v>14</v>
      </c>
      <c r="K12" s="243">
        <v>53.0</v>
      </c>
      <c r="L12" s="48">
        <v>1.0</v>
      </c>
      <c r="M12" s="70">
        <f t="shared" si="31"/>
        <v>54</v>
      </c>
      <c r="N12" s="242">
        <f>Targets!D32</f>
        <v>82</v>
      </c>
      <c r="O12" s="120"/>
      <c r="P12" s="224">
        <f t="shared" si="32"/>
        <v>20</v>
      </c>
      <c r="Q12" s="84">
        <f t="shared" ref="Q12:Q13" si="46">K12+G12+O20+C12</f>
        <v>110</v>
      </c>
      <c r="R12" s="84">
        <f t="shared" ref="R12:R13" si="47">L12+H12+D12</f>
        <v>1</v>
      </c>
      <c r="S12" s="225">
        <f t="shared" si="33"/>
        <v>131</v>
      </c>
      <c r="T12" s="244">
        <f t="shared" si="34"/>
        <v>127</v>
      </c>
      <c r="U12" s="226">
        <f t="shared" si="35"/>
        <v>-4</v>
      </c>
      <c r="V12" s="46">
        <f t="shared" si="36"/>
        <v>111</v>
      </c>
      <c r="W12" s="245">
        <f t="shared" si="37"/>
        <v>127</v>
      </c>
      <c r="X12" s="246">
        <f t="shared" si="38"/>
        <v>0.874015748</v>
      </c>
      <c r="Y12" s="7">
        <v>45565.0</v>
      </c>
      <c r="Z12" s="228" t="s">
        <v>56</v>
      </c>
      <c r="AA12" s="156" t="s">
        <v>51</v>
      </c>
      <c r="AB12" s="223">
        <f>Targets!AC32</f>
        <v>2</v>
      </c>
      <c r="AC12" s="48" t="str">
        <f t="shared" si="39"/>
        <v/>
      </c>
      <c r="AD12" s="70">
        <f t="shared" si="40"/>
        <v>0</v>
      </c>
      <c r="AE12" s="72">
        <f>Targets!T49+Targets!U49</f>
        <v>7</v>
      </c>
      <c r="AF12" s="84">
        <v>1.0</v>
      </c>
      <c r="AG12" s="70">
        <f t="shared" si="41"/>
        <v>1</v>
      </c>
      <c r="AH12" s="72">
        <f>Targets!V49</f>
        <v>1</v>
      </c>
      <c r="AI12" s="84"/>
      <c r="AJ12" s="70">
        <f t="shared" ref="AJ12:AJ14" si="48">SUM(AI12)</f>
        <v>0</v>
      </c>
      <c r="AK12" s="72" t="str">
        <f>Targets!W49</f>
        <v/>
      </c>
      <c r="AL12" s="120"/>
      <c r="AM12" s="224">
        <f t="shared" si="42"/>
        <v>2</v>
      </c>
      <c r="AN12" s="84">
        <v>2.0</v>
      </c>
      <c r="AO12" s="225">
        <f t="shared" si="43"/>
        <v>4</v>
      </c>
      <c r="AP12" s="86">
        <f t="shared" si="44"/>
        <v>8</v>
      </c>
      <c r="AQ12" s="248">
        <f t="shared" si="45"/>
        <v>4</v>
      </c>
      <c r="AR12" s="7">
        <v>45565.0</v>
      </c>
      <c r="AS12" s="37" t="s">
        <v>56</v>
      </c>
    </row>
    <row r="13">
      <c r="A13" s="46" t="s">
        <v>52</v>
      </c>
      <c r="B13" s="223">
        <f>-'2024 - Q2'!U13</f>
        <v>47</v>
      </c>
      <c r="C13" s="84">
        <v>23.0</v>
      </c>
      <c r="D13" s="84">
        <v>1.0</v>
      </c>
      <c r="E13" s="70">
        <f t="shared" si="29"/>
        <v>24</v>
      </c>
      <c r="F13" s="242">
        <f>Targets!B31</f>
        <v>26</v>
      </c>
      <c r="G13" s="243">
        <v>22.0</v>
      </c>
      <c r="H13" s="48"/>
      <c r="I13" s="70">
        <f t="shared" si="30"/>
        <v>22</v>
      </c>
      <c r="J13" s="242">
        <f>Targets!C31</f>
        <v>11</v>
      </c>
      <c r="K13" s="243">
        <v>43.0</v>
      </c>
      <c r="L13" s="48"/>
      <c r="M13" s="70">
        <f t="shared" si="31"/>
        <v>43</v>
      </c>
      <c r="N13" s="242">
        <f>Targets!D31</f>
        <v>70</v>
      </c>
      <c r="O13" s="120"/>
      <c r="P13" s="224">
        <f t="shared" si="32"/>
        <v>47</v>
      </c>
      <c r="Q13" s="84">
        <f t="shared" si="46"/>
        <v>88</v>
      </c>
      <c r="R13" s="84">
        <f t="shared" si="47"/>
        <v>1</v>
      </c>
      <c r="S13" s="225">
        <f t="shared" si="33"/>
        <v>136</v>
      </c>
      <c r="T13" s="244">
        <f t="shared" si="34"/>
        <v>107</v>
      </c>
      <c r="U13" s="226">
        <f t="shared" si="35"/>
        <v>-29</v>
      </c>
      <c r="V13" s="46">
        <f t="shared" si="36"/>
        <v>89</v>
      </c>
      <c r="W13" s="245">
        <f t="shared" si="37"/>
        <v>107</v>
      </c>
      <c r="X13" s="246">
        <f t="shared" si="38"/>
        <v>0.8317757009</v>
      </c>
      <c r="Y13" s="7">
        <v>45565.0</v>
      </c>
      <c r="Z13" s="228" t="s">
        <v>56</v>
      </c>
      <c r="AA13" s="156" t="s">
        <v>52</v>
      </c>
      <c r="AB13" s="223">
        <f>Targets!AC31</f>
        <v>2</v>
      </c>
      <c r="AC13" s="48">
        <f t="shared" si="39"/>
        <v>1</v>
      </c>
      <c r="AD13" s="70">
        <f t="shared" si="40"/>
        <v>1</v>
      </c>
      <c r="AE13" s="72">
        <f>Targets!T50+Targets!U50</f>
        <v>5</v>
      </c>
      <c r="AF13" s="84">
        <v>3.0</v>
      </c>
      <c r="AG13" s="70">
        <f t="shared" si="41"/>
        <v>3</v>
      </c>
      <c r="AH13" s="72">
        <f>Targets!V50</f>
        <v>1</v>
      </c>
      <c r="AI13" s="84"/>
      <c r="AJ13" s="70">
        <f t="shared" si="48"/>
        <v>0</v>
      </c>
      <c r="AK13" s="72" t="str">
        <f>Targets!W50</f>
        <v/>
      </c>
      <c r="AL13" s="120"/>
      <c r="AM13" s="224">
        <f t="shared" si="42"/>
        <v>2</v>
      </c>
      <c r="AN13" s="84">
        <v>7.0</v>
      </c>
      <c r="AO13" s="225">
        <f t="shared" si="43"/>
        <v>9</v>
      </c>
      <c r="AP13" s="86">
        <f t="shared" si="44"/>
        <v>6</v>
      </c>
      <c r="AQ13" s="248">
        <f t="shared" si="45"/>
        <v>-3</v>
      </c>
      <c r="AR13" s="7">
        <v>45565.0</v>
      </c>
      <c r="AS13" s="37" t="s">
        <v>56</v>
      </c>
    </row>
    <row r="14">
      <c r="A14" s="46" t="s">
        <v>53</v>
      </c>
      <c r="B14" s="223">
        <f>-'2024 - Q2'!U14</f>
        <v>9</v>
      </c>
      <c r="C14" s="84">
        <v>66.0</v>
      </c>
      <c r="D14" s="84"/>
      <c r="E14" s="70">
        <f t="shared" si="29"/>
        <v>66</v>
      </c>
      <c r="F14" s="242">
        <f>Targets!B34</f>
        <v>45</v>
      </c>
      <c r="G14" s="243">
        <v>19.0</v>
      </c>
      <c r="H14" s="48"/>
      <c r="I14" s="70">
        <f t="shared" si="30"/>
        <v>19</v>
      </c>
      <c r="J14" s="242">
        <f>Targets!C34</f>
        <v>21</v>
      </c>
      <c r="K14" s="243">
        <v>93.0</v>
      </c>
      <c r="L14" s="48"/>
      <c r="M14" s="70">
        <f t="shared" si="31"/>
        <v>93</v>
      </c>
      <c r="N14" s="242">
        <f>Targets!D34</f>
        <v>120</v>
      </c>
      <c r="O14" s="120"/>
      <c r="P14" s="224">
        <f t="shared" si="32"/>
        <v>9</v>
      </c>
      <c r="Q14" s="84">
        <f t="shared" ref="Q14:R14" si="49">K14+G14+C14</f>
        <v>178</v>
      </c>
      <c r="R14" s="84">
        <f t="shared" si="49"/>
        <v>0</v>
      </c>
      <c r="S14" s="225">
        <f t="shared" si="33"/>
        <v>187</v>
      </c>
      <c r="T14" s="244">
        <f t="shared" si="34"/>
        <v>186</v>
      </c>
      <c r="U14" s="226">
        <f t="shared" si="35"/>
        <v>-1</v>
      </c>
      <c r="V14" s="46">
        <f t="shared" si="36"/>
        <v>178</v>
      </c>
      <c r="W14" s="245">
        <f t="shared" si="37"/>
        <v>186</v>
      </c>
      <c r="X14" s="246">
        <f t="shared" si="38"/>
        <v>0.9569892473</v>
      </c>
      <c r="Y14" s="7">
        <v>45565.0</v>
      </c>
      <c r="Z14" s="228" t="s">
        <v>56</v>
      </c>
      <c r="AA14" s="156" t="s">
        <v>53</v>
      </c>
      <c r="AB14" s="223">
        <f>Targets!AC34</f>
        <v>7</v>
      </c>
      <c r="AC14" s="48">
        <f t="shared" si="39"/>
        <v>1</v>
      </c>
      <c r="AD14" s="70">
        <f t="shared" si="40"/>
        <v>1</v>
      </c>
      <c r="AE14" s="72">
        <f>Targets!T51+Targets!U51</f>
        <v>9</v>
      </c>
      <c r="AF14" s="84">
        <v>1.0</v>
      </c>
      <c r="AG14" s="70">
        <f t="shared" si="41"/>
        <v>1</v>
      </c>
      <c r="AH14" s="72">
        <f>Targets!V51</f>
        <v>2</v>
      </c>
      <c r="AI14" s="84"/>
      <c r="AJ14" s="70">
        <f t="shared" si="48"/>
        <v>0</v>
      </c>
      <c r="AK14" s="72" t="str">
        <f>Targets!W51</f>
        <v/>
      </c>
      <c r="AL14" s="120"/>
      <c r="AM14" s="224">
        <f t="shared" si="42"/>
        <v>7</v>
      </c>
      <c r="AN14" s="84">
        <f>AI14+AF14+AC14</f>
        <v>2</v>
      </c>
      <c r="AO14" s="225">
        <f t="shared" si="43"/>
        <v>9</v>
      </c>
      <c r="AP14" s="86">
        <f t="shared" si="44"/>
        <v>11</v>
      </c>
      <c r="AQ14" s="248">
        <f t="shared" si="45"/>
        <v>2</v>
      </c>
      <c r="AR14" s="7">
        <v>45565.0</v>
      </c>
      <c r="AS14" s="37" t="s">
        <v>56</v>
      </c>
    </row>
    <row r="15">
      <c r="A15" s="94" t="s">
        <v>54</v>
      </c>
      <c r="B15" s="100">
        <f t="shared" ref="B15:N15" si="50">sum(B11:B14)</f>
        <v>107</v>
      </c>
      <c r="C15" s="95">
        <f t="shared" si="50"/>
        <v>153</v>
      </c>
      <c r="D15" s="95">
        <f t="shared" si="50"/>
        <v>1</v>
      </c>
      <c r="E15" s="95">
        <f t="shared" si="50"/>
        <v>154</v>
      </c>
      <c r="F15" s="100">
        <f t="shared" si="50"/>
        <v>136</v>
      </c>
      <c r="G15" s="95">
        <f t="shared" si="50"/>
        <v>73</v>
      </c>
      <c r="H15" s="95">
        <f t="shared" si="50"/>
        <v>0</v>
      </c>
      <c r="I15" s="95">
        <f t="shared" si="50"/>
        <v>73</v>
      </c>
      <c r="J15" s="100">
        <f t="shared" si="50"/>
        <v>62</v>
      </c>
      <c r="K15" s="95">
        <f t="shared" si="50"/>
        <v>274</v>
      </c>
      <c r="L15" s="95">
        <f t="shared" si="50"/>
        <v>1</v>
      </c>
      <c r="M15" s="95">
        <f t="shared" si="50"/>
        <v>275</v>
      </c>
      <c r="N15" s="100">
        <f t="shared" si="50"/>
        <v>361</v>
      </c>
      <c r="O15" s="120"/>
      <c r="P15" s="100">
        <f t="shared" ref="P15:W15" si="51">sum(P11:P14)</f>
        <v>107</v>
      </c>
      <c r="Q15" s="95">
        <f t="shared" si="51"/>
        <v>500</v>
      </c>
      <c r="R15" s="95">
        <f t="shared" si="51"/>
        <v>2</v>
      </c>
      <c r="S15" s="100">
        <f t="shared" si="51"/>
        <v>609</v>
      </c>
      <c r="T15" s="103">
        <f t="shared" si="51"/>
        <v>559</v>
      </c>
      <c r="U15" s="231">
        <f t="shared" si="51"/>
        <v>-50</v>
      </c>
      <c r="V15" s="116">
        <f t="shared" si="51"/>
        <v>502</v>
      </c>
      <c r="W15" s="100">
        <f t="shared" si="51"/>
        <v>559</v>
      </c>
      <c r="X15" s="272"/>
      <c r="Z15" s="240"/>
      <c r="AA15" s="161" t="s">
        <v>54</v>
      </c>
      <c r="AB15" s="100">
        <f t="shared" ref="AB15:AK15" si="52">sum(AB11:AB14)</f>
        <v>17</v>
      </c>
      <c r="AC15" s="95">
        <f t="shared" si="52"/>
        <v>2</v>
      </c>
      <c r="AD15" s="95">
        <f t="shared" si="52"/>
        <v>2</v>
      </c>
      <c r="AE15" s="95">
        <f t="shared" si="52"/>
        <v>28</v>
      </c>
      <c r="AF15" s="95">
        <f t="shared" si="52"/>
        <v>6</v>
      </c>
      <c r="AG15" s="95">
        <f t="shared" si="52"/>
        <v>6</v>
      </c>
      <c r="AH15" s="95">
        <f t="shared" si="52"/>
        <v>5</v>
      </c>
      <c r="AI15" s="95">
        <f t="shared" si="52"/>
        <v>0</v>
      </c>
      <c r="AJ15" s="95">
        <f t="shared" si="52"/>
        <v>0</v>
      </c>
      <c r="AK15" s="95">
        <f t="shared" si="52"/>
        <v>0</v>
      </c>
      <c r="AL15" s="120"/>
      <c r="AM15" s="100">
        <f t="shared" ref="AM15:AQ15" si="53">sum(AM11:AM14)</f>
        <v>17</v>
      </c>
      <c r="AN15" s="95">
        <f t="shared" si="53"/>
        <v>12</v>
      </c>
      <c r="AO15" s="100">
        <f t="shared" si="53"/>
        <v>29</v>
      </c>
      <c r="AP15" s="115">
        <f t="shared" si="53"/>
        <v>33</v>
      </c>
      <c r="AQ15" s="256">
        <f t="shared" si="53"/>
        <v>4</v>
      </c>
    </row>
    <row r="16">
      <c r="A16" s="46" t="s">
        <v>55</v>
      </c>
      <c r="B16" s="223">
        <f>-'2024 - Q2'!U16</f>
        <v>20</v>
      </c>
      <c r="C16" s="84">
        <v>24.0</v>
      </c>
      <c r="D16" s="84">
        <v>6.0</v>
      </c>
      <c r="E16" s="70">
        <f t="shared" ref="E16:E18" si="55">SUM(C16:D16)</f>
        <v>30</v>
      </c>
      <c r="F16" s="242">
        <f>Targets!B35</f>
        <v>30</v>
      </c>
      <c r="G16" s="243">
        <v>13.0</v>
      </c>
      <c r="H16" s="48">
        <v>3.0</v>
      </c>
      <c r="I16" s="70">
        <f t="shared" ref="I16:I18" si="56">SUM(G16:H16)</f>
        <v>16</v>
      </c>
      <c r="J16" s="242">
        <f>Targets!C35</f>
        <v>14</v>
      </c>
      <c r="K16" s="243">
        <v>63.0</v>
      </c>
      <c r="L16" s="48">
        <v>9.0</v>
      </c>
      <c r="M16" s="70">
        <f t="shared" ref="M16:M18" si="57">SUM(K16:L16)</f>
        <v>72</v>
      </c>
      <c r="N16" s="242">
        <f>Targets!D35</f>
        <v>82</v>
      </c>
      <c r="O16" s="120"/>
      <c r="P16" s="224">
        <f t="shared" ref="P16:P18" si="58">B16</f>
        <v>20</v>
      </c>
      <c r="Q16" s="84">
        <f t="shared" ref="Q16:R16" si="54">K16+G16+C16</f>
        <v>100</v>
      </c>
      <c r="R16" s="84">
        <f t="shared" si="54"/>
        <v>18</v>
      </c>
      <c r="S16" s="225">
        <f t="shared" ref="S16:S18" si="60">sum(P16:R16)</f>
        <v>138</v>
      </c>
      <c r="T16" s="244">
        <f t="shared" ref="T16:T18" si="61">N16+J16+F16</f>
        <v>126</v>
      </c>
      <c r="U16" s="226">
        <f t="shared" ref="U16:U18" si="62">T16-S16</f>
        <v>-12</v>
      </c>
      <c r="V16" s="46">
        <f t="shared" ref="V16:V18" si="63">R16+Q16</f>
        <v>118</v>
      </c>
      <c r="W16" s="245">
        <f t="shared" ref="W16:W18" si="64">T16</f>
        <v>126</v>
      </c>
      <c r="X16" s="246">
        <f t="shared" ref="X16:X18" si="65">(Q16+R16)/T16</f>
        <v>0.9365079365</v>
      </c>
      <c r="Y16" s="7">
        <v>45565.0</v>
      </c>
      <c r="Z16" s="228" t="s">
        <v>81</v>
      </c>
      <c r="AA16" s="156" t="s">
        <v>55</v>
      </c>
      <c r="AB16" s="223">
        <f>Targets!AC35</f>
        <v>3</v>
      </c>
      <c r="AC16" s="48" t="str">
        <f t="shared" ref="AC16:AC18" si="66">AG57</f>
        <v/>
      </c>
      <c r="AD16" s="70">
        <f t="shared" ref="AD16:AD18" si="67">SUM(AC16)</f>
        <v>0</v>
      </c>
      <c r="AE16" s="72">
        <f>Targets!T53+Targets!U53</f>
        <v>6</v>
      </c>
      <c r="AF16" s="84">
        <v>0.0</v>
      </c>
      <c r="AG16" s="70">
        <f t="shared" ref="AG16:AG18" si="68">SUM(AF16)</f>
        <v>0</v>
      </c>
      <c r="AH16" s="72">
        <f>Targets!V53</f>
        <v>1</v>
      </c>
      <c r="AI16" s="84">
        <v>0.0</v>
      </c>
      <c r="AJ16" s="70">
        <f t="shared" ref="AJ16:AJ18" si="69">SUM(AI16)</f>
        <v>0</v>
      </c>
      <c r="AK16" s="72" t="str">
        <f>Targets!W53</f>
        <v/>
      </c>
      <c r="AL16" s="120"/>
      <c r="AM16" s="224">
        <f t="shared" ref="AM16:AM18" si="70">AB16</f>
        <v>3</v>
      </c>
      <c r="AN16" s="84">
        <f t="shared" ref="AN16:AN18" si="71">AI16+AF16+AC16</f>
        <v>0</v>
      </c>
      <c r="AO16" s="225">
        <f t="shared" ref="AO16:AO18" si="72">AN16+AM16</f>
        <v>3</v>
      </c>
      <c r="AP16" s="86">
        <f t="shared" ref="AP16:AP18" si="73">AK16+AH16+AE16</f>
        <v>7</v>
      </c>
      <c r="AQ16" s="248">
        <f t="shared" ref="AQ16:AQ18" si="74">AP16-AO16</f>
        <v>4</v>
      </c>
      <c r="AR16" s="7">
        <v>45565.0</v>
      </c>
      <c r="AS16" s="37" t="s">
        <v>81</v>
      </c>
    </row>
    <row r="17">
      <c r="A17" s="46" t="s">
        <v>57</v>
      </c>
      <c r="B17" s="223">
        <f>-'2024 - Q2'!U17</f>
        <v>0</v>
      </c>
      <c r="C17" s="84">
        <v>34.0</v>
      </c>
      <c r="D17" s="84">
        <v>1.0</v>
      </c>
      <c r="E17" s="70">
        <f t="shared" si="55"/>
        <v>35</v>
      </c>
      <c r="F17" s="242">
        <f>Targets!B36</f>
        <v>36</v>
      </c>
      <c r="G17" s="243">
        <v>12.0</v>
      </c>
      <c r="H17" s="48"/>
      <c r="I17" s="70">
        <f t="shared" si="56"/>
        <v>12</v>
      </c>
      <c r="J17" s="242">
        <f>Targets!C36</f>
        <v>16</v>
      </c>
      <c r="K17" s="243">
        <v>80.0</v>
      </c>
      <c r="L17" s="48">
        <v>7.0</v>
      </c>
      <c r="M17" s="70">
        <f t="shared" si="57"/>
        <v>87</v>
      </c>
      <c r="N17" s="242">
        <f>Targets!D36</f>
        <v>97</v>
      </c>
      <c r="O17" s="120"/>
      <c r="P17" s="224">
        <f t="shared" si="58"/>
        <v>0</v>
      </c>
      <c r="Q17" s="84">
        <f t="shared" ref="Q17:R17" si="59">K17+G17+C17</f>
        <v>126</v>
      </c>
      <c r="R17" s="84">
        <f t="shared" si="59"/>
        <v>8</v>
      </c>
      <c r="S17" s="225">
        <f t="shared" si="60"/>
        <v>134</v>
      </c>
      <c r="T17" s="244">
        <f t="shared" si="61"/>
        <v>149</v>
      </c>
      <c r="U17" s="226">
        <f t="shared" si="62"/>
        <v>15</v>
      </c>
      <c r="V17" s="46">
        <f t="shared" si="63"/>
        <v>134</v>
      </c>
      <c r="W17" s="245">
        <f t="shared" si="64"/>
        <v>149</v>
      </c>
      <c r="X17" s="246">
        <f t="shared" si="65"/>
        <v>0.8993288591</v>
      </c>
      <c r="Y17" s="7">
        <v>45565.0</v>
      </c>
      <c r="Z17" s="228" t="s">
        <v>81</v>
      </c>
      <c r="AA17" s="156" t="s">
        <v>57</v>
      </c>
      <c r="AB17" s="223">
        <f>Targets!AC36</f>
        <v>4</v>
      </c>
      <c r="AC17" s="48" t="str">
        <f t="shared" si="66"/>
        <v/>
      </c>
      <c r="AD17" s="70">
        <f t="shared" si="67"/>
        <v>0</v>
      </c>
      <c r="AE17" s="72">
        <f>Targets!T54+Targets!U54</f>
        <v>7</v>
      </c>
      <c r="AF17" s="84">
        <v>2.0</v>
      </c>
      <c r="AG17" s="70">
        <f t="shared" si="68"/>
        <v>2</v>
      </c>
      <c r="AH17" s="72">
        <f>Targets!V54</f>
        <v>1</v>
      </c>
      <c r="AI17" s="84">
        <v>0.0</v>
      </c>
      <c r="AJ17" s="70">
        <f t="shared" si="69"/>
        <v>0</v>
      </c>
      <c r="AK17" s="72" t="str">
        <f>Targets!W54</f>
        <v/>
      </c>
      <c r="AL17" s="120"/>
      <c r="AM17" s="224">
        <f t="shared" si="70"/>
        <v>4</v>
      </c>
      <c r="AN17" s="84">
        <f t="shared" si="71"/>
        <v>2</v>
      </c>
      <c r="AO17" s="225">
        <f t="shared" si="72"/>
        <v>6</v>
      </c>
      <c r="AP17" s="86">
        <f t="shared" si="73"/>
        <v>8</v>
      </c>
      <c r="AQ17" s="248">
        <f t="shared" si="74"/>
        <v>2</v>
      </c>
      <c r="AR17" s="7">
        <v>45565.0</v>
      </c>
      <c r="AS17" s="37" t="s">
        <v>81</v>
      </c>
    </row>
    <row r="18">
      <c r="A18" s="46" t="s">
        <v>58</v>
      </c>
      <c r="B18" s="223">
        <f>-'2024 - Q2'!U18</f>
        <v>14</v>
      </c>
      <c r="C18" s="84">
        <v>13.0</v>
      </c>
      <c r="D18" s="84"/>
      <c r="E18" s="70">
        <f t="shared" si="55"/>
        <v>13</v>
      </c>
      <c r="F18" s="242">
        <f>Targets!B37</f>
        <v>13</v>
      </c>
      <c r="G18" s="243">
        <v>8.0</v>
      </c>
      <c r="H18" s="48"/>
      <c r="I18" s="70">
        <f t="shared" si="56"/>
        <v>8</v>
      </c>
      <c r="J18" s="242">
        <f>Targets!C37</f>
        <v>6</v>
      </c>
      <c r="K18" s="243">
        <v>24.0</v>
      </c>
      <c r="L18" s="48">
        <v>0.0</v>
      </c>
      <c r="M18" s="70">
        <f t="shared" si="57"/>
        <v>24</v>
      </c>
      <c r="N18" s="242">
        <f>Targets!D37</f>
        <v>36</v>
      </c>
      <c r="O18" s="120"/>
      <c r="P18" s="224">
        <f t="shared" si="58"/>
        <v>14</v>
      </c>
      <c r="Q18" s="84">
        <f t="shared" ref="Q18:R18" si="75">K18+G18+C18</f>
        <v>45</v>
      </c>
      <c r="R18" s="84">
        <f t="shared" si="75"/>
        <v>0</v>
      </c>
      <c r="S18" s="225">
        <f t="shared" si="60"/>
        <v>59</v>
      </c>
      <c r="T18" s="244">
        <f t="shared" si="61"/>
        <v>55</v>
      </c>
      <c r="U18" s="226">
        <f t="shared" si="62"/>
        <v>-4</v>
      </c>
      <c r="V18" s="46">
        <f t="shared" si="63"/>
        <v>45</v>
      </c>
      <c r="W18" s="245">
        <f t="shared" si="64"/>
        <v>55</v>
      </c>
      <c r="X18" s="246">
        <f t="shared" si="65"/>
        <v>0.8181818182</v>
      </c>
      <c r="Y18" s="7">
        <v>45565.0</v>
      </c>
      <c r="Z18" s="228" t="s">
        <v>81</v>
      </c>
      <c r="AA18" s="156" t="s">
        <v>58</v>
      </c>
      <c r="AB18" s="223">
        <f>Targets!AC37</f>
        <v>1</v>
      </c>
      <c r="AC18" s="48">
        <f t="shared" si="66"/>
        <v>1</v>
      </c>
      <c r="AD18" s="70">
        <f t="shared" si="67"/>
        <v>1</v>
      </c>
      <c r="AE18" s="72">
        <f>Targets!T55+Targets!U55</f>
        <v>2</v>
      </c>
      <c r="AF18" s="84">
        <v>0.0</v>
      </c>
      <c r="AG18" s="70">
        <f t="shared" si="68"/>
        <v>0</v>
      </c>
      <c r="AH18" s="72">
        <f>Targets!V55</f>
        <v>1</v>
      </c>
      <c r="AI18" s="84">
        <v>0.0</v>
      </c>
      <c r="AJ18" s="70">
        <f t="shared" si="69"/>
        <v>0</v>
      </c>
      <c r="AK18" s="72" t="str">
        <f>Targets!W55</f>
        <v/>
      </c>
      <c r="AL18" s="120"/>
      <c r="AM18" s="224">
        <f t="shared" si="70"/>
        <v>1</v>
      </c>
      <c r="AN18" s="84">
        <f t="shared" si="71"/>
        <v>1</v>
      </c>
      <c r="AO18" s="225">
        <f t="shared" si="72"/>
        <v>2</v>
      </c>
      <c r="AP18" s="86">
        <f t="shared" si="73"/>
        <v>3</v>
      </c>
      <c r="AQ18" s="248">
        <f t="shared" si="74"/>
        <v>1</v>
      </c>
      <c r="AR18" s="7">
        <v>45565.0</v>
      </c>
      <c r="AS18" s="37" t="s">
        <v>81</v>
      </c>
    </row>
    <row r="19">
      <c r="A19" s="94" t="s">
        <v>59</v>
      </c>
      <c r="B19" s="100">
        <f t="shared" ref="B19:N19" si="76">sum(B16:B18)</f>
        <v>34</v>
      </c>
      <c r="C19" s="95">
        <f t="shared" si="76"/>
        <v>71</v>
      </c>
      <c r="D19" s="95">
        <f t="shared" si="76"/>
        <v>7</v>
      </c>
      <c r="E19" s="95">
        <f t="shared" si="76"/>
        <v>78</v>
      </c>
      <c r="F19" s="100">
        <f t="shared" si="76"/>
        <v>79</v>
      </c>
      <c r="G19" s="95">
        <f t="shared" si="76"/>
        <v>33</v>
      </c>
      <c r="H19" s="95">
        <f t="shared" si="76"/>
        <v>3</v>
      </c>
      <c r="I19" s="95">
        <f t="shared" si="76"/>
        <v>36</v>
      </c>
      <c r="J19" s="100">
        <f t="shared" si="76"/>
        <v>36</v>
      </c>
      <c r="K19" s="95">
        <f t="shared" si="76"/>
        <v>167</v>
      </c>
      <c r="L19" s="95">
        <f t="shared" si="76"/>
        <v>16</v>
      </c>
      <c r="M19" s="95">
        <f t="shared" si="76"/>
        <v>183</v>
      </c>
      <c r="N19" s="100">
        <f t="shared" si="76"/>
        <v>215</v>
      </c>
      <c r="O19" s="120"/>
      <c r="P19" s="100">
        <f t="shared" ref="P19:W19" si="77">sum(P16:P18)</f>
        <v>34</v>
      </c>
      <c r="Q19" s="95">
        <f t="shared" si="77"/>
        <v>271</v>
      </c>
      <c r="R19" s="95">
        <f t="shared" si="77"/>
        <v>26</v>
      </c>
      <c r="S19" s="100">
        <f t="shared" si="77"/>
        <v>331</v>
      </c>
      <c r="T19" s="103">
        <f t="shared" si="77"/>
        <v>330</v>
      </c>
      <c r="U19" s="231">
        <f t="shared" si="77"/>
        <v>-1</v>
      </c>
      <c r="V19" s="116">
        <f t="shared" si="77"/>
        <v>297</v>
      </c>
      <c r="W19" s="100">
        <f t="shared" si="77"/>
        <v>330</v>
      </c>
      <c r="X19" s="272"/>
      <c r="Z19" s="240"/>
      <c r="AA19" s="161" t="s">
        <v>59</v>
      </c>
      <c r="AB19" s="100">
        <f t="shared" ref="AB19:AK19" si="78">sum(AB16:AB18)</f>
        <v>8</v>
      </c>
      <c r="AC19" s="95">
        <f t="shared" si="78"/>
        <v>1</v>
      </c>
      <c r="AD19" s="95">
        <f t="shared" si="78"/>
        <v>1</v>
      </c>
      <c r="AE19" s="95">
        <f t="shared" si="78"/>
        <v>15</v>
      </c>
      <c r="AF19" s="95">
        <f t="shared" si="78"/>
        <v>2</v>
      </c>
      <c r="AG19" s="95">
        <f t="shared" si="78"/>
        <v>2</v>
      </c>
      <c r="AH19" s="95">
        <f t="shared" si="78"/>
        <v>3</v>
      </c>
      <c r="AI19" s="95">
        <f t="shared" si="78"/>
        <v>0</v>
      </c>
      <c r="AJ19" s="95">
        <f t="shared" si="78"/>
        <v>0</v>
      </c>
      <c r="AK19" s="95">
        <f t="shared" si="78"/>
        <v>0</v>
      </c>
      <c r="AL19" s="120"/>
      <c r="AM19" s="100">
        <f t="shared" ref="AM19:AQ19" si="79">sum(AM16:AM18)</f>
        <v>8</v>
      </c>
      <c r="AN19" s="95">
        <f t="shared" si="79"/>
        <v>3</v>
      </c>
      <c r="AO19" s="100">
        <f t="shared" si="79"/>
        <v>11</v>
      </c>
      <c r="AP19" s="115">
        <f t="shared" si="79"/>
        <v>18</v>
      </c>
      <c r="AQ19" s="256">
        <f t="shared" si="79"/>
        <v>7</v>
      </c>
    </row>
    <row r="20">
      <c r="A20" s="94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37"/>
      <c r="U20" s="121"/>
      <c r="V20" s="138"/>
      <c r="W20" s="139"/>
      <c r="X20" s="272"/>
      <c r="Z20" s="240"/>
      <c r="AA20" s="43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37"/>
      <c r="AQ20" s="265"/>
    </row>
    <row r="21">
      <c r="A21" s="121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37"/>
      <c r="U21" s="121"/>
      <c r="V21" s="138"/>
      <c r="W21" s="139"/>
      <c r="X21" s="272"/>
      <c r="Z21" s="36"/>
      <c r="AA21" s="39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37"/>
      <c r="AQ21" s="265"/>
    </row>
    <row r="22">
      <c r="A22" s="122" t="s">
        <v>13</v>
      </c>
      <c r="B22" s="123">
        <f t="shared" ref="B22:N22" si="80">B19+B15+B10</f>
        <v>243</v>
      </c>
      <c r="C22" s="123">
        <f t="shared" si="80"/>
        <v>363</v>
      </c>
      <c r="D22" s="123">
        <f t="shared" si="80"/>
        <v>13</v>
      </c>
      <c r="E22" s="123">
        <f t="shared" si="80"/>
        <v>376</v>
      </c>
      <c r="F22" s="123">
        <f t="shared" si="80"/>
        <v>355</v>
      </c>
      <c r="G22" s="123">
        <f t="shared" si="80"/>
        <v>165</v>
      </c>
      <c r="H22" s="123">
        <f t="shared" si="80"/>
        <v>3</v>
      </c>
      <c r="I22" s="123">
        <f t="shared" si="80"/>
        <v>168</v>
      </c>
      <c r="J22" s="123">
        <f t="shared" si="80"/>
        <v>165</v>
      </c>
      <c r="K22" s="123">
        <f t="shared" si="80"/>
        <v>752</v>
      </c>
      <c r="L22" s="123">
        <f t="shared" si="80"/>
        <v>21</v>
      </c>
      <c r="M22" s="123">
        <f t="shared" si="80"/>
        <v>773</v>
      </c>
      <c r="N22" s="123">
        <f t="shared" si="80"/>
        <v>986</v>
      </c>
      <c r="O22" s="166"/>
      <c r="P22" s="123">
        <f t="shared" ref="P22:W22" si="81">P19+P15+P10</f>
        <v>243</v>
      </c>
      <c r="Q22" s="123">
        <f t="shared" si="81"/>
        <v>1280</v>
      </c>
      <c r="R22" s="123">
        <f t="shared" si="81"/>
        <v>37</v>
      </c>
      <c r="S22" s="123">
        <f t="shared" si="81"/>
        <v>1560</v>
      </c>
      <c r="T22" s="125">
        <f t="shared" si="81"/>
        <v>1506</v>
      </c>
      <c r="U22" s="266">
        <f t="shared" si="81"/>
        <v>-54</v>
      </c>
      <c r="V22" s="266">
        <f t="shared" si="81"/>
        <v>1317</v>
      </c>
      <c r="W22" s="123">
        <f t="shared" si="81"/>
        <v>1506</v>
      </c>
      <c r="X22" s="279">
        <f>(Q22+R22)/T22</f>
        <v>0.874501992</v>
      </c>
      <c r="Z22" s="228"/>
      <c r="AA22" s="165" t="s">
        <v>13</v>
      </c>
      <c r="AB22" s="123">
        <f t="shared" ref="AB22:AK22" si="82">AB19+AB15+AB10</f>
        <v>42</v>
      </c>
      <c r="AC22" s="123">
        <f t="shared" si="82"/>
        <v>5</v>
      </c>
      <c r="AD22" s="123">
        <f t="shared" si="82"/>
        <v>5</v>
      </c>
      <c r="AE22" s="123">
        <f t="shared" si="82"/>
        <v>69</v>
      </c>
      <c r="AF22" s="123">
        <f t="shared" si="82"/>
        <v>16</v>
      </c>
      <c r="AG22" s="123">
        <f t="shared" si="82"/>
        <v>16</v>
      </c>
      <c r="AH22" s="123">
        <f t="shared" si="82"/>
        <v>12</v>
      </c>
      <c r="AI22" s="123">
        <f t="shared" si="82"/>
        <v>0</v>
      </c>
      <c r="AJ22" s="123">
        <f t="shared" si="82"/>
        <v>0</v>
      </c>
      <c r="AK22" s="123">
        <f t="shared" si="82"/>
        <v>0</v>
      </c>
      <c r="AL22" s="166"/>
      <c r="AM22" s="123">
        <f t="shared" ref="AM22:AQ22" si="83">AM19+AM15+AM10</f>
        <v>42</v>
      </c>
      <c r="AN22" s="123">
        <f t="shared" si="83"/>
        <v>25</v>
      </c>
      <c r="AO22" s="123">
        <f t="shared" si="83"/>
        <v>67</v>
      </c>
      <c r="AP22" s="125">
        <f t="shared" si="83"/>
        <v>81</v>
      </c>
      <c r="AQ22" s="268">
        <f t="shared" si="83"/>
        <v>14</v>
      </c>
    </row>
    <row r="24">
      <c r="A24" s="196" t="s">
        <v>63</v>
      </c>
      <c r="B24" s="151"/>
      <c r="C24" s="151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2"/>
      <c r="V24" s="280"/>
      <c r="W24" s="280"/>
      <c r="X24" s="280"/>
      <c r="Y24" s="18" t="s">
        <v>2</v>
      </c>
      <c r="Z24" s="160" t="s">
        <v>3</v>
      </c>
    </row>
    <row r="25">
      <c r="A25" s="39"/>
      <c r="B25" s="194"/>
      <c r="C25" s="163" t="s">
        <v>151</v>
      </c>
      <c r="D25" s="30"/>
      <c r="E25" s="30"/>
      <c r="F25" s="30"/>
      <c r="G25" s="164" t="s">
        <v>152</v>
      </c>
      <c r="H25" s="30"/>
      <c r="I25" s="30"/>
      <c r="J25" s="30"/>
      <c r="K25" s="164" t="s">
        <v>153</v>
      </c>
      <c r="L25" s="30"/>
      <c r="M25" s="30"/>
      <c r="N25" s="30"/>
      <c r="O25" s="36"/>
      <c r="P25" s="178"/>
      <c r="Q25" s="164" t="s">
        <v>13</v>
      </c>
      <c r="R25" s="30"/>
      <c r="S25" s="30"/>
      <c r="T25" s="42"/>
      <c r="Z25" s="36"/>
    </row>
    <row r="26">
      <c r="A26" s="43"/>
      <c r="B26" s="194"/>
      <c r="C26" s="179" t="s">
        <v>64</v>
      </c>
      <c r="D26" s="179" t="s">
        <v>65</v>
      </c>
      <c r="E26" s="179" t="s">
        <v>26</v>
      </c>
      <c r="F26" s="179" t="s">
        <v>66</v>
      </c>
      <c r="G26" s="179" t="s">
        <v>64</v>
      </c>
      <c r="H26" s="179" t="s">
        <v>65</v>
      </c>
      <c r="I26" s="179" t="s">
        <v>26</v>
      </c>
      <c r="J26" s="179" t="s">
        <v>66</v>
      </c>
      <c r="K26" s="179" t="s">
        <v>64</v>
      </c>
      <c r="L26" s="179" t="s">
        <v>65</v>
      </c>
      <c r="M26" s="179" t="s">
        <v>26</v>
      </c>
      <c r="N26" s="179" t="s">
        <v>66</v>
      </c>
      <c r="O26" s="211"/>
      <c r="P26" s="179"/>
      <c r="Q26" s="179" t="s">
        <v>64</v>
      </c>
      <c r="R26" s="179" t="s">
        <v>65</v>
      </c>
      <c r="S26" s="179" t="s">
        <v>26</v>
      </c>
      <c r="T26" s="181" t="s">
        <v>66</v>
      </c>
      <c r="Z26" s="240"/>
      <c r="AD26" s="27" t="s">
        <v>168</v>
      </c>
      <c r="AE26" s="23" t="s">
        <v>169</v>
      </c>
      <c r="AF26" s="37" t="s">
        <v>101</v>
      </c>
      <c r="AG26" s="37" t="s">
        <v>170</v>
      </c>
      <c r="AH26" s="37" t="s">
        <v>88</v>
      </c>
      <c r="AI26" s="23" t="s">
        <v>13</v>
      </c>
      <c r="AJ26" s="37" t="s">
        <v>171</v>
      </c>
      <c r="AL26" s="23" t="s">
        <v>172</v>
      </c>
      <c r="AM26" s="23" t="s">
        <v>101</v>
      </c>
      <c r="AN26" s="23" t="s">
        <v>170</v>
      </c>
      <c r="AO26" s="23" t="s">
        <v>88</v>
      </c>
      <c r="AP26" s="23" t="s">
        <v>13</v>
      </c>
    </row>
    <row r="27">
      <c r="A27" s="156" t="s">
        <v>22</v>
      </c>
      <c r="B27" s="194"/>
      <c r="C27" s="48">
        <v>128.0</v>
      </c>
      <c r="D27" s="48"/>
      <c r="E27" s="70">
        <f t="shared" ref="E27:E30" si="85">SUM(C27:D27)</f>
        <v>128</v>
      </c>
      <c r="F27" s="72">
        <v>113.0</v>
      </c>
      <c r="G27" s="158">
        <f>110-24</f>
        <v>86</v>
      </c>
      <c r="H27" s="48"/>
      <c r="I27" s="70">
        <f t="shared" ref="I27:I30" si="86">SUM(G27:H27)</f>
        <v>86</v>
      </c>
      <c r="J27" s="72">
        <v>75.0</v>
      </c>
      <c r="K27" s="158">
        <v>289.0</v>
      </c>
      <c r="L27" s="48"/>
      <c r="M27" s="70">
        <f t="shared" ref="M27:M30" si="87">SUM(K27:L27)</f>
        <v>289</v>
      </c>
      <c r="N27" s="72">
        <v>275.0</v>
      </c>
      <c r="O27" s="120"/>
      <c r="P27" s="83" t="str">
        <f t="shared" ref="P27:P41" si="88">B27</f>
        <v/>
      </c>
      <c r="Q27" s="84">
        <f t="shared" ref="Q27:R27" si="84">K27+G27+C27</f>
        <v>503</v>
      </c>
      <c r="R27" s="84">
        <f t="shared" si="84"/>
        <v>0</v>
      </c>
      <c r="S27" s="70">
        <f t="shared" ref="S27:S30" si="90">sum(P27:R27)</f>
        <v>503</v>
      </c>
      <c r="T27" s="86">
        <f t="shared" ref="T27:T30" si="91">N27+J27+F27</f>
        <v>463</v>
      </c>
      <c r="V27" s="130"/>
      <c r="W27" s="130"/>
      <c r="X27" s="130"/>
      <c r="Y27" s="7">
        <v>45565.0</v>
      </c>
      <c r="Z27" s="228" t="s">
        <v>42</v>
      </c>
      <c r="AD27" s="69">
        <f t="shared" ref="AD27:AD30" si="92">AB6+AC6+AI27</f>
        <v>7</v>
      </c>
      <c r="AE27" s="99" t="s">
        <v>22</v>
      </c>
      <c r="AF27" s="37">
        <v>1.0</v>
      </c>
      <c r="AI27" s="66">
        <f t="shared" ref="AI27:AI30" si="93">sum(AF27:AH27)</f>
        <v>1</v>
      </c>
      <c r="AJ27" s="66">
        <f t="shared" ref="AJ27:AJ30" si="94">AF6-AI27</f>
        <v>2</v>
      </c>
      <c r="AL27" s="99" t="s">
        <v>22</v>
      </c>
      <c r="AM27" s="37">
        <v>6.0</v>
      </c>
      <c r="AN27" s="37">
        <v>5.0</v>
      </c>
      <c r="AO27" s="37">
        <v>6.0</v>
      </c>
      <c r="AP27" s="66">
        <f t="shared" ref="AP27:AP30" si="95">sum(AM27:AO27)</f>
        <v>17</v>
      </c>
    </row>
    <row r="28">
      <c r="A28" s="156" t="s">
        <v>36</v>
      </c>
      <c r="B28" s="194"/>
      <c r="C28" s="48"/>
      <c r="D28" s="48"/>
      <c r="E28" s="70">
        <f t="shared" si="85"/>
        <v>0</v>
      </c>
      <c r="F28" s="72">
        <v>21.0</v>
      </c>
      <c r="G28" s="158">
        <v>13.0</v>
      </c>
      <c r="H28" s="48"/>
      <c r="I28" s="70">
        <f t="shared" si="86"/>
        <v>13</v>
      </c>
      <c r="J28" s="72">
        <v>7.0</v>
      </c>
      <c r="K28" s="158">
        <v>44.0</v>
      </c>
      <c r="L28" s="48">
        <v>0.0</v>
      </c>
      <c r="M28" s="70">
        <f t="shared" si="87"/>
        <v>44</v>
      </c>
      <c r="N28" s="72">
        <v>50.0</v>
      </c>
      <c r="O28" s="120"/>
      <c r="P28" s="83" t="str">
        <f t="shared" si="88"/>
        <v/>
      </c>
      <c r="Q28" s="84">
        <f t="shared" ref="Q28:R28" si="89">K28+G28+C28</f>
        <v>57</v>
      </c>
      <c r="R28" s="84">
        <f t="shared" si="89"/>
        <v>0</v>
      </c>
      <c r="S28" s="70">
        <f t="shared" si="90"/>
        <v>57</v>
      </c>
      <c r="T28" s="86">
        <f t="shared" si="91"/>
        <v>78</v>
      </c>
      <c r="V28" s="130"/>
      <c r="W28" s="130"/>
      <c r="X28" s="130"/>
      <c r="Y28" s="7">
        <v>45565.0</v>
      </c>
      <c r="Z28" s="228" t="s">
        <v>42</v>
      </c>
      <c r="AD28" s="69">
        <f t="shared" si="92"/>
        <v>6</v>
      </c>
      <c r="AE28" s="99" t="s">
        <v>36</v>
      </c>
      <c r="AH28" s="37">
        <v>3.0</v>
      </c>
      <c r="AI28" s="66">
        <f t="shared" si="93"/>
        <v>3</v>
      </c>
      <c r="AJ28" s="66">
        <f t="shared" si="94"/>
        <v>-1</v>
      </c>
      <c r="AL28" s="99" t="s">
        <v>36</v>
      </c>
      <c r="AM28" s="37">
        <v>2.0</v>
      </c>
      <c r="AN28" s="37">
        <v>1.0</v>
      </c>
      <c r="AO28" s="37">
        <v>9.0</v>
      </c>
      <c r="AP28" s="66">
        <f t="shared" si="95"/>
        <v>12</v>
      </c>
    </row>
    <row r="29">
      <c r="A29" s="156" t="s">
        <v>40</v>
      </c>
      <c r="B29" s="194"/>
      <c r="C29" s="48"/>
      <c r="D29" s="48"/>
      <c r="E29" s="70">
        <f t="shared" si="85"/>
        <v>0</v>
      </c>
      <c r="F29" s="72"/>
      <c r="G29" s="158"/>
      <c r="H29" s="48"/>
      <c r="I29" s="70">
        <f t="shared" si="86"/>
        <v>0</v>
      </c>
      <c r="J29" s="72"/>
      <c r="K29" s="158">
        <v>0.0</v>
      </c>
      <c r="L29" s="48">
        <v>0.0</v>
      </c>
      <c r="M29" s="70">
        <f t="shared" si="87"/>
        <v>0</v>
      </c>
      <c r="N29" s="72"/>
      <c r="O29" s="120"/>
      <c r="P29" s="83" t="str">
        <f t="shared" si="88"/>
        <v/>
      </c>
      <c r="Q29" s="84">
        <f t="shared" ref="Q29:R29" si="96">K29+G29+C29</f>
        <v>0</v>
      </c>
      <c r="R29" s="84">
        <f t="shared" si="96"/>
        <v>0</v>
      </c>
      <c r="S29" s="70">
        <f t="shared" si="90"/>
        <v>0</v>
      </c>
      <c r="T29" s="86">
        <f t="shared" si="91"/>
        <v>0</v>
      </c>
      <c r="V29" s="130"/>
      <c r="W29" s="130"/>
      <c r="X29" s="130"/>
      <c r="Y29" s="7">
        <v>45565.0</v>
      </c>
      <c r="Z29" s="228" t="s">
        <v>42</v>
      </c>
      <c r="AD29" s="69">
        <f t="shared" si="92"/>
        <v>10</v>
      </c>
      <c r="AE29" s="99" t="s">
        <v>40</v>
      </c>
      <c r="AF29" s="37">
        <v>1.0</v>
      </c>
      <c r="AG29" s="37">
        <v>1.0</v>
      </c>
      <c r="AI29" s="66">
        <f t="shared" si="93"/>
        <v>2</v>
      </c>
      <c r="AJ29" s="66">
        <f t="shared" si="94"/>
        <v>0</v>
      </c>
      <c r="AL29" s="99" t="s">
        <v>40</v>
      </c>
      <c r="AM29" s="37">
        <v>2.0</v>
      </c>
      <c r="AN29" s="37">
        <v>3.0</v>
      </c>
      <c r="AO29" s="37">
        <v>4.0</v>
      </c>
      <c r="AP29" s="66">
        <f t="shared" si="95"/>
        <v>9</v>
      </c>
    </row>
    <row r="30">
      <c r="A30" s="156" t="s">
        <v>41</v>
      </c>
      <c r="B30" s="194"/>
      <c r="C30" s="48"/>
      <c r="D30" s="48"/>
      <c r="E30" s="70">
        <f t="shared" si="85"/>
        <v>0</v>
      </c>
      <c r="F30" s="72"/>
      <c r="G30" s="158"/>
      <c r="H30" s="48"/>
      <c r="I30" s="70">
        <f t="shared" si="86"/>
        <v>0</v>
      </c>
      <c r="J30" s="72"/>
      <c r="K30" s="158">
        <v>0.0</v>
      </c>
      <c r="L30" s="48">
        <v>0.0</v>
      </c>
      <c r="M30" s="70">
        <f t="shared" si="87"/>
        <v>0</v>
      </c>
      <c r="N30" s="72"/>
      <c r="O30" s="120"/>
      <c r="P30" s="83" t="str">
        <f t="shared" si="88"/>
        <v/>
      </c>
      <c r="Q30" s="84">
        <f t="shared" ref="Q30:R30" si="97">K30+G30+C30</f>
        <v>0</v>
      </c>
      <c r="R30" s="84">
        <f t="shared" si="97"/>
        <v>0</v>
      </c>
      <c r="S30" s="70">
        <f t="shared" si="90"/>
        <v>0</v>
      </c>
      <c r="T30" s="86">
        <f t="shared" si="91"/>
        <v>0</v>
      </c>
      <c r="V30" s="130"/>
      <c r="W30" s="130"/>
      <c r="X30" s="130"/>
      <c r="Y30" s="7">
        <v>45565.0</v>
      </c>
      <c r="Z30" s="228" t="s">
        <v>42</v>
      </c>
      <c r="AD30" s="69">
        <f t="shared" si="92"/>
        <v>3</v>
      </c>
      <c r="AE30" s="99" t="s">
        <v>41</v>
      </c>
      <c r="AH30" s="37">
        <v>1.0</v>
      </c>
      <c r="AI30" s="66">
        <f t="shared" si="93"/>
        <v>1</v>
      </c>
      <c r="AJ30" s="66">
        <f t="shared" si="94"/>
        <v>0</v>
      </c>
      <c r="AL30" s="99" t="s">
        <v>41</v>
      </c>
      <c r="AM30" s="37">
        <v>7.0</v>
      </c>
      <c r="AN30" s="37">
        <v>2.0</v>
      </c>
      <c r="AO30" s="37">
        <v>8.0</v>
      </c>
      <c r="AP30" s="66">
        <f t="shared" si="95"/>
        <v>17</v>
      </c>
    </row>
    <row r="31">
      <c r="A31" s="161" t="s">
        <v>44</v>
      </c>
      <c r="B31" s="194"/>
      <c r="C31" s="95">
        <f t="shared" ref="C31:N31" si="98">sum(C27:C30)</f>
        <v>128</v>
      </c>
      <c r="D31" s="95">
        <f t="shared" si="98"/>
        <v>0</v>
      </c>
      <c r="E31" s="95">
        <f t="shared" si="98"/>
        <v>128</v>
      </c>
      <c r="F31" s="95">
        <f t="shared" si="98"/>
        <v>134</v>
      </c>
      <c r="G31" s="95">
        <f t="shared" si="98"/>
        <v>99</v>
      </c>
      <c r="H31" s="95">
        <f t="shared" si="98"/>
        <v>0</v>
      </c>
      <c r="I31" s="95">
        <f t="shared" si="98"/>
        <v>99</v>
      </c>
      <c r="J31" s="95">
        <f t="shared" si="98"/>
        <v>82</v>
      </c>
      <c r="K31" s="95">
        <f t="shared" si="98"/>
        <v>333</v>
      </c>
      <c r="L31" s="95">
        <f t="shared" si="98"/>
        <v>0</v>
      </c>
      <c r="M31" s="95">
        <f t="shared" si="98"/>
        <v>333</v>
      </c>
      <c r="N31" s="95">
        <f t="shared" si="98"/>
        <v>325</v>
      </c>
      <c r="O31" s="120"/>
      <c r="P31" s="83" t="str">
        <f t="shared" si="88"/>
        <v/>
      </c>
      <c r="Q31" s="95">
        <f t="shared" ref="Q31:T31" si="99">sum(Q27:Q30)</f>
        <v>560</v>
      </c>
      <c r="R31" s="95">
        <f t="shared" si="99"/>
        <v>0</v>
      </c>
      <c r="S31" s="95">
        <f t="shared" si="99"/>
        <v>560</v>
      </c>
      <c r="T31" s="115">
        <f t="shared" si="99"/>
        <v>541</v>
      </c>
      <c r="Z31" s="240"/>
      <c r="AE31" s="228" t="s">
        <v>44</v>
      </c>
      <c r="AF31" s="131">
        <f t="shared" ref="AF31:AJ31" si="100">sum(AF27:AF30)</f>
        <v>2</v>
      </c>
      <c r="AG31" s="131">
        <f t="shared" si="100"/>
        <v>1</v>
      </c>
      <c r="AH31" s="131">
        <f t="shared" si="100"/>
        <v>4</v>
      </c>
      <c r="AI31" s="131">
        <f t="shared" si="100"/>
        <v>7</v>
      </c>
      <c r="AJ31" s="131">
        <f t="shared" si="100"/>
        <v>1</v>
      </c>
      <c r="AL31" s="228" t="s">
        <v>44</v>
      </c>
      <c r="AM31" s="131">
        <f t="shared" ref="AM31:AP31" si="101">sum(AM27:AM30)</f>
        <v>17</v>
      </c>
      <c r="AN31" s="131">
        <f t="shared" si="101"/>
        <v>11</v>
      </c>
      <c r="AO31" s="131">
        <f t="shared" si="101"/>
        <v>27</v>
      </c>
      <c r="AP31" s="131">
        <f t="shared" si="101"/>
        <v>55</v>
      </c>
    </row>
    <row r="32">
      <c r="A32" s="156" t="s">
        <v>47</v>
      </c>
      <c r="B32" s="194"/>
      <c r="C32" s="260" t="str">
        <f>'Regs Q2'!V77</f>
        <v/>
      </c>
      <c r="D32" s="84"/>
      <c r="E32" s="225">
        <f t="shared" ref="E32:E35" si="103">SUM(C32:D32)</f>
        <v>0</v>
      </c>
      <c r="F32" s="72"/>
      <c r="G32" s="283" t="str">
        <f>'Regs Q2'!V54</f>
        <v/>
      </c>
      <c r="H32" s="84"/>
      <c r="I32" s="225">
        <f t="shared" ref="I32:I35" si="104">SUM(G32:H32)</f>
        <v>0</v>
      </c>
      <c r="J32" s="72"/>
      <c r="K32" s="283" t="str">
        <f>'Regs Q2'!V31</f>
        <v/>
      </c>
      <c r="L32" s="84"/>
      <c r="M32" s="225">
        <f t="shared" ref="M32:M35" si="105">SUM(K32:L32)</f>
        <v>0</v>
      </c>
      <c r="N32" s="72"/>
      <c r="O32" s="120"/>
      <c r="P32" s="83" t="str">
        <f t="shared" si="88"/>
        <v/>
      </c>
      <c r="Q32" s="245">
        <f t="shared" ref="Q32:R32" si="102">K32+G32+C32</f>
        <v>0</v>
      </c>
      <c r="R32" s="84">
        <f t="shared" si="102"/>
        <v>0</v>
      </c>
      <c r="S32" s="70">
        <f t="shared" ref="S32:S35" si="106">sum(P32:R32)</f>
        <v>0</v>
      </c>
      <c r="T32" s="86">
        <f t="shared" ref="T32:T35" si="107">N32+J32+F32</f>
        <v>0</v>
      </c>
      <c r="V32" s="130"/>
      <c r="W32" s="130"/>
      <c r="X32" s="130"/>
      <c r="Y32" s="7">
        <v>45565.0</v>
      </c>
      <c r="Z32" s="228" t="s">
        <v>56</v>
      </c>
      <c r="AD32" s="69">
        <f t="shared" ref="AD32:AD35" si="108">AB11+AC11+AI32</f>
        <v>6</v>
      </c>
      <c r="AE32" s="99" t="s">
        <v>47</v>
      </c>
      <c r="AI32" s="66">
        <f t="shared" ref="AI32:AI35" si="109">sum(AF32:AH32)</f>
        <v>0</v>
      </c>
      <c r="AJ32" s="66">
        <f t="shared" ref="AJ32:AJ35" si="110">AF11-AI32</f>
        <v>1</v>
      </c>
      <c r="AL32" s="99" t="s">
        <v>47</v>
      </c>
      <c r="AM32" s="37">
        <v>2.0</v>
      </c>
      <c r="AN32" s="37">
        <v>2.0</v>
      </c>
      <c r="AO32" s="37">
        <v>3.0</v>
      </c>
      <c r="AP32" s="66">
        <f t="shared" ref="AP32:AP35" si="111">sum(AM32:AO32)</f>
        <v>7</v>
      </c>
    </row>
    <row r="33">
      <c r="A33" s="156" t="s">
        <v>51</v>
      </c>
      <c r="B33" s="194"/>
      <c r="C33" s="48">
        <v>6.0</v>
      </c>
      <c r="D33" s="84"/>
      <c r="E33" s="70">
        <f t="shared" si="103"/>
        <v>6</v>
      </c>
      <c r="F33" s="72">
        <v>30.0</v>
      </c>
      <c r="G33" s="158">
        <v>14.0</v>
      </c>
      <c r="H33" s="84"/>
      <c r="I33" s="70">
        <f t="shared" si="104"/>
        <v>14</v>
      </c>
      <c r="J33" s="72">
        <v>19.0</v>
      </c>
      <c r="K33" s="158">
        <v>69.0</v>
      </c>
      <c r="L33" s="84">
        <v>0.0</v>
      </c>
      <c r="M33" s="70">
        <f t="shared" si="105"/>
        <v>69</v>
      </c>
      <c r="N33" s="72">
        <v>59.0</v>
      </c>
      <c r="O33" s="120"/>
      <c r="P33" s="83" t="str">
        <f t="shared" si="88"/>
        <v/>
      </c>
      <c r="Q33" s="84">
        <f t="shared" ref="Q33:Q34" si="112">K33+G33+O41+C33</f>
        <v>89</v>
      </c>
      <c r="R33" s="84">
        <f>L33+H33+D33</f>
        <v>0</v>
      </c>
      <c r="S33" s="70">
        <f t="shared" si="106"/>
        <v>89</v>
      </c>
      <c r="T33" s="86">
        <f t="shared" si="107"/>
        <v>108</v>
      </c>
      <c r="V33" s="130"/>
      <c r="W33" s="130"/>
      <c r="X33" s="130"/>
      <c r="Y33" s="7">
        <v>45565.0</v>
      </c>
      <c r="Z33" s="228" t="s">
        <v>56</v>
      </c>
      <c r="AD33" s="69">
        <f t="shared" si="108"/>
        <v>3</v>
      </c>
      <c r="AE33" s="99" t="s">
        <v>51</v>
      </c>
      <c r="AF33" s="37">
        <v>1.0</v>
      </c>
      <c r="AI33" s="66">
        <f t="shared" si="109"/>
        <v>1</v>
      </c>
      <c r="AJ33" s="66">
        <f t="shared" si="110"/>
        <v>0</v>
      </c>
      <c r="AL33" s="99" t="s">
        <v>51</v>
      </c>
      <c r="AM33" s="37">
        <v>4.0</v>
      </c>
      <c r="AN33" s="37">
        <v>1.0</v>
      </c>
      <c r="AP33" s="66">
        <f t="shared" si="111"/>
        <v>5</v>
      </c>
    </row>
    <row r="34">
      <c r="A34" s="156" t="s">
        <v>52</v>
      </c>
      <c r="B34" s="194"/>
      <c r="C34" s="260" t="str">
        <f>'Regs Q2'!V79</f>
        <v/>
      </c>
      <c r="D34" s="84"/>
      <c r="E34" s="225">
        <f t="shared" si="103"/>
        <v>0</v>
      </c>
      <c r="F34" s="72"/>
      <c r="G34" s="283" t="str">
        <f>'Regs Q2'!V56</f>
        <v/>
      </c>
      <c r="H34" s="84"/>
      <c r="I34" s="225">
        <f t="shared" si="104"/>
        <v>0</v>
      </c>
      <c r="J34" s="72"/>
      <c r="K34" s="283" t="str">
        <f>'Regs Q2'!V33</f>
        <v/>
      </c>
      <c r="L34" s="84"/>
      <c r="M34" s="225">
        <f t="shared" si="105"/>
        <v>0</v>
      </c>
      <c r="N34" s="72"/>
      <c r="O34" s="120"/>
      <c r="P34" s="83" t="str">
        <f t="shared" si="88"/>
        <v/>
      </c>
      <c r="Q34" s="245">
        <f t="shared" si="112"/>
        <v>0</v>
      </c>
      <c r="R34" s="84">
        <v>0.0</v>
      </c>
      <c r="S34" s="70">
        <f t="shared" si="106"/>
        <v>0</v>
      </c>
      <c r="T34" s="86">
        <f t="shared" si="107"/>
        <v>0</v>
      </c>
      <c r="V34" s="130"/>
      <c r="W34" s="130"/>
      <c r="X34" s="130"/>
      <c r="Y34" s="7">
        <v>45565.0</v>
      </c>
      <c r="Z34" s="228" t="s">
        <v>56</v>
      </c>
      <c r="AD34" s="69">
        <f t="shared" si="108"/>
        <v>6</v>
      </c>
      <c r="AE34" s="99" t="s">
        <v>52</v>
      </c>
      <c r="AF34" s="37">
        <v>2.0</v>
      </c>
      <c r="AG34" s="37">
        <v>1.0</v>
      </c>
      <c r="AI34" s="66">
        <f t="shared" si="109"/>
        <v>3</v>
      </c>
      <c r="AJ34" s="66">
        <f t="shared" si="110"/>
        <v>0</v>
      </c>
      <c r="AL34" s="99" t="s">
        <v>52</v>
      </c>
      <c r="AM34" s="37">
        <v>3.0</v>
      </c>
      <c r="AN34" s="37">
        <v>3.0</v>
      </c>
      <c r="AO34" s="37">
        <v>3.0</v>
      </c>
      <c r="AP34" s="66">
        <f t="shared" si="111"/>
        <v>9</v>
      </c>
    </row>
    <row r="35">
      <c r="A35" s="156" t="s">
        <v>53</v>
      </c>
      <c r="B35" s="194"/>
      <c r="C35" s="260" t="str">
        <f>'Regs Q2'!V80</f>
        <v/>
      </c>
      <c r="D35" s="84"/>
      <c r="E35" s="225">
        <f t="shared" si="103"/>
        <v>0</v>
      </c>
      <c r="F35" s="72"/>
      <c r="G35" s="283" t="str">
        <f>'Regs Q2'!V57</f>
        <v/>
      </c>
      <c r="H35" s="84"/>
      <c r="I35" s="225">
        <f t="shared" si="104"/>
        <v>0</v>
      </c>
      <c r="J35" s="72"/>
      <c r="K35" s="283" t="str">
        <f>'Regs Q2'!V34</f>
        <v/>
      </c>
      <c r="L35" s="84"/>
      <c r="M35" s="225">
        <f t="shared" si="105"/>
        <v>0</v>
      </c>
      <c r="N35" s="72"/>
      <c r="O35" s="120"/>
      <c r="P35" s="83" t="str">
        <f t="shared" si="88"/>
        <v/>
      </c>
      <c r="Q35" s="245">
        <f t="shared" ref="Q35:R35" si="113">K35+G35+C35</f>
        <v>0</v>
      </c>
      <c r="R35" s="84">
        <f t="shared" si="113"/>
        <v>0</v>
      </c>
      <c r="S35" s="70">
        <f t="shared" si="106"/>
        <v>0</v>
      </c>
      <c r="T35" s="86">
        <f t="shared" si="107"/>
        <v>0</v>
      </c>
      <c r="V35" s="130"/>
      <c r="W35" s="130"/>
      <c r="X35" s="130"/>
      <c r="Y35" s="7">
        <v>45565.0</v>
      </c>
      <c r="Z35" s="228" t="s">
        <v>56</v>
      </c>
      <c r="AD35" s="69">
        <f t="shared" si="108"/>
        <v>9</v>
      </c>
      <c r="AE35" s="99" t="s">
        <v>53</v>
      </c>
      <c r="AH35" s="37">
        <v>1.0</v>
      </c>
      <c r="AI35" s="66">
        <f t="shared" si="109"/>
        <v>1</v>
      </c>
      <c r="AJ35" s="66">
        <f t="shared" si="110"/>
        <v>0</v>
      </c>
      <c r="AL35" s="99" t="s">
        <v>53</v>
      </c>
      <c r="AM35" s="37">
        <v>4.0</v>
      </c>
      <c r="AN35" s="37">
        <v>3.0</v>
      </c>
      <c r="AO35" s="37">
        <v>6.0</v>
      </c>
      <c r="AP35" s="66">
        <f t="shared" si="111"/>
        <v>13</v>
      </c>
    </row>
    <row r="36">
      <c r="A36" s="161" t="s">
        <v>54</v>
      </c>
      <c r="B36" s="194"/>
      <c r="C36" s="100">
        <f t="shared" ref="C36:N36" si="114">sum(C32:C35)</f>
        <v>6</v>
      </c>
      <c r="D36" s="95">
        <f t="shared" si="114"/>
        <v>0</v>
      </c>
      <c r="E36" s="100">
        <f t="shared" si="114"/>
        <v>6</v>
      </c>
      <c r="F36" s="95">
        <f t="shared" si="114"/>
        <v>30</v>
      </c>
      <c r="G36" s="100">
        <f t="shared" si="114"/>
        <v>14</v>
      </c>
      <c r="H36" s="95">
        <f t="shared" si="114"/>
        <v>0</v>
      </c>
      <c r="I36" s="100">
        <f t="shared" si="114"/>
        <v>14</v>
      </c>
      <c r="J36" s="95">
        <f t="shared" si="114"/>
        <v>19</v>
      </c>
      <c r="K36" s="100">
        <f t="shared" si="114"/>
        <v>69</v>
      </c>
      <c r="L36" s="95">
        <f t="shared" si="114"/>
        <v>0</v>
      </c>
      <c r="M36" s="100">
        <f t="shared" si="114"/>
        <v>69</v>
      </c>
      <c r="N36" s="95">
        <f t="shared" si="114"/>
        <v>59</v>
      </c>
      <c r="O36" s="120"/>
      <c r="P36" s="83" t="str">
        <f t="shared" si="88"/>
        <v/>
      </c>
      <c r="Q36" s="100">
        <f t="shared" ref="Q36:T36" si="115">sum(Q32:Q35)</f>
        <v>89</v>
      </c>
      <c r="R36" s="95">
        <f t="shared" si="115"/>
        <v>0</v>
      </c>
      <c r="S36" s="95">
        <f t="shared" si="115"/>
        <v>89</v>
      </c>
      <c r="T36" s="115">
        <f t="shared" si="115"/>
        <v>108</v>
      </c>
      <c r="Z36" s="240"/>
      <c r="AE36" s="228" t="s">
        <v>54</v>
      </c>
      <c r="AF36" s="131">
        <f t="shared" ref="AF36:AJ36" si="116">sum(AF32:AF35)</f>
        <v>3</v>
      </c>
      <c r="AG36" s="131">
        <f t="shared" si="116"/>
        <v>1</v>
      </c>
      <c r="AH36" s="131">
        <f t="shared" si="116"/>
        <v>1</v>
      </c>
      <c r="AI36" s="131">
        <f t="shared" si="116"/>
        <v>5</v>
      </c>
      <c r="AJ36" s="131">
        <f t="shared" si="116"/>
        <v>1</v>
      </c>
      <c r="AL36" s="228" t="s">
        <v>54</v>
      </c>
      <c r="AM36" s="131">
        <f t="shared" ref="AM36:AP36" si="117">sum(AM32:AM35)</f>
        <v>13</v>
      </c>
      <c r="AN36" s="131">
        <f t="shared" si="117"/>
        <v>9</v>
      </c>
      <c r="AO36" s="131">
        <f t="shared" si="117"/>
        <v>12</v>
      </c>
      <c r="AP36" s="131">
        <f t="shared" si="117"/>
        <v>34</v>
      </c>
    </row>
    <row r="37">
      <c r="A37" s="156" t="s">
        <v>55</v>
      </c>
      <c r="B37" s="194"/>
      <c r="C37" s="48">
        <v>52.0</v>
      </c>
      <c r="D37" s="84"/>
      <c r="E37" s="70">
        <f t="shared" ref="E37:E39" si="119">SUM(C37:D37)</f>
        <v>52</v>
      </c>
      <c r="F37" s="72">
        <v>50.0</v>
      </c>
      <c r="G37" s="158">
        <f>100</f>
        <v>100</v>
      </c>
      <c r="H37" s="84"/>
      <c r="I37" s="70">
        <f t="shared" ref="I37:I39" si="120">SUM(G37:H37)</f>
        <v>100</v>
      </c>
      <c r="J37" s="72">
        <v>28.0</v>
      </c>
      <c r="K37" s="158">
        <v>79.0</v>
      </c>
      <c r="L37" s="84">
        <v>0.0</v>
      </c>
      <c r="M37" s="70">
        <f t="shared" ref="M37:M39" si="121">SUM(K37:L37)</f>
        <v>79</v>
      </c>
      <c r="N37" s="72">
        <v>86.0</v>
      </c>
      <c r="O37" s="120"/>
      <c r="P37" s="83" t="str">
        <f t="shared" si="88"/>
        <v/>
      </c>
      <c r="Q37" s="84">
        <f t="shared" ref="Q37:R37" si="118">K37+G37+C37</f>
        <v>231</v>
      </c>
      <c r="R37" s="84">
        <f t="shared" si="118"/>
        <v>0</v>
      </c>
      <c r="S37" s="70">
        <f t="shared" ref="S37:S39" si="123">sum(P37:R37)</f>
        <v>231</v>
      </c>
      <c r="T37" s="86">
        <f t="shared" ref="T37:T39" si="124">N37+J37+F37</f>
        <v>164</v>
      </c>
      <c r="V37" s="130"/>
      <c r="W37" s="130"/>
      <c r="X37" s="130"/>
      <c r="Y37" s="7">
        <v>45565.0</v>
      </c>
      <c r="Z37" s="228" t="s">
        <v>81</v>
      </c>
      <c r="AD37" s="69">
        <f t="shared" ref="AD37:AD39" si="125">AB16+AC16+AI37</f>
        <v>3</v>
      </c>
      <c r="AE37" s="99" t="s">
        <v>55</v>
      </c>
      <c r="AI37" s="66">
        <f t="shared" ref="AI37:AI39" si="126">sum(AF37:AH37)</f>
        <v>0</v>
      </c>
      <c r="AJ37" s="66">
        <f t="shared" ref="AJ37:AJ39" si="127">AF16-AI37</f>
        <v>0</v>
      </c>
      <c r="AL37" s="99" t="s">
        <v>55</v>
      </c>
      <c r="AM37" s="37">
        <v>2.0</v>
      </c>
      <c r="AN37" s="37">
        <v>3.0</v>
      </c>
      <c r="AO37" s="37">
        <v>3.0</v>
      </c>
      <c r="AP37" s="66">
        <f t="shared" ref="AP37:AP39" si="128">sum(AM37:AO37)</f>
        <v>8</v>
      </c>
    </row>
    <row r="38">
      <c r="A38" s="156" t="s">
        <v>57</v>
      </c>
      <c r="B38" s="194"/>
      <c r="C38" s="260" t="str">
        <f>'Regs Q2'!V83</f>
        <v/>
      </c>
      <c r="D38" s="84"/>
      <c r="E38" s="225">
        <f t="shared" si="119"/>
        <v>0</v>
      </c>
      <c r="F38" s="72"/>
      <c r="G38" s="158"/>
      <c r="H38" s="84"/>
      <c r="I38" s="70">
        <f t="shared" si="120"/>
        <v>0</v>
      </c>
      <c r="J38" s="72"/>
      <c r="K38" s="158">
        <v>0.0</v>
      </c>
      <c r="L38" s="84">
        <v>0.0</v>
      </c>
      <c r="M38" s="70">
        <f t="shared" si="121"/>
        <v>0</v>
      </c>
      <c r="N38" s="72"/>
      <c r="O38" s="120"/>
      <c r="P38" s="83" t="str">
        <f t="shared" si="88"/>
        <v/>
      </c>
      <c r="Q38" s="245">
        <f t="shared" ref="Q38:R38" si="122">K38+G38+C38</f>
        <v>0</v>
      </c>
      <c r="R38" s="84">
        <f t="shared" si="122"/>
        <v>0</v>
      </c>
      <c r="S38" s="70">
        <f t="shared" si="123"/>
        <v>0</v>
      </c>
      <c r="T38" s="86">
        <f t="shared" si="124"/>
        <v>0</v>
      </c>
      <c r="V38" s="130"/>
      <c r="W38" s="130"/>
      <c r="X38" s="130"/>
      <c r="Y38" s="7">
        <v>45565.0</v>
      </c>
      <c r="Z38" s="228" t="s">
        <v>81</v>
      </c>
      <c r="AD38" s="69">
        <f t="shared" si="125"/>
        <v>6</v>
      </c>
      <c r="AE38" s="99" t="s">
        <v>57</v>
      </c>
      <c r="AH38" s="37">
        <v>2.0</v>
      </c>
      <c r="AI38" s="66">
        <f t="shared" si="126"/>
        <v>2</v>
      </c>
      <c r="AJ38" s="66">
        <f t="shared" si="127"/>
        <v>0</v>
      </c>
      <c r="AL38" s="99" t="s">
        <v>57</v>
      </c>
      <c r="AM38" s="37">
        <v>1.0</v>
      </c>
      <c r="AN38" s="37">
        <v>1.0</v>
      </c>
      <c r="AO38" s="37">
        <v>5.0</v>
      </c>
      <c r="AP38" s="66">
        <f t="shared" si="128"/>
        <v>7</v>
      </c>
    </row>
    <row r="39">
      <c r="A39" s="156" t="s">
        <v>58</v>
      </c>
      <c r="B39" s="194"/>
      <c r="C39" s="260" t="str">
        <f>'Regs Q2'!V84</f>
        <v/>
      </c>
      <c r="D39" s="84"/>
      <c r="E39" s="225">
        <f t="shared" si="119"/>
        <v>0</v>
      </c>
      <c r="F39" s="72"/>
      <c r="G39" s="158"/>
      <c r="H39" s="84"/>
      <c r="I39" s="70">
        <f t="shared" si="120"/>
        <v>0</v>
      </c>
      <c r="J39" s="72"/>
      <c r="K39" s="283" t="str">
        <f>'Regs Q2'!V38</f>
        <v/>
      </c>
      <c r="L39" s="84"/>
      <c r="M39" s="225">
        <f t="shared" si="121"/>
        <v>0</v>
      </c>
      <c r="N39" s="72"/>
      <c r="O39" s="120"/>
      <c r="P39" s="83" t="str">
        <f t="shared" si="88"/>
        <v/>
      </c>
      <c r="Q39" s="245">
        <f t="shared" ref="Q39:R39" si="129">K39+G39+C39</f>
        <v>0</v>
      </c>
      <c r="R39" s="84">
        <f t="shared" si="129"/>
        <v>0</v>
      </c>
      <c r="S39" s="70">
        <f t="shared" si="123"/>
        <v>0</v>
      </c>
      <c r="T39" s="86">
        <f t="shared" si="124"/>
        <v>0</v>
      </c>
      <c r="V39" s="130"/>
      <c r="W39" s="130"/>
      <c r="X39" s="130"/>
      <c r="Y39" s="7">
        <v>45565.0</v>
      </c>
      <c r="Z39" s="228" t="s">
        <v>81</v>
      </c>
      <c r="AD39" s="69">
        <f t="shared" si="125"/>
        <v>2</v>
      </c>
      <c r="AE39" s="99" t="s">
        <v>58</v>
      </c>
      <c r="AI39" s="66">
        <f t="shared" si="126"/>
        <v>0</v>
      </c>
      <c r="AJ39" s="66">
        <f t="shared" si="127"/>
        <v>0</v>
      </c>
      <c r="AL39" s="99" t="s">
        <v>58</v>
      </c>
      <c r="AP39" s="66">
        <f t="shared" si="128"/>
        <v>0</v>
      </c>
    </row>
    <row r="40">
      <c r="A40" s="161" t="s">
        <v>59</v>
      </c>
      <c r="B40" s="194"/>
      <c r="C40" s="95">
        <f t="shared" ref="C40:N40" si="130">sum(C37:C39)</f>
        <v>52</v>
      </c>
      <c r="D40" s="95">
        <f t="shared" si="130"/>
        <v>0</v>
      </c>
      <c r="E40" s="95">
        <f t="shared" si="130"/>
        <v>52</v>
      </c>
      <c r="F40" s="95">
        <f t="shared" si="130"/>
        <v>50</v>
      </c>
      <c r="G40" s="95">
        <f t="shared" si="130"/>
        <v>100</v>
      </c>
      <c r="H40" s="95">
        <f t="shared" si="130"/>
        <v>0</v>
      </c>
      <c r="I40" s="95">
        <f t="shared" si="130"/>
        <v>100</v>
      </c>
      <c r="J40" s="95">
        <f t="shared" si="130"/>
        <v>28</v>
      </c>
      <c r="K40" s="95">
        <f t="shared" si="130"/>
        <v>79</v>
      </c>
      <c r="L40" s="95">
        <f t="shared" si="130"/>
        <v>0</v>
      </c>
      <c r="M40" s="95">
        <f t="shared" si="130"/>
        <v>79</v>
      </c>
      <c r="N40" s="95">
        <f t="shared" si="130"/>
        <v>86</v>
      </c>
      <c r="O40" s="120"/>
      <c r="P40" s="83" t="str">
        <f t="shared" si="88"/>
        <v/>
      </c>
      <c r="Q40" s="95">
        <f t="shared" ref="Q40:T40" si="131">sum(Q37:Q39)</f>
        <v>231</v>
      </c>
      <c r="R40" s="95">
        <f t="shared" si="131"/>
        <v>0</v>
      </c>
      <c r="S40" s="95">
        <f t="shared" si="131"/>
        <v>231</v>
      </c>
      <c r="T40" s="115">
        <f t="shared" si="131"/>
        <v>164</v>
      </c>
      <c r="W40" s="288"/>
      <c r="AE40" s="228" t="s">
        <v>59</v>
      </c>
      <c r="AF40" s="131">
        <f t="shared" ref="AF40:AJ40" si="132">sum(AF37:AF39)</f>
        <v>0</v>
      </c>
      <c r="AG40" s="131">
        <f t="shared" si="132"/>
        <v>0</v>
      </c>
      <c r="AH40" s="131">
        <f t="shared" si="132"/>
        <v>2</v>
      </c>
      <c r="AI40" s="131">
        <f t="shared" si="132"/>
        <v>2</v>
      </c>
      <c r="AJ40" s="131">
        <f t="shared" si="132"/>
        <v>0</v>
      </c>
      <c r="AL40" s="228" t="s">
        <v>59</v>
      </c>
      <c r="AM40" s="131">
        <f t="shared" ref="AM40:AP40" si="133">sum(AM37:AM39)</f>
        <v>3</v>
      </c>
      <c r="AN40" s="131">
        <f t="shared" si="133"/>
        <v>4</v>
      </c>
      <c r="AO40" s="131">
        <f t="shared" si="133"/>
        <v>8</v>
      </c>
      <c r="AP40" s="131">
        <f t="shared" si="133"/>
        <v>15</v>
      </c>
    </row>
    <row r="41">
      <c r="A41" s="161"/>
      <c r="B41" s="194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83" t="str">
        <f t="shared" si="88"/>
        <v/>
      </c>
      <c r="Q41" s="120"/>
      <c r="R41" s="120"/>
      <c r="S41" s="120"/>
      <c r="T41" s="137"/>
      <c r="AE41" s="240"/>
      <c r="AL41" s="240"/>
    </row>
    <row r="42">
      <c r="A42" s="39"/>
      <c r="B42" s="36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37"/>
      <c r="AE42" s="36"/>
      <c r="AL42" s="36"/>
    </row>
    <row r="43">
      <c r="A43" s="165" t="s">
        <v>13</v>
      </c>
      <c r="B43" s="212"/>
      <c r="C43" s="123">
        <f t="shared" ref="C43:N43" si="134">C40+C36+C31</f>
        <v>186</v>
      </c>
      <c r="D43" s="123">
        <f t="shared" si="134"/>
        <v>0</v>
      </c>
      <c r="E43" s="123">
        <f t="shared" si="134"/>
        <v>186</v>
      </c>
      <c r="F43" s="123">
        <f t="shared" si="134"/>
        <v>214</v>
      </c>
      <c r="G43" s="123">
        <f t="shared" si="134"/>
        <v>213</v>
      </c>
      <c r="H43" s="123">
        <f t="shared" si="134"/>
        <v>0</v>
      </c>
      <c r="I43" s="123">
        <f t="shared" si="134"/>
        <v>213</v>
      </c>
      <c r="J43" s="123">
        <f t="shared" si="134"/>
        <v>129</v>
      </c>
      <c r="K43" s="123">
        <f t="shared" si="134"/>
        <v>481</v>
      </c>
      <c r="L43" s="123">
        <f t="shared" si="134"/>
        <v>0</v>
      </c>
      <c r="M43" s="123">
        <f t="shared" si="134"/>
        <v>481</v>
      </c>
      <c r="N43" s="123">
        <f t="shared" si="134"/>
        <v>470</v>
      </c>
      <c r="O43" s="166"/>
      <c r="P43" s="166"/>
      <c r="Q43" s="123">
        <f t="shared" ref="Q43:T43" si="135">Q40+Q36+Q31</f>
        <v>880</v>
      </c>
      <c r="R43" s="123">
        <f t="shared" si="135"/>
        <v>0</v>
      </c>
      <c r="S43" s="123">
        <f t="shared" si="135"/>
        <v>880</v>
      </c>
      <c r="T43" s="125">
        <f t="shared" si="135"/>
        <v>813</v>
      </c>
      <c r="AE43" s="228" t="s">
        <v>13</v>
      </c>
      <c r="AF43" s="66">
        <f t="shared" ref="AF43:AJ43" si="136">AF40+AF36+AF31</f>
        <v>5</v>
      </c>
      <c r="AG43" s="66">
        <f t="shared" si="136"/>
        <v>2</v>
      </c>
      <c r="AH43" s="66">
        <f t="shared" si="136"/>
        <v>7</v>
      </c>
      <c r="AI43" s="66">
        <f t="shared" si="136"/>
        <v>14</v>
      </c>
      <c r="AJ43" s="66">
        <f t="shared" si="136"/>
        <v>2</v>
      </c>
      <c r="AL43" s="228" t="s">
        <v>13</v>
      </c>
      <c r="AM43" s="66">
        <f t="shared" ref="AM43:AP43" si="137">AM40+AM36+AM31</f>
        <v>33</v>
      </c>
      <c r="AN43" s="66">
        <f t="shared" si="137"/>
        <v>24</v>
      </c>
      <c r="AO43" s="66">
        <f t="shared" si="137"/>
        <v>47</v>
      </c>
      <c r="AP43" s="66">
        <f t="shared" si="137"/>
        <v>104</v>
      </c>
    </row>
    <row r="44">
      <c r="AF44" s="37" t="s">
        <v>173</v>
      </c>
      <c r="AI44" s="270">
        <f>AI43+AB22+AC22</f>
        <v>61</v>
      </c>
      <c r="AM44" s="37" t="s">
        <v>175</v>
      </c>
      <c r="AP44" s="23">
        <f>AP43</f>
        <v>104</v>
      </c>
    </row>
    <row r="45">
      <c r="A45" s="37" t="s">
        <v>176</v>
      </c>
      <c r="C45" s="69">
        <f>C43+C22+D22</f>
        <v>562</v>
      </c>
      <c r="G45" s="69">
        <f>G43+G22+H22</f>
        <v>381</v>
      </c>
      <c r="K45" s="69">
        <f>K43+K22+L22</f>
        <v>1254</v>
      </c>
    </row>
    <row r="46">
      <c r="A46" s="316" t="s">
        <v>177</v>
      </c>
      <c r="C46" s="37">
        <v>562.0</v>
      </c>
      <c r="G46" s="37">
        <v>381.0</v>
      </c>
      <c r="AE46" s="23" t="s">
        <v>169</v>
      </c>
      <c r="AF46" s="23" t="s">
        <v>120</v>
      </c>
      <c r="AG46" s="23" t="s">
        <v>160</v>
      </c>
      <c r="AH46" s="23" t="s">
        <v>80</v>
      </c>
      <c r="AI46" s="23" t="s">
        <v>13</v>
      </c>
      <c r="AL46" s="23" t="s">
        <v>172</v>
      </c>
      <c r="AM46" s="23" t="s">
        <v>120</v>
      </c>
      <c r="AN46" s="23" t="s">
        <v>160</v>
      </c>
      <c r="AO46" s="23" t="s">
        <v>80</v>
      </c>
      <c r="AP46" s="23" t="s">
        <v>13</v>
      </c>
    </row>
    <row r="47">
      <c r="AE47" s="99" t="s">
        <v>22</v>
      </c>
      <c r="AF47" s="37">
        <v>5.0</v>
      </c>
      <c r="AG47" s="37">
        <v>1.0</v>
      </c>
      <c r="AI47" s="66">
        <f t="shared" ref="AI47:AI50" si="138">sum(AF47:AH47)</f>
        <v>6</v>
      </c>
      <c r="AL47" s="99" t="s">
        <v>22</v>
      </c>
      <c r="AM47" s="37">
        <v>21.0</v>
      </c>
      <c r="AN47" s="37">
        <v>4.0</v>
      </c>
      <c r="AP47" s="66">
        <f t="shared" ref="AP47:AP50" si="139">sum(AM47:AO47)</f>
        <v>25</v>
      </c>
    </row>
    <row r="48">
      <c r="A48" s="37" t="s">
        <v>178</v>
      </c>
      <c r="C48" s="270">
        <f>C45-C46</f>
        <v>0</v>
      </c>
      <c r="G48" s="270">
        <f>G45-G46</f>
        <v>0</v>
      </c>
      <c r="AE48" s="99" t="s">
        <v>36</v>
      </c>
      <c r="AF48" s="37">
        <v>3.0</v>
      </c>
      <c r="AI48" s="66">
        <f t="shared" si="138"/>
        <v>3</v>
      </c>
      <c r="AL48" s="99" t="s">
        <v>36</v>
      </c>
      <c r="AM48" s="37">
        <v>30.0</v>
      </c>
      <c r="AN48" s="37">
        <v>5.0</v>
      </c>
      <c r="AP48" s="66">
        <f t="shared" si="139"/>
        <v>35</v>
      </c>
    </row>
    <row r="49">
      <c r="AE49" s="99" t="s">
        <v>40</v>
      </c>
      <c r="AF49" s="37">
        <v>8.0</v>
      </c>
      <c r="AI49" s="66">
        <f t="shared" si="138"/>
        <v>8</v>
      </c>
      <c r="AL49" s="99" t="s">
        <v>40</v>
      </c>
      <c r="AM49" s="37">
        <v>18.0</v>
      </c>
      <c r="AN49" s="37">
        <v>4.0</v>
      </c>
      <c r="AP49" s="66">
        <f t="shared" si="139"/>
        <v>22</v>
      </c>
    </row>
    <row r="50">
      <c r="AE50" s="99" t="s">
        <v>41</v>
      </c>
      <c r="AF50" s="37">
        <v>1.0</v>
      </c>
      <c r="AG50" s="37">
        <v>1.0</v>
      </c>
      <c r="AI50" s="66">
        <f t="shared" si="138"/>
        <v>2</v>
      </c>
      <c r="AL50" s="99" t="s">
        <v>41</v>
      </c>
      <c r="AM50" s="37">
        <v>19.0</v>
      </c>
      <c r="AN50" s="37">
        <v>7.0</v>
      </c>
      <c r="AP50" s="66">
        <f t="shared" si="139"/>
        <v>26</v>
      </c>
    </row>
    <row r="51">
      <c r="AE51" s="228" t="s">
        <v>44</v>
      </c>
      <c r="AF51" s="131">
        <f t="shared" ref="AF51:AI51" si="140">sum(AF47:AF50)</f>
        <v>17</v>
      </c>
      <c r="AG51" s="131">
        <f t="shared" si="140"/>
        <v>2</v>
      </c>
      <c r="AH51" s="131">
        <f t="shared" si="140"/>
        <v>0</v>
      </c>
      <c r="AI51" s="131">
        <f t="shared" si="140"/>
        <v>19</v>
      </c>
      <c r="AL51" s="228" t="s">
        <v>44</v>
      </c>
      <c r="AM51" s="131">
        <f t="shared" ref="AM51:AP51" si="141">sum(AM47:AM50)</f>
        <v>88</v>
      </c>
      <c r="AN51" s="131">
        <f t="shared" si="141"/>
        <v>20</v>
      </c>
      <c r="AO51" s="131">
        <f t="shared" si="141"/>
        <v>0</v>
      </c>
      <c r="AP51" s="131">
        <f t="shared" si="141"/>
        <v>108</v>
      </c>
    </row>
    <row r="52">
      <c r="AE52" s="99" t="s">
        <v>47</v>
      </c>
      <c r="AF52" s="37">
        <v>6.0</v>
      </c>
      <c r="AI52" s="66">
        <f t="shared" ref="AI52:AI55" si="142">sum(AF52:AH52)</f>
        <v>6</v>
      </c>
      <c r="AL52" s="99" t="s">
        <v>47</v>
      </c>
      <c r="AM52" s="37">
        <v>15.0</v>
      </c>
      <c r="AN52" s="37">
        <v>2.0</v>
      </c>
      <c r="AP52" s="66">
        <f t="shared" ref="AP52:AP55" si="143">sum(AM52:AO52)</f>
        <v>17</v>
      </c>
    </row>
    <row r="53">
      <c r="AE53" s="99" t="s">
        <v>51</v>
      </c>
      <c r="AF53" s="37">
        <v>2.0</v>
      </c>
      <c r="AI53" s="66">
        <f t="shared" si="142"/>
        <v>2</v>
      </c>
      <c r="AL53" s="99" t="s">
        <v>51</v>
      </c>
      <c r="AM53" s="37">
        <v>12.0</v>
      </c>
      <c r="AN53" s="37">
        <v>6.0</v>
      </c>
      <c r="AP53" s="66">
        <f t="shared" si="143"/>
        <v>18</v>
      </c>
    </row>
    <row r="54">
      <c r="AE54" s="99" t="s">
        <v>52</v>
      </c>
      <c r="AF54" s="37">
        <v>2.0</v>
      </c>
      <c r="AG54" s="37">
        <v>1.0</v>
      </c>
      <c r="AI54" s="66">
        <f t="shared" si="142"/>
        <v>3</v>
      </c>
      <c r="AL54" s="99" t="s">
        <v>52</v>
      </c>
      <c r="AM54" s="37">
        <v>16.0</v>
      </c>
      <c r="AN54" s="37">
        <v>4.0</v>
      </c>
      <c r="AP54" s="66">
        <f t="shared" si="143"/>
        <v>20</v>
      </c>
    </row>
    <row r="55">
      <c r="AE55" s="99" t="s">
        <v>53</v>
      </c>
      <c r="AF55" s="37">
        <v>7.0</v>
      </c>
      <c r="AG55" s="37">
        <v>1.0</v>
      </c>
      <c r="AI55" s="66">
        <f t="shared" si="142"/>
        <v>8</v>
      </c>
      <c r="AL55" s="99" t="s">
        <v>53</v>
      </c>
      <c r="AM55" s="37">
        <v>30.0</v>
      </c>
      <c r="AN55" s="37">
        <v>5.0</v>
      </c>
      <c r="AP55" s="66">
        <f t="shared" si="143"/>
        <v>35</v>
      </c>
    </row>
    <row r="56">
      <c r="AE56" s="228" t="s">
        <v>54</v>
      </c>
      <c r="AF56" s="131">
        <f t="shared" ref="AF56:AI56" si="144">sum(AF52:AF55)</f>
        <v>17</v>
      </c>
      <c r="AG56" s="131">
        <f t="shared" si="144"/>
        <v>2</v>
      </c>
      <c r="AH56" s="131">
        <f t="shared" si="144"/>
        <v>0</v>
      </c>
      <c r="AI56" s="131">
        <f t="shared" si="144"/>
        <v>19</v>
      </c>
      <c r="AL56" s="228" t="s">
        <v>54</v>
      </c>
      <c r="AM56" s="131">
        <f t="shared" ref="AM56:AP56" si="145">sum(AM52:AM55)</f>
        <v>73</v>
      </c>
      <c r="AN56" s="131">
        <f t="shared" si="145"/>
        <v>17</v>
      </c>
      <c r="AO56" s="131">
        <f t="shared" si="145"/>
        <v>0</v>
      </c>
      <c r="AP56" s="131">
        <f t="shared" si="145"/>
        <v>90</v>
      </c>
    </row>
    <row r="57">
      <c r="AE57" s="99" t="s">
        <v>55</v>
      </c>
      <c r="AF57" s="37">
        <v>3.0</v>
      </c>
      <c r="AI57" s="66">
        <f t="shared" ref="AI57:AI59" si="146">sum(AF57:AH57)</f>
        <v>3</v>
      </c>
      <c r="AL57" s="99" t="s">
        <v>55</v>
      </c>
      <c r="AM57" s="37">
        <v>20.0</v>
      </c>
      <c r="AN57" s="37">
        <v>9.0</v>
      </c>
      <c r="AP57" s="66">
        <f t="shared" ref="AP57:AP59" si="147">sum(AM57:AO57)</f>
        <v>29</v>
      </c>
    </row>
    <row r="58">
      <c r="AE58" s="99" t="s">
        <v>57</v>
      </c>
      <c r="AF58" s="37">
        <v>4.0</v>
      </c>
      <c r="AI58" s="66">
        <f t="shared" si="146"/>
        <v>4</v>
      </c>
      <c r="AL58" s="99" t="s">
        <v>57</v>
      </c>
      <c r="AM58" s="37">
        <v>21.0</v>
      </c>
      <c r="AN58" s="37">
        <v>3.0</v>
      </c>
      <c r="AP58" s="66">
        <f t="shared" si="147"/>
        <v>24</v>
      </c>
    </row>
    <row r="59">
      <c r="AE59" s="99" t="s">
        <v>58</v>
      </c>
      <c r="AF59" s="37">
        <v>1.0</v>
      </c>
      <c r="AG59" s="37">
        <v>1.0</v>
      </c>
      <c r="AI59" s="66">
        <f t="shared" si="146"/>
        <v>2</v>
      </c>
      <c r="AL59" s="99" t="s">
        <v>58</v>
      </c>
      <c r="AM59" s="37">
        <v>5.0</v>
      </c>
      <c r="AN59" s="37">
        <v>1.0</v>
      </c>
      <c r="AP59" s="66">
        <f t="shared" si="147"/>
        <v>6</v>
      </c>
    </row>
    <row r="60">
      <c r="AE60" s="228" t="s">
        <v>59</v>
      </c>
      <c r="AF60" s="131">
        <f t="shared" ref="AF60:AI60" si="148">sum(AF57:AF59)</f>
        <v>8</v>
      </c>
      <c r="AG60" s="131">
        <f t="shared" si="148"/>
        <v>1</v>
      </c>
      <c r="AH60" s="131">
        <f t="shared" si="148"/>
        <v>0</v>
      </c>
      <c r="AI60" s="131">
        <f t="shared" si="148"/>
        <v>9</v>
      </c>
      <c r="AL60" s="228" t="s">
        <v>59</v>
      </c>
      <c r="AM60" s="131">
        <f t="shared" ref="AM60:AP60" si="149">sum(AM57:AM59)</f>
        <v>46</v>
      </c>
      <c r="AN60" s="131">
        <f t="shared" si="149"/>
        <v>13</v>
      </c>
      <c r="AO60" s="131">
        <f t="shared" si="149"/>
        <v>0</v>
      </c>
      <c r="AP60" s="131">
        <f t="shared" si="149"/>
        <v>59</v>
      </c>
    </row>
    <row r="61">
      <c r="AE61" s="240"/>
      <c r="AL61" s="240"/>
    </row>
    <row r="62">
      <c r="AE62" s="36"/>
      <c r="AL62" s="36"/>
    </row>
    <row r="63">
      <c r="AE63" s="228" t="s">
        <v>13</v>
      </c>
      <c r="AF63" s="66">
        <f t="shared" ref="AF63:AI63" si="150">AF60+AF56+AF51</f>
        <v>42</v>
      </c>
      <c r="AG63" s="66">
        <f t="shared" si="150"/>
        <v>5</v>
      </c>
      <c r="AH63" s="66">
        <f t="shared" si="150"/>
        <v>0</v>
      </c>
      <c r="AI63" s="66">
        <f t="shared" si="150"/>
        <v>47</v>
      </c>
      <c r="AL63" s="228" t="s">
        <v>13</v>
      </c>
      <c r="AM63" s="66">
        <f t="shared" ref="AM63:AP63" si="151">AM60+AM56+AM51</f>
        <v>207</v>
      </c>
      <c r="AN63" s="66">
        <f t="shared" si="151"/>
        <v>50</v>
      </c>
      <c r="AO63" s="66">
        <f t="shared" si="151"/>
        <v>0</v>
      </c>
      <c r="AP63" s="66">
        <f t="shared" si="151"/>
        <v>257</v>
      </c>
    </row>
    <row r="65">
      <c r="AI65" s="131">
        <f>AI63+AI43</f>
        <v>61</v>
      </c>
    </row>
  </sheetData>
  <mergeCells count="15">
    <mergeCell ref="AF4:AH4"/>
    <mergeCell ref="AI4:AK4"/>
    <mergeCell ref="A24:T24"/>
    <mergeCell ref="C25:F25"/>
    <mergeCell ref="G25:J25"/>
    <mergeCell ref="K25:N25"/>
    <mergeCell ref="Q25:T25"/>
    <mergeCell ref="A3:T3"/>
    <mergeCell ref="AA3:AP3"/>
    <mergeCell ref="C4:F4"/>
    <mergeCell ref="G4:J4"/>
    <mergeCell ref="K4:N4"/>
    <mergeCell ref="Q4:T4"/>
    <mergeCell ref="AC4:AE4"/>
    <mergeCell ref="AN4:AP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7.13"/>
    <col customWidth="1" min="3" max="3" width="9.0"/>
    <col customWidth="1" min="4" max="4" width="8.88"/>
    <col customWidth="1" min="5" max="6" width="7.13"/>
    <col customWidth="1" min="7" max="7" width="9.5"/>
    <col customWidth="1" min="8" max="8" width="10.38"/>
    <col customWidth="1" min="9" max="10" width="7.13"/>
    <col customWidth="1" min="11" max="11" width="9.38"/>
    <col customWidth="1" min="12" max="12" width="9.75"/>
    <col customWidth="1" min="13" max="16" width="7.13"/>
    <col customWidth="1" min="17" max="17" width="10.13"/>
    <col customWidth="1" min="18" max="18" width="9.0"/>
    <col customWidth="1" min="19" max="21" width="7.13"/>
    <col customWidth="1" min="26" max="41" width="8.75"/>
  </cols>
  <sheetData>
    <row r="1">
      <c r="A1" s="37" t="s">
        <v>69</v>
      </c>
    </row>
    <row r="3">
      <c r="A3" s="196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2"/>
      <c r="U3" s="237"/>
      <c r="V3" s="18"/>
      <c r="W3" s="18" t="s">
        <v>2</v>
      </c>
      <c r="X3" s="160" t="s">
        <v>3</v>
      </c>
      <c r="Y3" s="196" t="s">
        <v>108</v>
      </c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2"/>
      <c r="AO3" s="237"/>
      <c r="AP3" s="18" t="s">
        <v>2</v>
      </c>
      <c r="AQ3" s="160" t="s">
        <v>3</v>
      </c>
    </row>
    <row r="4">
      <c r="A4" s="39"/>
      <c r="B4" s="194"/>
      <c r="C4" s="163" t="s">
        <v>157</v>
      </c>
      <c r="D4" s="30"/>
      <c r="E4" s="30"/>
      <c r="F4" s="30"/>
      <c r="G4" s="164" t="s">
        <v>158</v>
      </c>
      <c r="H4" s="30"/>
      <c r="I4" s="30"/>
      <c r="J4" s="30"/>
      <c r="K4" s="164" t="s">
        <v>159</v>
      </c>
      <c r="L4" s="30"/>
      <c r="M4" s="30"/>
      <c r="N4" s="30"/>
      <c r="O4" s="36"/>
      <c r="P4" s="178"/>
      <c r="Q4" s="164" t="s">
        <v>13</v>
      </c>
      <c r="R4" s="30"/>
      <c r="S4" s="30"/>
      <c r="T4" s="42"/>
      <c r="U4" s="44"/>
      <c r="X4" s="36"/>
      <c r="Y4" s="39"/>
      <c r="Z4" s="194"/>
      <c r="AA4" s="163" t="s">
        <v>160</v>
      </c>
      <c r="AB4" s="30"/>
      <c r="AC4" s="30"/>
      <c r="AD4" s="164" t="s">
        <v>80</v>
      </c>
      <c r="AE4" s="30"/>
      <c r="AF4" s="30"/>
      <c r="AG4" s="164" t="s">
        <v>77</v>
      </c>
      <c r="AH4" s="30"/>
      <c r="AI4" s="30"/>
      <c r="AJ4" s="36"/>
      <c r="AK4" s="178"/>
      <c r="AL4" s="164" t="s">
        <v>13</v>
      </c>
      <c r="AM4" s="30"/>
      <c r="AN4" s="42"/>
      <c r="AO4" s="44"/>
    </row>
    <row r="5">
      <c r="A5" s="43"/>
      <c r="B5" s="179" t="s">
        <v>12</v>
      </c>
      <c r="C5" s="179" t="s">
        <v>24</v>
      </c>
      <c r="D5" s="179" t="s">
        <v>25</v>
      </c>
      <c r="E5" s="179" t="s">
        <v>26</v>
      </c>
      <c r="F5" s="179" t="s">
        <v>27</v>
      </c>
      <c r="G5" s="179" t="s">
        <v>24</v>
      </c>
      <c r="H5" s="179" t="s">
        <v>25</v>
      </c>
      <c r="I5" s="179" t="s">
        <v>26</v>
      </c>
      <c r="J5" s="179" t="s">
        <v>27</v>
      </c>
      <c r="K5" s="179" t="s">
        <v>24</v>
      </c>
      <c r="L5" s="179" t="s">
        <v>25</v>
      </c>
      <c r="M5" s="179" t="s">
        <v>26</v>
      </c>
      <c r="N5" s="179" t="s">
        <v>27</v>
      </c>
      <c r="O5" s="211"/>
      <c r="P5" s="179" t="s">
        <v>12</v>
      </c>
      <c r="Q5" s="179" t="s">
        <v>24</v>
      </c>
      <c r="R5" s="179" t="s">
        <v>25</v>
      </c>
      <c r="S5" s="179" t="s">
        <v>26</v>
      </c>
      <c r="T5" s="181" t="s">
        <v>27</v>
      </c>
      <c r="U5" s="241" t="s">
        <v>31</v>
      </c>
      <c r="X5" s="240"/>
      <c r="Y5" s="43"/>
      <c r="Z5" s="179" t="s">
        <v>12</v>
      </c>
      <c r="AA5" s="179" t="s">
        <v>118</v>
      </c>
      <c r="AB5" s="179" t="s">
        <v>26</v>
      </c>
      <c r="AC5" s="179" t="s">
        <v>27</v>
      </c>
      <c r="AD5" s="179" t="s">
        <v>118</v>
      </c>
      <c r="AE5" s="179" t="s">
        <v>26</v>
      </c>
      <c r="AF5" s="179" t="s">
        <v>27</v>
      </c>
      <c r="AG5" s="179" t="s">
        <v>118</v>
      </c>
      <c r="AH5" s="179" t="s">
        <v>26</v>
      </c>
      <c r="AI5" s="179" t="s">
        <v>27</v>
      </c>
      <c r="AJ5" s="211"/>
      <c r="AK5" s="179" t="s">
        <v>12</v>
      </c>
      <c r="AL5" s="179" t="s">
        <v>118</v>
      </c>
      <c r="AM5" s="179" t="s">
        <v>26</v>
      </c>
      <c r="AN5" s="181" t="s">
        <v>27</v>
      </c>
      <c r="AO5" s="241" t="s">
        <v>31</v>
      </c>
      <c r="AQ5" s="240"/>
    </row>
    <row r="6">
      <c r="A6" s="156" t="s">
        <v>22</v>
      </c>
      <c r="B6" s="290">
        <v>69.0</v>
      </c>
      <c r="C6" s="291">
        <v>33.0</v>
      </c>
      <c r="D6" s="291">
        <v>1.0</v>
      </c>
      <c r="E6" s="292">
        <f t="shared" ref="E6:E9" si="2">SUM(C6:D6)</f>
        <v>34</v>
      </c>
      <c r="F6" s="293">
        <f>Targets!B59</f>
        <v>36</v>
      </c>
      <c r="G6" s="294">
        <f>'Regs Q2'!D26</f>
        <v>50</v>
      </c>
      <c r="H6" s="291">
        <f>'Regs Q2'!E26</f>
        <v>2</v>
      </c>
      <c r="I6" s="292">
        <f t="shared" ref="I6:I9" si="3">SUM(G6:H6)</f>
        <v>52</v>
      </c>
      <c r="J6" s="293">
        <f>Targets!C59</f>
        <v>42</v>
      </c>
      <c r="K6" s="294">
        <f>'Regs Q2'!D3</f>
        <v>69</v>
      </c>
      <c r="L6" s="291">
        <f>'Regs Q2'!E3</f>
        <v>2</v>
      </c>
      <c r="M6" s="292">
        <f t="shared" ref="M6:M9" si="4">SUM(K6:L6)</f>
        <v>71</v>
      </c>
      <c r="N6" s="293">
        <f>Targets!D59</f>
        <v>68</v>
      </c>
      <c r="O6" s="99"/>
      <c r="P6" s="295">
        <f t="shared" ref="P6:P9" si="5">B6</f>
        <v>69</v>
      </c>
      <c r="Q6" s="99">
        <f t="shared" ref="Q6:R6" si="1">K6+G6+C6</f>
        <v>152</v>
      </c>
      <c r="R6" s="99">
        <f t="shared" si="1"/>
        <v>5</v>
      </c>
      <c r="S6" s="292">
        <f t="shared" ref="S6:S9" si="7">sum(P6:R6)</f>
        <v>226</v>
      </c>
      <c r="T6" s="296">
        <f t="shared" ref="T6:T9" si="8">N6+J6+F6</f>
        <v>146</v>
      </c>
      <c r="U6" s="297">
        <f t="shared" ref="U6:U9" si="9">T6-S6</f>
        <v>-80</v>
      </c>
      <c r="V6" s="298">
        <f t="shared" ref="V6:V9" si="10">(Q6+R6)/T6</f>
        <v>1.075342466</v>
      </c>
      <c r="W6" s="130">
        <v>45298.0</v>
      </c>
      <c r="X6" s="99" t="s">
        <v>165</v>
      </c>
      <c r="Y6" s="156" t="s">
        <v>22</v>
      </c>
      <c r="Z6" s="299">
        <f>Targets!AC30</f>
        <v>5</v>
      </c>
      <c r="AA6" s="300">
        <f>'Regs Q2'!P26</f>
        <v>1</v>
      </c>
      <c r="AB6" s="301">
        <f t="shared" ref="AB6:AB9" si="11">SUM(AA6)</f>
        <v>1</v>
      </c>
      <c r="AC6" s="302">
        <f>Targets!T43+Targets!U43</f>
        <v>8</v>
      </c>
      <c r="AD6" s="294">
        <v>0.0</v>
      </c>
      <c r="AE6" s="292">
        <f t="shared" ref="AE6:AE9" si="12">SUM(AD6)</f>
        <v>0</v>
      </c>
      <c r="AF6" s="302">
        <f>Targets!V43</f>
        <v>1</v>
      </c>
      <c r="AG6" s="294">
        <v>0.0</v>
      </c>
      <c r="AH6" s="292">
        <f t="shared" ref="AH6:AH9" si="13">SUM(AG6)</f>
        <v>0</v>
      </c>
      <c r="AI6" s="302" t="str">
        <f>Targets!W43</f>
        <v/>
      </c>
      <c r="AJ6" s="36"/>
      <c r="AK6" s="303">
        <f t="shared" ref="AK6:AK9" si="14">Z6</f>
        <v>5</v>
      </c>
      <c r="AL6" s="304">
        <f t="shared" ref="AL6:AL9" si="15">AG6+AD6+AA6</f>
        <v>1</v>
      </c>
      <c r="AM6" s="301">
        <f t="shared" ref="AM6:AM9" si="16">AL6+AK6</f>
        <v>6</v>
      </c>
      <c r="AN6" s="305">
        <f t="shared" ref="AN6:AN9" si="17">AI6+AF6+AC6</f>
        <v>9</v>
      </c>
      <c r="AO6" s="297">
        <f t="shared" ref="AO6:AO9" si="18">AN6-AM6</f>
        <v>3</v>
      </c>
      <c r="AP6" s="130">
        <v>45298.0</v>
      </c>
      <c r="AQ6" s="99" t="s">
        <v>165</v>
      </c>
    </row>
    <row r="7">
      <c r="A7" s="156" t="s">
        <v>36</v>
      </c>
      <c r="B7" s="290">
        <v>-6.0</v>
      </c>
      <c r="C7" s="291">
        <v>45.0</v>
      </c>
      <c r="D7" s="291">
        <v>1.0</v>
      </c>
      <c r="E7" s="292">
        <f t="shared" si="2"/>
        <v>46</v>
      </c>
      <c r="F7" s="293">
        <f>Targets!B56</f>
        <v>32</v>
      </c>
      <c r="G7" s="294">
        <f>'Regs Q2'!D27</f>
        <v>30</v>
      </c>
      <c r="H7" s="291">
        <f>'Regs Q2'!E27</f>
        <v>1</v>
      </c>
      <c r="I7" s="292">
        <f t="shared" si="3"/>
        <v>31</v>
      </c>
      <c r="J7" s="293">
        <f>Targets!C56</f>
        <v>37</v>
      </c>
      <c r="K7" s="294">
        <f>'Regs Q2'!D4</f>
        <v>37</v>
      </c>
      <c r="L7" s="291">
        <f>'Regs Q2'!E4</f>
        <v>1</v>
      </c>
      <c r="M7" s="292">
        <f t="shared" si="4"/>
        <v>38</v>
      </c>
      <c r="N7" s="293">
        <f>Targets!D56</f>
        <v>60</v>
      </c>
      <c r="O7" s="99"/>
      <c r="P7" s="295">
        <f t="shared" si="5"/>
        <v>-6</v>
      </c>
      <c r="Q7" s="99">
        <f t="shared" ref="Q7:R7" si="6">K7+G7+C7</f>
        <v>112</v>
      </c>
      <c r="R7" s="99">
        <f t="shared" si="6"/>
        <v>3</v>
      </c>
      <c r="S7" s="292">
        <f t="shared" si="7"/>
        <v>109</v>
      </c>
      <c r="T7" s="296">
        <f t="shared" si="8"/>
        <v>129</v>
      </c>
      <c r="U7" s="297">
        <f t="shared" si="9"/>
        <v>20</v>
      </c>
      <c r="V7" s="298">
        <f t="shared" si="10"/>
        <v>0.8914728682</v>
      </c>
      <c r="W7" s="130">
        <v>45298.0</v>
      </c>
      <c r="X7" s="99" t="s">
        <v>165</v>
      </c>
      <c r="Y7" s="156" t="s">
        <v>36</v>
      </c>
      <c r="Z7" s="299">
        <f>Targets!AC27</f>
        <v>3</v>
      </c>
      <c r="AA7" s="300">
        <f>'Regs Q2'!P27</f>
        <v>0</v>
      </c>
      <c r="AB7" s="301">
        <f t="shared" si="11"/>
        <v>0</v>
      </c>
      <c r="AC7" s="302">
        <f>Targets!T44+Targets!U44</f>
        <v>7</v>
      </c>
      <c r="AD7" s="294">
        <v>1.0</v>
      </c>
      <c r="AE7" s="292">
        <f t="shared" si="12"/>
        <v>1</v>
      </c>
      <c r="AF7" s="302">
        <f>Targets!V44</f>
        <v>1</v>
      </c>
      <c r="AG7" s="294">
        <v>0.0</v>
      </c>
      <c r="AH7" s="292">
        <f t="shared" si="13"/>
        <v>0</v>
      </c>
      <c r="AI7" s="302" t="str">
        <f>Targets!W44</f>
        <v/>
      </c>
      <c r="AJ7" s="36"/>
      <c r="AK7" s="303">
        <f t="shared" si="14"/>
        <v>3</v>
      </c>
      <c r="AL7" s="304">
        <f t="shared" si="15"/>
        <v>1</v>
      </c>
      <c r="AM7" s="301">
        <f t="shared" si="16"/>
        <v>4</v>
      </c>
      <c r="AN7" s="305">
        <f t="shared" si="17"/>
        <v>8</v>
      </c>
      <c r="AO7" s="297">
        <f t="shared" si="18"/>
        <v>4</v>
      </c>
      <c r="AP7" s="130">
        <v>45298.0</v>
      </c>
      <c r="AQ7" s="99" t="s">
        <v>165</v>
      </c>
    </row>
    <row r="8">
      <c r="A8" s="156" t="s">
        <v>40</v>
      </c>
      <c r="B8" s="290">
        <v>16.0</v>
      </c>
      <c r="C8" s="291">
        <v>34.0</v>
      </c>
      <c r="D8" s="291">
        <v>1.0</v>
      </c>
      <c r="E8" s="292">
        <f t="shared" si="2"/>
        <v>35</v>
      </c>
      <c r="F8" s="293">
        <f>Targets!B57</f>
        <v>21</v>
      </c>
      <c r="G8" s="294">
        <f>'Regs Q2'!D28</f>
        <v>15</v>
      </c>
      <c r="H8" s="291" t="str">
        <f>'Regs Q2'!E28</f>
        <v/>
      </c>
      <c r="I8" s="292">
        <f t="shared" si="3"/>
        <v>15</v>
      </c>
      <c r="J8" s="293">
        <f>Targets!C57</f>
        <v>28</v>
      </c>
      <c r="K8" s="294">
        <f>'Regs Q2'!D5</f>
        <v>42</v>
      </c>
      <c r="L8" s="291" t="str">
        <f>'Regs Q2'!E5</f>
        <v/>
      </c>
      <c r="M8" s="292">
        <f t="shared" si="4"/>
        <v>42</v>
      </c>
      <c r="N8" s="293">
        <f>Targets!D57</f>
        <v>42</v>
      </c>
      <c r="O8" s="99"/>
      <c r="P8" s="295">
        <f t="shared" si="5"/>
        <v>16</v>
      </c>
      <c r="Q8" s="99">
        <f t="shared" ref="Q8:R8" si="19">K8+G8+C8</f>
        <v>91</v>
      </c>
      <c r="R8" s="99">
        <f t="shared" si="19"/>
        <v>1</v>
      </c>
      <c r="S8" s="292">
        <f t="shared" si="7"/>
        <v>108</v>
      </c>
      <c r="T8" s="296">
        <f t="shared" si="8"/>
        <v>91</v>
      </c>
      <c r="U8" s="297">
        <f t="shared" si="9"/>
        <v>-17</v>
      </c>
      <c r="V8" s="298">
        <f t="shared" si="10"/>
        <v>1.010989011</v>
      </c>
      <c r="W8" s="130">
        <v>45298.0</v>
      </c>
      <c r="X8" s="99" t="s">
        <v>165</v>
      </c>
      <c r="Y8" s="156" t="s">
        <v>40</v>
      </c>
      <c r="Z8" s="299">
        <f>Targets!AC28</f>
        <v>8</v>
      </c>
      <c r="AA8" s="300">
        <f>'Regs Q2'!P28</f>
        <v>0</v>
      </c>
      <c r="AB8" s="301">
        <f t="shared" si="11"/>
        <v>0</v>
      </c>
      <c r="AC8" s="302">
        <f>Targets!T45+Targets!U45</f>
        <v>5</v>
      </c>
      <c r="AD8" s="294">
        <v>1.0</v>
      </c>
      <c r="AE8" s="292">
        <f t="shared" si="12"/>
        <v>1</v>
      </c>
      <c r="AF8" s="302">
        <f>Targets!V45</f>
        <v>1</v>
      </c>
      <c r="AG8" s="294">
        <v>0.0</v>
      </c>
      <c r="AH8" s="292">
        <f t="shared" si="13"/>
        <v>0</v>
      </c>
      <c r="AI8" s="302" t="str">
        <f>Targets!W45</f>
        <v/>
      </c>
      <c r="AJ8" s="36"/>
      <c r="AK8" s="303">
        <f t="shared" si="14"/>
        <v>8</v>
      </c>
      <c r="AL8" s="304">
        <f t="shared" si="15"/>
        <v>1</v>
      </c>
      <c r="AM8" s="301">
        <f t="shared" si="16"/>
        <v>9</v>
      </c>
      <c r="AN8" s="305">
        <f t="shared" si="17"/>
        <v>6</v>
      </c>
      <c r="AO8" s="297">
        <f t="shared" si="18"/>
        <v>-3</v>
      </c>
      <c r="AP8" s="130">
        <v>45298.0</v>
      </c>
      <c r="AQ8" s="99" t="s">
        <v>165</v>
      </c>
    </row>
    <row r="9">
      <c r="A9" s="156" t="s">
        <v>41</v>
      </c>
      <c r="B9" s="290">
        <v>30.0</v>
      </c>
      <c r="C9" s="291">
        <v>21.0</v>
      </c>
      <c r="D9" s="291"/>
      <c r="E9" s="292">
        <f t="shared" si="2"/>
        <v>21</v>
      </c>
      <c r="F9" s="293">
        <f>Targets!B58</f>
        <v>29</v>
      </c>
      <c r="G9" s="294">
        <f>'Regs Q2'!D29</f>
        <v>27</v>
      </c>
      <c r="H9" s="291">
        <f>'Regs Q2'!E29</f>
        <v>1</v>
      </c>
      <c r="I9" s="292">
        <f t="shared" si="3"/>
        <v>28</v>
      </c>
      <c r="J9" s="293">
        <f>Targets!C58</f>
        <v>34</v>
      </c>
      <c r="K9" s="294">
        <f>'Regs Q2'!D6</f>
        <v>65</v>
      </c>
      <c r="L9" s="291" t="str">
        <f>'Regs Q2'!E6</f>
        <v/>
      </c>
      <c r="M9" s="292">
        <f t="shared" si="4"/>
        <v>65</v>
      </c>
      <c r="N9" s="293">
        <f>Targets!D58</f>
        <v>56</v>
      </c>
      <c r="O9" s="99"/>
      <c r="P9" s="295">
        <f t="shared" si="5"/>
        <v>30</v>
      </c>
      <c r="Q9" s="99">
        <f t="shared" ref="Q9:R9" si="20">K9+G9+C9</f>
        <v>113</v>
      </c>
      <c r="R9" s="99">
        <f t="shared" si="20"/>
        <v>1</v>
      </c>
      <c r="S9" s="292">
        <f t="shared" si="7"/>
        <v>144</v>
      </c>
      <c r="T9" s="296">
        <f t="shared" si="8"/>
        <v>119</v>
      </c>
      <c r="U9" s="297">
        <f t="shared" si="9"/>
        <v>-25</v>
      </c>
      <c r="V9" s="298">
        <f t="shared" si="10"/>
        <v>0.9579831933</v>
      </c>
      <c r="W9" s="130">
        <v>45298.0</v>
      </c>
      <c r="X9" s="99" t="s">
        <v>165</v>
      </c>
      <c r="Y9" s="156" t="s">
        <v>41</v>
      </c>
      <c r="Z9" s="299">
        <f>Targets!AC29</f>
        <v>1</v>
      </c>
      <c r="AA9" s="300">
        <f>'Regs Q2'!P29</f>
        <v>1</v>
      </c>
      <c r="AB9" s="301">
        <f t="shared" si="11"/>
        <v>1</v>
      </c>
      <c r="AC9" s="302">
        <f>Targets!T46+Targets!U46</f>
        <v>6</v>
      </c>
      <c r="AD9" s="294">
        <v>0.0</v>
      </c>
      <c r="AE9" s="292">
        <f t="shared" si="12"/>
        <v>0</v>
      </c>
      <c r="AF9" s="302">
        <f>Targets!V46</f>
        <v>1</v>
      </c>
      <c r="AG9" s="294">
        <v>0.0</v>
      </c>
      <c r="AH9" s="292">
        <f t="shared" si="13"/>
        <v>0</v>
      </c>
      <c r="AI9" s="302" t="str">
        <f>Targets!W46</f>
        <v/>
      </c>
      <c r="AJ9" s="36"/>
      <c r="AK9" s="303">
        <f t="shared" si="14"/>
        <v>1</v>
      </c>
      <c r="AL9" s="304">
        <f t="shared" si="15"/>
        <v>1</v>
      </c>
      <c r="AM9" s="301">
        <f t="shared" si="16"/>
        <v>2</v>
      </c>
      <c r="AN9" s="305">
        <f t="shared" si="17"/>
        <v>7</v>
      </c>
      <c r="AO9" s="297">
        <f t="shared" si="18"/>
        <v>5</v>
      </c>
      <c r="AP9" s="130">
        <v>45298.0</v>
      </c>
      <c r="AQ9" s="99" t="s">
        <v>165</v>
      </c>
    </row>
    <row r="10">
      <c r="A10" s="161" t="s">
        <v>44</v>
      </c>
      <c r="B10" s="306">
        <f t="shared" ref="B10:N10" si="21">sum(B6:B9)</f>
        <v>109</v>
      </c>
      <c r="C10" s="306">
        <f t="shared" si="21"/>
        <v>133</v>
      </c>
      <c r="D10" s="306">
        <f t="shared" si="21"/>
        <v>3</v>
      </c>
      <c r="E10" s="306">
        <f t="shared" si="21"/>
        <v>136</v>
      </c>
      <c r="F10" s="307">
        <f t="shared" si="21"/>
        <v>118</v>
      </c>
      <c r="G10" s="306">
        <f t="shared" si="21"/>
        <v>122</v>
      </c>
      <c r="H10" s="306">
        <f t="shared" si="21"/>
        <v>4</v>
      </c>
      <c r="I10" s="306">
        <f t="shared" si="21"/>
        <v>126</v>
      </c>
      <c r="J10" s="307">
        <f t="shared" si="21"/>
        <v>141</v>
      </c>
      <c r="K10" s="306">
        <f t="shared" si="21"/>
        <v>213</v>
      </c>
      <c r="L10" s="306">
        <f t="shared" si="21"/>
        <v>3</v>
      </c>
      <c r="M10" s="306">
        <f t="shared" si="21"/>
        <v>216</v>
      </c>
      <c r="N10" s="307">
        <f t="shared" si="21"/>
        <v>226</v>
      </c>
      <c r="O10" s="36"/>
      <c r="P10" s="306">
        <f t="shared" ref="P10:U10" si="22">sum(P6:P9)</f>
        <v>109</v>
      </c>
      <c r="Q10" s="306">
        <f t="shared" si="22"/>
        <v>468</v>
      </c>
      <c r="R10" s="306">
        <f t="shared" si="22"/>
        <v>10</v>
      </c>
      <c r="S10" s="306">
        <f t="shared" si="22"/>
        <v>587</v>
      </c>
      <c r="T10" s="308">
        <f t="shared" si="22"/>
        <v>485</v>
      </c>
      <c r="U10" s="309">
        <f t="shared" si="22"/>
        <v>-102</v>
      </c>
      <c r="X10" s="99"/>
      <c r="Y10" s="161" t="s">
        <v>44</v>
      </c>
      <c r="Z10" s="307">
        <f t="shared" ref="Z10:AI10" si="23">sum(Z6:Z9)</f>
        <v>17</v>
      </c>
      <c r="AA10" s="307">
        <f t="shared" si="23"/>
        <v>2</v>
      </c>
      <c r="AB10" s="307">
        <f t="shared" si="23"/>
        <v>2</v>
      </c>
      <c r="AC10" s="306">
        <f t="shared" si="23"/>
        <v>26</v>
      </c>
      <c r="AD10" s="306">
        <f t="shared" si="23"/>
        <v>2</v>
      </c>
      <c r="AE10" s="306">
        <f t="shared" si="23"/>
        <v>2</v>
      </c>
      <c r="AF10" s="306">
        <f t="shared" si="23"/>
        <v>4</v>
      </c>
      <c r="AG10" s="306">
        <f t="shared" si="23"/>
        <v>0</v>
      </c>
      <c r="AH10" s="306">
        <f t="shared" si="23"/>
        <v>0</v>
      </c>
      <c r="AI10" s="306">
        <f t="shared" si="23"/>
        <v>0</v>
      </c>
      <c r="AJ10" s="36"/>
      <c r="AK10" s="307">
        <f t="shared" ref="AK10:AO10" si="24">sum(AK6:AK9)</f>
        <v>17</v>
      </c>
      <c r="AL10" s="307">
        <f t="shared" si="24"/>
        <v>4</v>
      </c>
      <c r="AM10" s="307">
        <f t="shared" si="24"/>
        <v>21</v>
      </c>
      <c r="AN10" s="310">
        <f t="shared" si="24"/>
        <v>30</v>
      </c>
      <c r="AO10" s="309">
        <f t="shared" si="24"/>
        <v>9</v>
      </c>
    </row>
    <row r="11">
      <c r="A11" s="156" t="s">
        <v>47</v>
      </c>
      <c r="B11" s="290">
        <v>27.0</v>
      </c>
      <c r="C11" s="99">
        <v>13.0</v>
      </c>
      <c r="D11" s="99"/>
      <c r="E11" s="292">
        <f t="shared" ref="E11:E14" si="26">SUM(C11:D11)</f>
        <v>13</v>
      </c>
      <c r="F11" s="293">
        <f>Targets!B62</f>
        <v>26</v>
      </c>
      <c r="G11" s="294">
        <f>'Regs Q2'!D31</f>
        <v>40</v>
      </c>
      <c r="H11" s="291">
        <f>'Regs Q2'!E31</f>
        <v>1</v>
      </c>
      <c r="I11" s="292">
        <f t="shared" ref="I11:I14" si="27">SUM(G11:H11)</f>
        <v>41</v>
      </c>
      <c r="J11" s="293">
        <f>Targets!C62</f>
        <v>30</v>
      </c>
      <c r="K11" s="294">
        <f>'Regs Q2'!D8</f>
        <v>53</v>
      </c>
      <c r="L11" s="291" t="str">
        <f>'Regs Q2'!E8</f>
        <v/>
      </c>
      <c r="M11" s="292">
        <f t="shared" ref="M11:M14" si="28">SUM(K11:L11)</f>
        <v>53</v>
      </c>
      <c r="N11" s="293">
        <f>Targets!D62</f>
        <v>47</v>
      </c>
      <c r="O11" s="36"/>
      <c r="P11" s="295">
        <f t="shared" ref="P11:P14" si="29">B11</f>
        <v>27</v>
      </c>
      <c r="Q11" s="99">
        <f t="shared" ref="Q11:R11" si="25">K11+G11+C11</f>
        <v>106</v>
      </c>
      <c r="R11" s="99">
        <f t="shared" si="25"/>
        <v>1</v>
      </c>
      <c r="S11" s="292">
        <f t="shared" ref="S11:S14" si="30">sum(P11:R11)</f>
        <v>134</v>
      </c>
      <c r="T11" s="296">
        <f t="shared" ref="T11:T14" si="31">N11+J11+F11</f>
        <v>103</v>
      </c>
      <c r="U11" s="297">
        <f t="shared" ref="U11:U14" si="32">T11-S11</f>
        <v>-31</v>
      </c>
      <c r="V11" s="298">
        <f t="shared" ref="V11:V14" si="33">(Q11+R11)/T11</f>
        <v>1.038834951</v>
      </c>
      <c r="W11" s="130">
        <v>45298.0</v>
      </c>
      <c r="X11" s="99" t="s">
        <v>165</v>
      </c>
      <c r="Y11" s="156" t="s">
        <v>47</v>
      </c>
      <c r="Z11" s="299">
        <f>Targets!AC33</f>
        <v>6</v>
      </c>
      <c r="AA11" s="300">
        <f>'Regs Q2'!P31</f>
        <v>0</v>
      </c>
      <c r="AB11" s="301">
        <f t="shared" ref="AB11:AB14" si="34">SUM(AA11)</f>
        <v>0</v>
      </c>
      <c r="AC11" s="302">
        <f>Targets!T48+Targets!U48</f>
        <v>7</v>
      </c>
      <c r="AD11" s="99"/>
      <c r="AE11" s="292">
        <f t="shared" ref="AE11:AE14" si="35">SUM(AD11)</f>
        <v>0</v>
      </c>
      <c r="AF11" s="302">
        <f>Targets!V48</f>
        <v>1</v>
      </c>
      <c r="AG11" s="99"/>
      <c r="AH11" s="292">
        <f t="shared" ref="AH11:AH14" si="36">SUM(AG11)</f>
        <v>0</v>
      </c>
      <c r="AI11" s="302" t="str">
        <f>Targets!W48</f>
        <v/>
      </c>
      <c r="AJ11" s="36"/>
      <c r="AK11" s="303">
        <f t="shared" ref="AK11:AK14" si="37">Z11</f>
        <v>6</v>
      </c>
      <c r="AL11" s="304">
        <f t="shared" ref="AL11:AL14" si="38">AG11+AD11+AA11</f>
        <v>0</v>
      </c>
      <c r="AM11" s="301">
        <f t="shared" ref="AM11:AM14" si="39">AL11+AK11</f>
        <v>6</v>
      </c>
      <c r="AN11" s="305">
        <f t="shared" ref="AN11:AN14" si="40">AI11+AF11+AC11</f>
        <v>8</v>
      </c>
      <c r="AO11" s="297">
        <f t="shared" ref="AO11:AO14" si="41">AN11-AM11</f>
        <v>2</v>
      </c>
      <c r="AP11" s="130">
        <v>45298.0</v>
      </c>
      <c r="AQ11" s="37" t="s">
        <v>165</v>
      </c>
    </row>
    <row r="12">
      <c r="A12" s="156" t="s">
        <v>51</v>
      </c>
      <c r="B12" s="290">
        <v>10.0</v>
      </c>
      <c r="C12" s="99">
        <v>29.0</v>
      </c>
      <c r="D12" s="99">
        <v>2.0</v>
      </c>
      <c r="E12" s="292">
        <f t="shared" si="26"/>
        <v>31</v>
      </c>
      <c r="F12" s="293">
        <f>Targets!B61</f>
        <v>26</v>
      </c>
      <c r="G12" s="294">
        <f>'Regs Q2'!D32</f>
        <v>27</v>
      </c>
      <c r="H12" s="291" t="str">
        <f>'Regs Q2'!E32</f>
        <v/>
      </c>
      <c r="I12" s="292">
        <f t="shared" si="27"/>
        <v>27</v>
      </c>
      <c r="J12" s="293">
        <f>Targets!C61</f>
        <v>29</v>
      </c>
      <c r="K12" s="294">
        <f>'Regs Q2'!D9</f>
        <v>54</v>
      </c>
      <c r="L12" s="291">
        <f>'Regs Q2'!E9</f>
        <v>1</v>
      </c>
      <c r="M12" s="292">
        <f t="shared" si="28"/>
        <v>55</v>
      </c>
      <c r="N12" s="293">
        <f>Targets!D61</f>
        <v>48</v>
      </c>
      <c r="O12" s="36"/>
      <c r="P12" s="295">
        <f t="shared" si="29"/>
        <v>10</v>
      </c>
      <c r="Q12" s="99">
        <f t="shared" ref="Q12:Q13" si="42">K12+G12+O20+C12</f>
        <v>110</v>
      </c>
      <c r="R12" s="99">
        <f t="shared" ref="R12:R13" si="43">L12+H12+D12</f>
        <v>3</v>
      </c>
      <c r="S12" s="292">
        <f t="shared" si="30"/>
        <v>123</v>
      </c>
      <c r="T12" s="296">
        <f t="shared" si="31"/>
        <v>103</v>
      </c>
      <c r="U12" s="297">
        <f t="shared" si="32"/>
        <v>-20</v>
      </c>
      <c r="V12" s="298">
        <f t="shared" si="33"/>
        <v>1.097087379</v>
      </c>
      <c r="W12" s="130">
        <v>45298.0</v>
      </c>
      <c r="X12" s="99" t="s">
        <v>165</v>
      </c>
      <c r="Y12" s="156" t="s">
        <v>51</v>
      </c>
      <c r="Z12" s="299">
        <f>Targets!AC32</f>
        <v>2</v>
      </c>
      <c r="AA12" s="300">
        <f>'Regs Q2'!P32</f>
        <v>0</v>
      </c>
      <c r="AB12" s="301">
        <f t="shared" si="34"/>
        <v>0</v>
      </c>
      <c r="AC12" s="302">
        <f>Targets!T49+Targets!U49</f>
        <v>7</v>
      </c>
      <c r="AD12" s="99"/>
      <c r="AE12" s="292">
        <f t="shared" si="35"/>
        <v>0</v>
      </c>
      <c r="AF12" s="302">
        <f>Targets!V49</f>
        <v>1</v>
      </c>
      <c r="AG12" s="99"/>
      <c r="AH12" s="292">
        <f t="shared" si="36"/>
        <v>0</v>
      </c>
      <c r="AI12" s="302" t="str">
        <f>Targets!W49</f>
        <v/>
      </c>
      <c r="AJ12" s="36"/>
      <c r="AK12" s="303">
        <f t="shared" si="37"/>
        <v>2</v>
      </c>
      <c r="AL12" s="304">
        <f t="shared" si="38"/>
        <v>0</v>
      </c>
      <c r="AM12" s="301">
        <f t="shared" si="39"/>
        <v>2</v>
      </c>
      <c r="AN12" s="305">
        <f t="shared" si="40"/>
        <v>8</v>
      </c>
      <c r="AO12" s="297">
        <f t="shared" si="41"/>
        <v>6</v>
      </c>
      <c r="AP12" s="130">
        <v>45298.0</v>
      </c>
      <c r="AQ12" s="37" t="s">
        <v>165</v>
      </c>
    </row>
    <row r="13">
      <c r="A13" s="156" t="s">
        <v>52</v>
      </c>
      <c r="B13" s="290">
        <v>12.0</v>
      </c>
      <c r="C13" s="99">
        <v>40.0</v>
      </c>
      <c r="D13" s="99"/>
      <c r="E13" s="292">
        <f t="shared" si="26"/>
        <v>40</v>
      </c>
      <c r="F13" s="293">
        <f>Targets!B60</f>
        <v>19</v>
      </c>
      <c r="G13" s="294">
        <f>'Regs Q2'!D33</f>
        <v>24</v>
      </c>
      <c r="H13" s="291">
        <f>'Regs Q2'!E33</f>
        <v>0</v>
      </c>
      <c r="I13" s="292">
        <f t="shared" si="27"/>
        <v>24</v>
      </c>
      <c r="J13" s="293">
        <f>Targets!C60</f>
        <v>24</v>
      </c>
      <c r="K13" s="294">
        <f>'Regs Q2'!D10</f>
        <v>49</v>
      </c>
      <c r="L13" s="291">
        <f>'Regs Q2'!E10</f>
        <v>1</v>
      </c>
      <c r="M13" s="292">
        <f t="shared" si="28"/>
        <v>50</v>
      </c>
      <c r="N13" s="293">
        <f>Targets!D60</f>
        <v>36</v>
      </c>
      <c r="O13" s="36"/>
      <c r="P13" s="295">
        <f t="shared" si="29"/>
        <v>12</v>
      </c>
      <c r="Q13" s="99">
        <f t="shared" si="42"/>
        <v>113</v>
      </c>
      <c r="R13" s="99">
        <f t="shared" si="43"/>
        <v>1</v>
      </c>
      <c r="S13" s="292">
        <f t="shared" si="30"/>
        <v>126</v>
      </c>
      <c r="T13" s="296">
        <f t="shared" si="31"/>
        <v>79</v>
      </c>
      <c r="U13" s="297">
        <f t="shared" si="32"/>
        <v>-47</v>
      </c>
      <c r="V13" s="298">
        <f t="shared" si="33"/>
        <v>1.443037975</v>
      </c>
      <c r="W13" s="130">
        <v>45298.0</v>
      </c>
      <c r="X13" s="99" t="s">
        <v>165</v>
      </c>
      <c r="Y13" s="156" t="s">
        <v>52</v>
      </c>
      <c r="Z13" s="299">
        <f>Targets!AC31</f>
        <v>2</v>
      </c>
      <c r="AA13" s="300">
        <f>'Regs Q2'!P33</f>
        <v>1</v>
      </c>
      <c r="AB13" s="301">
        <f t="shared" si="34"/>
        <v>1</v>
      </c>
      <c r="AC13" s="302">
        <f>Targets!T50+Targets!U50</f>
        <v>5</v>
      </c>
      <c r="AD13" s="99"/>
      <c r="AE13" s="292">
        <f t="shared" si="35"/>
        <v>0</v>
      </c>
      <c r="AF13" s="302">
        <f>Targets!V50</f>
        <v>1</v>
      </c>
      <c r="AG13" s="99"/>
      <c r="AH13" s="292">
        <f t="shared" si="36"/>
        <v>0</v>
      </c>
      <c r="AI13" s="302" t="str">
        <f>Targets!W50</f>
        <v/>
      </c>
      <c r="AJ13" s="36"/>
      <c r="AK13" s="303">
        <f t="shared" si="37"/>
        <v>2</v>
      </c>
      <c r="AL13" s="304">
        <f t="shared" si="38"/>
        <v>1</v>
      </c>
      <c r="AM13" s="301">
        <f t="shared" si="39"/>
        <v>3</v>
      </c>
      <c r="AN13" s="305">
        <f t="shared" si="40"/>
        <v>6</v>
      </c>
      <c r="AO13" s="297">
        <f t="shared" si="41"/>
        <v>3</v>
      </c>
      <c r="AP13" s="130">
        <v>45298.0</v>
      </c>
      <c r="AQ13" s="37" t="s">
        <v>165</v>
      </c>
    </row>
    <row r="14">
      <c r="A14" s="156" t="s">
        <v>53</v>
      </c>
      <c r="B14" s="290">
        <v>7.0</v>
      </c>
      <c r="C14" s="99">
        <v>45.0</v>
      </c>
      <c r="D14" s="99"/>
      <c r="E14" s="292">
        <f t="shared" si="26"/>
        <v>45</v>
      </c>
      <c r="F14" s="293">
        <f>Targets!B63</f>
        <v>36</v>
      </c>
      <c r="G14" s="294">
        <f>'Regs Q2'!D34</f>
        <v>43</v>
      </c>
      <c r="H14" s="291" t="str">
        <f>'Regs Q2'!E34</f>
        <v/>
      </c>
      <c r="I14" s="292">
        <f t="shared" si="27"/>
        <v>43</v>
      </c>
      <c r="J14" s="293">
        <f>Targets!C63</f>
        <v>46</v>
      </c>
      <c r="K14" s="294">
        <f>'Regs Q2'!D11</f>
        <v>68</v>
      </c>
      <c r="L14" s="291" t="str">
        <f>'Regs Q2'!E11</f>
        <v/>
      </c>
      <c r="M14" s="292">
        <f t="shared" si="28"/>
        <v>68</v>
      </c>
      <c r="N14" s="293">
        <f>Targets!D63</f>
        <v>72</v>
      </c>
      <c r="O14" s="36"/>
      <c r="P14" s="295">
        <f t="shared" si="29"/>
        <v>7</v>
      </c>
      <c r="Q14" s="99">
        <f t="shared" ref="Q14:R14" si="44">K14+G14+C14</f>
        <v>156</v>
      </c>
      <c r="R14" s="99">
        <f t="shared" si="44"/>
        <v>0</v>
      </c>
      <c r="S14" s="292">
        <f t="shared" si="30"/>
        <v>163</v>
      </c>
      <c r="T14" s="296">
        <f t="shared" si="31"/>
        <v>154</v>
      </c>
      <c r="U14" s="297">
        <f t="shared" si="32"/>
        <v>-9</v>
      </c>
      <c r="V14" s="298">
        <f t="shared" si="33"/>
        <v>1.012987013</v>
      </c>
      <c r="W14" s="130">
        <v>45298.0</v>
      </c>
      <c r="X14" s="99" t="s">
        <v>165</v>
      </c>
      <c r="Y14" s="156" t="s">
        <v>53</v>
      </c>
      <c r="Z14" s="299">
        <f>Targets!AC34</f>
        <v>7</v>
      </c>
      <c r="AA14" s="300">
        <f>'Regs Q2'!P34</f>
        <v>1</v>
      </c>
      <c r="AB14" s="301">
        <f t="shared" si="34"/>
        <v>1</v>
      </c>
      <c r="AC14" s="302">
        <f>Targets!T51+Targets!U51</f>
        <v>9</v>
      </c>
      <c r="AD14" s="99"/>
      <c r="AE14" s="292">
        <f t="shared" si="35"/>
        <v>0</v>
      </c>
      <c r="AF14" s="302">
        <f>Targets!V51</f>
        <v>2</v>
      </c>
      <c r="AG14" s="99"/>
      <c r="AH14" s="292">
        <f t="shared" si="36"/>
        <v>0</v>
      </c>
      <c r="AI14" s="302" t="str">
        <f>Targets!W51</f>
        <v/>
      </c>
      <c r="AJ14" s="36"/>
      <c r="AK14" s="303">
        <f t="shared" si="37"/>
        <v>7</v>
      </c>
      <c r="AL14" s="304">
        <f t="shared" si="38"/>
        <v>1</v>
      </c>
      <c r="AM14" s="301">
        <f t="shared" si="39"/>
        <v>8</v>
      </c>
      <c r="AN14" s="305">
        <f t="shared" si="40"/>
        <v>11</v>
      </c>
      <c r="AO14" s="297">
        <f t="shared" si="41"/>
        <v>3</v>
      </c>
      <c r="AP14" s="130">
        <v>45298.0</v>
      </c>
      <c r="AQ14" s="37" t="s">
        <v>165</v>
      </c>
    </row>
    <row r="15">
      <c r="A15" s="161" t="s">
        <v>54</v>
      </c>
      <c r="B15" s="306">
        <f t="shared" ref="B15:N15" si="45">sum(B11:B14)</f>
        <v>56</v>
      </c>
      <c r="C15" s="306">
        <f t="shared" si="45"/>
        <v>127</v>
      </c>
      <c r="D15" s="306">
        <f t="shared" si="45"/>
        <v>2</v>
      </c>
      <c r="E15" s="306">
        <f t="shared" si="45"/>
        <v>129</v>
      </c>
      <c r="F15" s="307">
        <f t="shared" si="45"/>
        <v>107</v>
      </c>
      <c r="G15" s="306">
        <f t="shared" si="45"/>
        <v>134</v>
      </c>
      <c r="H15" s="306">
        <f t="shared" si="45"/>
        <v>1</v>
      </c>
      <c r="I15" s="306">
        <f t="shared" si="45"/>
        <v>135</v>
      </c>
      <c r="J15" s="307">
        <f t="shared" si="45"/>
        <v>129</v>
      </c>
      <c r="K15" s="306">
        <f t="shared" si="45"/>
        <v>224</v>
      </c>
      <c r="L15" s="306">
        <f t="shared" si="45"/>
        <v>2</v>
      </c>
      <c r="M15" s="306">
        <f t="shared" si="45"/>
        <v>226</v>
      </c>
      <c r="N15" s="307">
        <f t="shared" si="45"/>
        <v>203</v>
      </c>
      <c r="O15" s="36"/>
      <c r="P15" s="306">
        <f t="shared" ref="P15:U15" si="46">sum(P11:P14)</f>
        <v>56</v>
      </c>
      <c r="Q15" s="306">
        <f t="shared" si="46"/>
        <v>485</v>
      </c>
      <c r="R15" s="306">
        <f t="shared" si="46"/>
        <v>5</v>
      </c>
      <c r="S15" s="306">
        <f t="shared" si="46"/>
        <v>546</v>
      </c>
      <c r="T15" s="308">
        <f t="shared" si="46"/>
        <v>439</v>
      </c>
      <c r="U15" s="309">
        <f t="shared" si="46"/>
        <v>-107</v>
      </c>
      <c r="X15" s="228"/>
      <c r="Y15" s="161" t="s">
        <v>54</v>
      </c>
      <c r="Z15" s="307">
        <f t="shared" ref="Z15:AI15" si="47">sum(Z11:Z14)</f>
        <v>17</v>
      </c>
      <c r="AA15" s="307">
        <f t="shared" si="47"/>
        <v>2</v>
      </c>
      <c r="AB15" s="307">
        <f t="shared" si="47"/>
        <v>2</v>
      </c>
      <c r="AC15" s="306">
        <f t="shared" si="47"/>
        <v>28</v>
      </c>
      <c r="AD15" s="306">
        <f t="shared" si="47"/>
        <v>0</v>
      </c>
      <c r="AE15" s="306">
        <f t="shared" si="47"/>
        <v>0</v>
      </c>
      <c r="AF15" s="306">
        <f t="shared" si="47"/>
        <v>5</v>
      </c>
      <c r="AG15" s="306">
        <f t="shared" si="47"/>
        <v>0</v>
      </c>
      <c r="AH15" s="306">
        <f t="shared" si="47"/>
        <v>0</v>
      </c>
      <c r="AI15" s="306">
        <f t="shared" si="47"/>
        <v>0</v>
      </c>
      <c r="AJ15" s="36"/>
      <c r="AK15" s="307">
        <f t="shared" ref="AK15:AO15" si="48">sum(AK11:AK14)</f>
        <v>17</v>
      </c>
      <c r="AL15" s="307">
        <f t="shared" si="48"/>
        <v>2</v>
      </c>
      <c r="AM15" s="307">
        <f t="shared" si="48"/>
        <v>19</v>
      </c>
      <c r="AN15" s="310">
        <f t="shared" si="48"/>
        <v>33</v>
      </c>
      <c r="AO15" s="309">
        <f t="shared" si="48"/>
        <v>14</v>
      </c>
    </row>
    <row r="16">
      <c r="A16" s="156" t="s">
        <v>55</v>
      </c>
      <c r="B16" s="290">
        <v>-4.0</v>
      </c>
      <c r="C16" s="99">
        <v>29.0</v>
      </c>
      <c r="D16" s="99">
        <v>9.0</v>
      </c>
      <c r="E16" s="292">
        <f t="shared" ref="E16:E18" si="50">SUM(C16:D16)</f>
        <v>38</v>
      </c>
      <c r="F16" s="293">
        <f>Targets!B64</f>
        <v>24</v>
      </c>
      <c r="G16" s="294">
        <f>'Regs Q2'!D36</f>
        <v>27</v>
      </c>
      <c r="H16" s="291">
        <f>'Regs Q2'!E36</f>
        <v>7</v>
      </c>
      <c r="I16" s="292">
        <f t="shared" ref="I16:I18" si="51">SUM(G16:H16)</f>
        <v>34</v>
      </c>
      <c r="J16" s="293">
        <f>Targets!C64</f>
        <v>31</v>
      </c>
      <c r="K16" s="294">
        <f>'Regs Q2'!D13</f>
        <v>32</v>
      </c>
      <c r="L16" s="291">
        <f>'Regs Q2'!E13</f>
        <v>23</v>
      </c>
      <c r="M16" s="292">
        <f t="shared" ref="M16:M18" si="52">SUM(K16:L16)</f>
        <v>55</v>
      </c>
      <c r="N16" s="293">
        <f>Targets!D64</f>
        <v>48</v>
      </c>
      <c r="O16" s="36"/>
      <c r="P16" s="295">
        <f t="shared" ref="P16:P18" si="53">B16</f>
        <v>-4</v>
      </c>
      <c r="Q16" s="99">
        <f t="shared" ref="Q16:R16" si="49">K16+G16+C16</f>
        <v>88</v>
      </c>
      <c r="R16" s="99">
        <f t="shared" si="49"/>
        <v>39</v>
      </c>
      <c r="S16" s="292">
        <f t="shared" ref="S16:S18" si="55">sum(P16:R16)</f>
        <v>123</v>
      </c>
      <c r="T16" s="296">
        <f t="shared" ref="T16:T18" si="56">N16+J16+F16</f>
        <v>103</v>
      </c>
      <c r="U16" s="297">
        <f t="shared" ref="U16:U18" si="57">T16-S16</f>
        <v>-20</v>
      </c>
      <c r="V16" s="298">
        <f t="shared" ref="V16:V18" si="58">(Q16+R16)/T16</f>
        <v>1.233009709</v>
      </c>
      <c r="W16" s="130">
        <v>45298.0</v>
      </c>
      <c r="X16" s="99" t="s">
        <v>165</v>
      </c>
      <c r="Y16" s="156" t="s">
        <v>55</v>
      </c>
      <c r="Z16" s="299">
        <f>Targets!AC35</f>
        <v>3</v>
      </c>
      <c r="AA16" s="300">
        <f>'Regs Q2'!P36</f>
        <v>0</v>
      </c>
      <c r="AB16" s="301">
        <f t="shared" ref="AB16:AB18" si="59">SUM(AA16)</f>
        <v>0</v>
      </c>
      <c r="AC16" s="302">
        <f>Targets!T53+Targets!U53</f>
        <v>6</v>
      </c>
      <c r="AD16" s="99">
        <v>0.0</v>
      </c>
      <c r="AE16" s="292">
        <f t="shared" ref="AE16:AE18" si="60">SUM(AD16)</f>
        <v>0</v>
      </c>
      <c r="AF16" s="302">
        <f>Targets!V53</f>
        <v>1</v>
      </c>
      <c r="AG16" s="99">
        <v>0.0</v>
      </c>
      <c r="AH16" s="292">
        <f t="shared" ref="AH16:AH18" si="61">SUM(AG16)</f>
        <v>0</v>
      </c>
      <c r="AI16" s="302" t="str">
        <f>Targets!W53</f>
        <v/>
      </c>
      <c r="AJ16" s="36"/>
      <c r="AK16" s="303">
        <f t="shared" ref="AK16:AK18" si="62">Z16</f>
        <v>3</v>
      </c>
      <c r="AL16" s="304">
        <f t="shared" ref="AL16:AL18" si="63">AG16+AD16+AA16</f>
        <v>0</v>
      </c>
      <c r="AM16" s="301">
        <f t="shared" ref="AM16:AM18" si="64">AL16+AK16</f>
        <v>3</v>
      </c>
      <c r="AN16" s="305">
        <f t="shared" ref="AN16:AN18" si="65">AI16+AF16+AC16</f>
        <v>7</v>
      </c>
      <c r="AO16" s="297">
        <f t="shared" ref="AO16:AO18" si="66">AN16-AM16</f>
        <v>4</v>
      </c>
      <c r="AP16" s="130">
        <v>45298.0</v>
      </c>
      <c r="AQ16" s="37" t="s">
        <v>165</v>
      </c>
    </row>
    <row r="17">
      <c r="A17" s="156" t="s">
        <v>57</v>
      </c>
      <c r="B17" s="290">
        <v>6.0</v>
      </c>
      <c r="C17" s="99">
        <v>26.0</v>
      </c>
      <c r="D17" s="99"/>
      <c r="E17" s="292">
        <f t="shared" si="50"/>
        <v>26</v>
      </c>
      <c r="F17" s="293">
        <f>Targets!B65</f>
        <v>30</v>
      </c>
      <c r="G17" s="294">
        <f>'Regs Q2'!D37</f>
        <v>32</v>
      </c>
      <c r="H17" s="291">
        <f>'Regs Q2'!E37</f>
        <v>1</v>
      </c>
      <c r="I17" s="292">
        <f t="shared" si="51"/>
        <v>33</v>
      </c>
      <c r="J17" s="293">
        <f>Targets!C65</f>
        <v>34</v>
      </c>
      <c r="K17" s="294">
        <f>'Regs Q2'!D14</f>
        <v>53</v>
      </c>
      <c r="L17" s="291" t="str">
        <f>'Regs Q2'!E14</f>
        <v/>
      </c>
      <c r="M17" s="292">
        <f t="shared" si="52"/>
        <v>53</v>
      </c>
      <c r="N17" s="293">
        <f>Targets!D65</f>
        <v>54</v>
      </c>
      <c r="O17" s="36"/>
      <c r="P17" s="295">
        <f t="shared" si="53"/>
        <v>6</v>
      </c>
      <c r="Q17" s="99">
        <f t="shared" ref="Q17:R17" si="54">K17+G17+C17</f>
        <v>111</v>
      </c>
      <c r="R17" s="99">
        <f t="shared" si="54"/>
        <v>1</v>
      </c>
      <c r="S17" s="292">
        <f t="shared" si="55"/>
        <v>118</v>
      </c>
      <c r="T17" s="296">
        <f t="shared" si="56"/>
        <v>118</v>
      </c>
      <c r="U17" s="297">
        <f t="shared" si="57"/>
        <v>0</v>
      </c>
      <c r="V17" s="298">
        <f t="shared" si="58"/>
        <v>0.9491525424</v>
      </c>
      <c r="W17" s="130">
        <v>45298.0</v>
      </c>
      <c r="X17" s="99" t="s">
        <v>165</v>
      </c>
      <c r="Y17" s="156" t="s">
        <v>57</v>
      </c>
      <c r="Z17" s="299">
        <f>Targets!AC36</f>
        <v>4</v>
      </c>
      <c r="AA17" s="300">
        <f>'Regs Q2'!P37</f>
        <v>0</v>
      </c>
      <c r="AB17" s="301">
        <f t="shared" si="59"/>
        <v>0</v>
      </c>
      <c r="AC17" s="302">
        <f>Targets!T54+Targets!U54</f>
        <v>7</v>
      </c>
      <c r="AD17" s="99">
        <v>0.0</v>
      </c>
      <c r="AE17" s="292">
        <f t="shared" si="60"/>
        <v>0</v>
      </c>
      <c r="AF17" s="302">
        <f>Targets!V54</f>
        <v>1</v>
      </c>
      <c r="AG17" s="99">
        <v>0.0</v>
      </c>
      <c r="AH17" s="292">
        <f t="shared" si="61"/>
        <v>0</v>
      </c>
      <c r="AI17" s="302" t="str">
        <f>Targets!W54</f>
        <v/>
      </c>
      <c r="AJ17" s="36"/>
      <c r="AK17" s="303">
        <f t="shared" si="62"/>
        <v>4</v>
      </c>
      <c r="AL17" s="304">
        <f t="shared" si="63"/>
        <v>0</v>
      </c>
      <c r="AM17" s="301">
        <f t="shared" si="64"/>
        <v>4</v>
      </c>
      <c r="AN17" s="305">
        <f t="shared" si="65"/>
        <v>8</v>
      </c>
      <c r="AO17" s="297">
        <f t="shared" si="66"/>
        <v>4</v>
      </c>
      <c r="AP17" s="130">
        <v>45298.0</v>
      </c>
      <c r="AQ17" s="37" t="s">
        <v>165</v>
      </c>
    </row>
    <row r="18">
      <c r="A18" s="156" t="s">
        <v>58</v>
      </c>
      <c r="B18" s="290">
        <v>14.0</v>
      </c>
      <c r="C18" s="99">
        <v>10.0</v>
      </c>
      <c r="D18" s="99"/>
      <c r="E18" s="292">
        <f t="shared" si="50"/>
        <v>10</v>
      </c>
      <c r="F18" s="293">
        <f>Targets!B66</f>
        <v>11</v>
      </c>
      <c r="G18" s="294">
        <f>'Regs Q2'!D38</f>
        <v>12</v>
      </c>
      <c r="H18" s="291" t="str">
        <f>'Regs Q2'!E38</f>
        <v/>
      </c>
      <c r="I18" s="292">
        <f t="shared" si="51"/>
        <v>12</v>
      </c>
      <c r="J18" s="293">
        <f>Targets!C66</f>
        <v>13</v>
      </c>
      <c r="K18" s="294">
        <f>'Regs Q2'!D15</f>
        <v>25</v>
      </c>
      <c r="L18" s="291" t="str">
        <f>'Regs Q2'!E15</f>
        <v/>
      </c>
      <c r="M18" s="292">
        <f t="shared" si="52"/>
        <v>25</v>
      </c>
      <c r="N18" s="293">
        <f>Targets!D66</f>
        <v>23</v>
      </c>
      <c r="O18" s="36"/>
      <c r="P18" s="295">
        <f t="shared" si="53"/>
        <v>14</v>
      </c>
      <c r="Q18" s="99">
        <f t="shared" ref="Q18:R18" si="67">K18+G18+C18</f>
        <v>47</v>
      </c>
      <c r="R18" s="99">
        <f t="shared" si="67"/>
        <v>0</v>
      </c>
      <c r="S18" s="292">
        <f t="shared" si="55"/>
        <v>61</v>
      </c>
      <c r="T18" s="296">
        <f t="shared" si="56"/>
        <v>47</v>
      </c>
      <c r="U18" s="297">
        <f t="shared" si="57"/>
        <v>-14</v>
      </c>
      <c r="V18" s="298">
        <f t="shared" si="58"/>
        <v>1</v>
      </c>
      <c r="W18" s="130">
        <v>45298.0</v>
      </c>
      <c r="X18" s="99" t="s">
        <v>165</v>
      </c>
      <c r="Y18" s="156" t="s">
        <v>58</v>
      </c>
      <c r="Z18" s="299">
        <f>Targets!AC37</f>
        <v>1</v>
      </c>
      <c r="AA18" s="300">
        <f>'Regs Q2'!P38</f>
        <v>1</v>
      </c>
      <c r="AB18" s="301">
        <f t="shared" si="59"/>
        <v>1</v>
      </c>
      <c r="AC18" s="302">
        <f>Targets!T55+Targets!U55</f>
        <v>2</v>
      </c>
      <c r="AD18" s="99">
        <v>0.0</v>
      </c>
      <c r="AE18" s="292">
        <f t="shared" si="60"/>
        <v>0</v>
      </c>
      <c r="AF18" s="302">
        <f>Targets!V55</f>
        <v>1</v>
      </c>
      <c r="AG18" s="99">
        <v>0.0</v>
      </c>
      <c r="AH18" s="292">
        <f t="shared" si="61"/>
        <v>0</v>
      </c>
      <c r="AI18" s="302" t="str">
        <f>Targets!W55</f>
        <v/>
      </c>
      <c r="AJ18" s="36"/>
      <c r="AK18" s="303">
        <f t="shared" si="62"/>
        <v>1</v>
      </c>
      <c r="AL18" s="304">
        <f t="shared" si="63"/>
        <v>1</v>
      </c>
      <c r="AM18" s="301">
        <f t="shared" si="64"/>
        <v>2</v>
      </c>
      <c r="AN18" s="305">
        <f t="shared" si="65"/>
        <v>3</v>
      </c>
      <c r="AO18" s="297">
        <f t="shared" si="66"/>
        <v>1</v>
      </c>
      <c r="AP18" s="130">
        <v>45298.0</v>
      </c>
      <c r="AQ18" s="37" t="s">
        <v>165</v>
      </c>
    </row>
    <row r="19">
      <c r="A19" s="161" t="s">
        <v>59</v>
      </c>
      <c r="B19" s="306">
        <f t="shared" ref="B19:N19" si="68">sum(B16:B18)</f>
        <v>16</v>
      </c>
      <c r="C19" s="306">
        <f t="shared" si="68"/>
        <v>65</v>
      </c>
      <c r="D19" s="306">
        <f t="shared" si="68"/>
        <v>9</v>
      </c>
      <c r="E19" s="306">
        <f t="shared" si="68"/>
        <v>74</v>
      </c>
      <c r="F19" s="307">
        <f t="shared" si="68"/>
        <v>65</v>
      </c>
      <c r="G19" s="306">
        <f t="shared" si="68"/>
        <v>71</v>
      </c>
      <c r="H19" s="306">
        <f t="shared" si="68"/>
        <v>8</v>
      </c>
      <c r="I19" s="306">
        <f t="shared" si="68"/>
        <v>79</v>
      </c>
      <c r="J19" s="307">
        <f t="shared" si="68"/>
        <v>78</v>
      </c>
      <c r="K19" s="306">
        <f t="shared" si="68"/>
        <v>110</v>
      </c>
      <c r="L19" s="306">
        <f t="shared" si="68"/>
        <v>23</v>
      </c>
      <c r="M19" s="306">
        <f t="shared" si="68"/>
        <v>133</v>
      </c>
      <c r="N19" s="307">
        <f t="shared" si="68"/>
        <v>125</v>
      </c>
      <c r="O19" s="36"/>
      <c r="P19" s="306">
        <f t="shared" ref="P19:U19" si="69">sum(P16:P18)</f>
        <v>16</v>
      </c>
      <c r="Q19" s="306">
        <f t="shared" si="69"/>
        <v>246</v>
      </c>
      <c r="R19" s="306">
        <f t="shared" si="69"/>
        <v>40</v>
      </c>
      <c r="S19" s="306">
        <f t="shared" si="69"/>
        <v>302</v>
      </c>
      <c r="T19" s="308">
        <f t="shared" si="69"/>
        <v>268</v>
      </c>
      <c r="U19" s="309">
        <f t="shared" si="69"/>
        <v>-34</v>
      </c>
      <c r="X19" s="228"/>
      <c r="Y19" s="161" t="s">
        <v>59</v>
      </c>
      <c r="Z19" s="307">
        <f t="shared" ref="Z19:AI19" si="70">sum(Z16:Z18)</f>
        <v>8</v>
      </c>
      <c r="AA19" s="307">
        <f t="shared" si="70"/>
        <v>1</v>
      </c>
      <c r="AB19" s="307">
        <f t="shared" si="70"/>
        <v>1</v>
      </c>
      <c r="AC19" s="306">
        <f t="shared" si="70"/>
        <v>15</v>
      </c>
      <c r="AD19" s="306">
        <f t="shared" si="70"/>
        <v>0</v>
      </c>
      <c r="AE19" s="306">
        <f t="shared" si="70"/>
        <v>0</v>
      </c>
      <c r="AF19" s="306">
        <f t="shared" si="70"/>
        <v>3</v>
      </c>
      <c r="AG19" s="306">
        <f t="shared" si="70"/>
        <v>0</v>
      </c>
      <c r="AH19" s="306">
        <f t="shared" si="70"/>
        <v>0</v>
      </c>
      <c r="AI19" s="306">
        <f t="shared" si="70"/>
        <v>0</v>
      </c>
      <c r="AJ19" s="36"/>
      <c r="AK19" s="307">
        <f t="shared" ref="AK19:AO19" si="71">sum(AK16:AK18)</f>
        <v>8</v>
      </c>
      <c r="AL19" s="307">
        <f t="shared" si="71"/>
        <v>1</v>
      </c>
      <c r="AM19" s="307">
        <f t="shared" si="71"/>
        <v>9</v>
      </c>
      <c r="AN19" s="310">
        <f t="shared" si="71"/>
        <v>18</v>
      </c>
      <c r="AO19" s="309">
        <f t="shared" si="71"/>
        <v>9</v>
      </c>
    </row>
    <row r="20">
      <c r="A20" s="161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11"/>
      <c r="U20" s="312"/>
      <c r="X20" s="240"/>
      <c r="Y20" s="43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11"/>
      <c r="AO20" s="312"/>
    </row>
    <row r="21">
      <c r="A21" s="39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11"/>
      <c r="U21" s="312"/>
      <c r="X21" s="36"/>
      <c r="Y21" s="39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11"/>
      <c r="AO21" s="312"/>
    </row>
    <row r="22">
      <c r="A22" s="165" t="s">
        <v>13</v>
      </c>
      <c r="B22" s="313">
        <f t="shared" ref="B22:N22" si="72">B19+B15+B10</f>
        <v>181</v>
      </c>
      <c r="C22" s="313">
        <f t="shared" si="72"/>
        <v>325</v>
      </c>
      <c r="D22" s="313">
        <f t="shared" si="72"/>
        <v>14</v>
      </c>
      <c r="E22" s="313">
        <f t="shared" si="72"/>
        <v>339</v>
      </c>
      <c r="F22" s="313">
        <f t="shared" si="72"/>
        <v>290</v>
      </c>
      <c r="G22" s="313">
        <f t="shared" si="72"/>
        <v>327</v>
      </c>
      <c r="H22" s="313">
        <f t="shared" si="72"/>
        <v>13</v>
      </c>
      <c r="I22" s="313">
        <f t="shared" si="72"/>
        <v>340</v>
      </c>
      <c r="J22" s="313">
        <f t="shared" si="72"/>
        <v>348</v>
      </c>
      <c r="K22" s="313">
        <f t="shared" si="72"/>
        <v>547</v>
      </c>
      <c r="L22" s="313">
        <f t="shared" si="72"/>
        <v>28</v>
      </c>
      <c r="M22" s="313">
        <f t="shared" si="72"/>
        <v>575</v>
      </c>
      <c r="N22" s="313">
        <f t="shared" si="72"/>
        <v>554</v>
      </c>
      <c r="O22" s="212"/>
      <c r="P22" s="313">
        <f t="shared" ref="P22:U22" si="73">P19+P15+P10</f>
        <v>181</v>
      </c>
      <c r="Q22" s="313">
        <f t="shared" si="73"/>
        <v>1199</v>
      </c>
      <c r="R22" s="313">
        <f t="shared" si="73"/>
        <v>55</v>
      </c>
      <c r="S22" s="313">
        <f t="shared" si="73"/>
        <v>1435</v>
      </c>
      <c r="T22" s="314">
        <f t="shared" si="73"/>
        <v>1192</v>
      </c>
      <c r="U22" s="315">
        <f t="shared" si="73"/>
        <v>-243</v>
      </c>
      <c r="X22" s="228"/>
      <c r="Y22" s="165" t="s">
        <v>13</v>
      </c>
      <c r="Z22" s="313">
        <f t="shared" ref="Z22:AI22" si="74">Z19+Z15+Z10</f>
        <v>42</v>
      </c>
      <c r="AA22" s="313">
        <f t="shared" si="74"/>
        <v>5</v>
      </c>
      <c r="AB22" s="313">
        <f t="shared" si="74"/>
        <v>5</v>
      </c>
      <c r="AC22" s="313">
        <f t="shared" si="74"/>
        <v>69</v>
      </c>
      <c r="AD22" s="313">
        <f t="shared" si="74"/>
        <v>2</v>
      </c>
      <c r="AE22" s="313">
        <f t="shared" si="74"/>
        <v>2</v>
      </c>
      <c r="AF22" s="313">
        <f t="shared" si="74"/>
        <v>12</v>
      </c>
      <c r="AG22" s="313">
        <f t="shared" si="74"/>
        <v>0</v>
      </c>
      <c r="AH22" s="313">
        <f t="shared" si="74"/>
        <v>0</v>
      </c>
      <c r="AI22" s="313">
        <f t="shared" si="74"/>
        <v>0</v>
      </c>
      <c r="AJ22" s="212"/>
      <c r="AK22" s="313">
        <f t="shared" ref="AK22:AO22" si="75">AK19+AK15+AK10</f>
        <v>42</v>
      </c>
      <c r="AL22" s="313">
        <f t="shared" si="75"/>
        <v>7</v>
      </c>
      <c r="AM22" s="313">
        <f t="shared" si="75"/>
        <v>49</v>
      </c>
      <c r="AN22" s="314">
        <f t="shared" si="75"/>
        <v>81</v>
      </c>
      <c r="AO22" s="315">
        <f t="shared" si="75"/>
        <v>32</v>
      </c>
    </row>
    <row r="24">
      <c r="A24" s="196" t="s">
        <v>63</v>
      </c>
      <c r="B24" s="151"/>
      <c r="C24" s="151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2"/>
      <c r="V24" s="18"/>
      <c r="W24" s="18" t="s">
        <v>2</v>
      </c>
      <c r="X24" s="160" t="s">
        <v>3</v>
      </c>
    </row>
    <row r="25">
      <c r="A25" s="39"/>
      <c r="B25" s="194"/>
      <c r="C25" s="163" t="s">
        <v>157</v>
      </c>
      <c r="D25" s="30"/>
      <c r="E25" s="30"/>
      <c r="F25" s="30"/>
      <c r="G25" s="164" t="s">
        <v>16</v>
      </c>
      <c r="H25" s="30"/>
      <c r="I25" s="30"/>
      <c r="J25" s="30"/>
      <c r="K25" s="164" t="s">
        <v>17</v>
      </c>
      <c r="L25" s="30"/>
      <c r="M25" s="30"/>
      <c r="N25" s="30"/>
      <c r="O25" s="36"/>
      <c r="P25" s="178"/>
      <c r="Q25" s="164" t="s">
        <v>13</v>
      </c>
      <c r="R25" s="30"/>
      <c r="S25" s="30"/>
      <c r="T25" s="42"/>
      <c r="X25" s="36"/>
    </row>
    <row r="26">
      <c r="A26" s="43"/>
      <c r="B26" s="194"/>
      <c r="C26" s="179" t="s">
        <v>64</v>
      </c>
      <c r="D26" s="179" t="s">
        <v>65</v>
      </c>
      <c r="E26" s="179" t="s">
        <v>26</v>
      </c>
      <c r="F26" s="179"/>
      <c r="G26" s="179" t="s">
        <v>64</v>
      </c>
      <c r="H26" s="179" t="s">
        <v>65</v>
      </c>
      <c r="I26" s="179" t="s">
        <v>26</v>
      </c>
      <c r="J26" s="179"/>
      <c r="K26" s="179" t="s">
        <v>64</v>
      </c>
      <c r="L26" s="179" t="s">
        <v>174</v>
      </c>
      <c r="M26" s="179" t="s">
        <v>26</v>
      </c>
      <c r="N26" s="179"/>
      <c r="O26" s="211"/>
      <c r="P26" s="179"/>
      <c r="Q26" s="179" t="s">
        <v>64</v>
      </c>
      <c r="R26" s="179" t="s">
        <v>65</v>
      </c>
      <c r="S26" s="179" t="s">
        <v>26</v>
      </c>
      <c r="T26" s="181"/>
      <c r="X26" s="240"/>
    </row>
    <row r="27">
      <c r="A27" s="156" t="s">
        <v>22</v>
      </c>
      <c r="B27" s="194"/>
      <c r="C27" s="291">
        <f>'Regs Q2'!V72</f>
        <v>78</v>
      </c>
      <c r="D27" s="291"/>
      <c r="E27" s="292">
        <f t="shared" ref="E27:E30" si="77">SUM(C27:D27)</f>
        <v>78</v>
      </c>
      <c r="F27" s="179"/>
      <c r="G27" s="49">
        <f>'Regs Q2'!V49</f>
        <v>89</v>
      </c>
      <c r="H27" s="291"/>
      <c r="I27" s="292">
        <f t="shared" ref="I27:I30" si="78">SUM(G27:H27)</f>
        <v>89</v>
      </c>
      <c r="J27" s="179"/>
      <c r="K27" s="49">
        <f>'Regs Q2'!V26</f>
        <v>136</v>
      </c>
      <c r="L27" s="291"/>
      <c r="M27" s="292">
        <f t="shared" ref="M27:M30" si="79">SUM(K27:L27)</f>
        <v>136</v>
      </c>
      <c r="N27" s="179"/>
      <c r="O27" s="36"/>
      <c r="P27" s="295" t="str">
        <f t="shared" ref="P27:P41" si="80">B27</f>
        <v/>
      </c>
      <c r="Q27" s="99">
        <f t="shared" ref="Q27:R27" si="76">K27+G27+C27</f>
        <v>303</v>
      </c>
      <c r="R27" s="99">
        <f t="shared" si="76"/>
        <v>0</v>
      </c>
      <c r="S27" s="292">
        <f t="shared" ref="S27:S30" si="82">sum(P27:R27)</f>
        <v>303</v>
      </c>
      <c r="T27" s="181"/>
      <c r="V27" s="130"/>
      <c r="W27" s="130">
        <v>45298.0</v>
      </c>
      <c r="X27" s="99" t="s">
        <v>165</v>
      </c>
    </row>
    <row r="28">
      <c r="A28" s="156" t="s">
        <v>36</v>
      </c>
      <c r="B28" s="194"/>
      <c r="C28" s="291">
        <f>'Regs Q2'!V73</f>
        <v>7</v>
      </c>
      <c r="D28" s="291"/>
      <c r="E28" s="292">
        <f t="shared" si="77"/>
        <v>7</v>
      </c>
      <c r="F28" s="179"/>
      <c r="G28" s="49">
        <f>'Regs Q2'!V50</f>
        <v>5</v>
      </c>
      <c r="H28" s="291"/>
      <c r="I28" s="292">
        <f t="shared" si="78"/>
        <v>5</v>
      </c>
      <c r="J28" s="179"/>
      <c r="K28" s="49">
        <f>'Regs Q2'!V27</f>
        <v>27</v>
      </c>
      <c r="L28" s="291"/>
      <c r="M28" s="292">
        <f t="shared" si="79"/>
        <v>27</v>
      </c>
      <c r="N28" s="179"/>
      <c r="O28" s="36"/>
      <c r="P28" s="295" t="str">
        <f t="shared" si="80"/>
        <v/>
      </c>
      <c r="Q28" s="99">
        <f t="shared" ref="Q28:R28" si="81">K28+G28+C28</f>
        <v>39</v>
      </c>
      <c r="R28" s="99">
        <f t="shared" si="81"/>
        <v>0</v>
      </c>
      <c r="S28" s="292">
        <f t="shared" si="82"/>
        <v>39</v>
      </c>
      <c r="T28" s="181"/>
      <c r="V28" s="130"/>
      <c r="W28" s="130">
        <v>45298.0</v>
      </c>
      <c r="X28" s="99" t="s">
        <v>165</v>
      </c>
    </row>
    <row r="29">
      <c r="A29" s="156" t="s">
        <v>40</v>
      </c>
      <c r="B29" s="194"/>
      <c r="C29" s="291" t="str">
        <f>'Regs Q2'!V74</f>
        <v/>
      </c>
      <c r="D29" s="291"/>
      <c r="E29" s="292">
        <f t="shared" si="77"/>
        <v>0</v>
      </c>
      <c r="F29" s="179"/>
      <c r="G29" s="49" t="str">
        <f>'Regs Q2'!V51</f>
        <v/>
      </c>
      <c r="H29" s="291"/>
      <c r="I29" s="292">
        <f t="shared" si="78"/>
        <v>0</v>
      </c>
      <c r="J29" s="179"/>
      <c r="K29" s="49" t="str">
        <f>'Regs Q2'!V28</f>
        <v/>
      </c>
      <c r="L29" s="291"/>
      <c r="M29" s="292">
        <f t="shared" si="79"/>
        <v>0</v>
      </c>
      <c r="N29" s="179"/>
      <c r="O29" s="36"/>
      <c r="P29" s="295" t="str">
        <f t="shared" si="80"/>
        <v/>
      </c>
      <c r="Q29" s="99">
        <f t="shared" ref="Q29:R29" si="83">K29+G29+C29</f>
        <v>0</v>
      </c>
      <c r="R29" s="99">
        <f t="shared" si="83"/>
        <v>0</v>
      </c>
      <c r="S29" s="292">
        <f t="shared" si="82"/>
        <v>0</v>
      </c>
      <c r="T29" s="181"/>
      <c r="V29" s="130"/>
      <c r="W29" s="130">
        <v>45298.0</v>
      </c>
      <c r="X29" s="99" t="s">
        <v>165</v>
      </c>
    </row>
    <row r="30">
      <c r="A30" s="156" t="s">
        <v>41</v>
      </c>
      <c r="B30" s="194"/>
      <c r="C30" s="291" t="str">
        <f>'Regs Q2'!V75</f>
        <v/>
      </c>
      <c r="D30" s="291"/>
      <c r="E30" s="292">
        <f t="shared" si="77"/>
        <v>0</v>
      </c>
      <c r="F30" s="179"/>
      <c r="G30" s="49" t="str">
        <f>'Regs Q2'!V52</f>
        <v/>
      </c>
      <c r="H30" s="291"/>
      <c r="I30" s="292">
        <f t="shared" si="78"/>
        <v>0</v>
      </c>
      <c r="J30" s="179"/>
      <c r="K30" s="49">
        <f>'Regs Q2'!V29</f>
        <v>1</v>
      </c>
      <c r="L30" s="291"/>
      <c r="M30" s="292">
        <f t="shared" si="79"/>
        <v>1</v>
      </c>
      <c r="N30" s="179"/>
      <c r="O30" s="36"/>
      <c r="P30" s="295" t="str">
        <f t="shared" si="80"/>
        <v/>
      </c>
      <c r="Q30" s="99">
        <f t="shared" ref="Q30:R30" si="84">K30+G30+C30</f>
        <v>1</v>
      </c>
      <c r="R30" s="99">
        <f t="shared" si="84"/>
        <v>0</v>
      </c>
      <c r="S30" s="292">
        <f t="shared" si="82"/>
        <v>1</v>
      </c>
      <c r="T30" s="181"/>
      <c r="V30" s="130"/>
      <c r="W30" s="130">
        <v>45298.0</v>
      </c>
      <c r="X30" s="99" t="s">
        <v>165</v>
      </c>
    </row>
    <row r="31">
      <c r="A31" s="161" t="s">
        <v>44</v>
      </c>
      <c r="B31" s="194"/>
      <c r="C31" s="306">
        <f t="shared" ref="C31:E31" si="85">sum(C27:C30)</f>
        <v>85</v>
      </c>
      <c r="D31" s="306">
        <f t="shared" si="85"/>
        <v>0</v>
      </c>
      <c r="E31" s="306">
        <f t="shared" si="85"/>
        <v>85</v>
      </c>
      <c r="F31" s="179"/>
      <c r="G31" s="306">
        <f t="shared" ref="G31:I31" si="86">sum(G27:G30)</f>
        <v>94</v>
      </c>
      <c r="H31" s="306">
        <f t="shared" si="86"/>
        <v>0</v>
      </c>
      <c r="I31" s="306">
        <f t="shared" si="86"/>
        <v>94</v>
      </c>
      <c r="J31" s="179"/>
      <c r="K31" s="306">
        <f t="shared" ref="K31:M31" si="87">sum(K27:K30)</f>
        <v>164</v>
      </c>
      <c r="L31" s="306">
        <f t="shared" si="87"/>
        <v>0</v>
      </c>
      <c r="M31" s="306">
        <f t="shared" si="87"/>
        <v>164</v>
      </c>
      <c r="N31" s="179"/>
      <c r="O31" s="36"/>
      <c r="P31" s="295" t="str">
        <f t="shared" si="80"/>
        <v/>
      </c>
      <c r="Q31" s="306">
        <f t="shared" ref="Q31:S31" si="88">sum(Q27:Q30)</f>
        <v>343</v>
      </c>
      <c r="R31" s="306">
        <f t="shared" si="88"/>
        <v>0</v>
      </c>
      <c r="S31" s="306">
        <f t="shared" si="88"/>
        <v>343</v>
      </c>
      <c r="T31" s="181"/>
      <c r="X31" s="228"/>
    </row>
    <row r="32">
      <c r="A32" s="156" t="s">
        <v>47</v>
      </c>
      <c r="B32" s="194"/>
      <c r="C32" s="300" t="str">
        <f>'Regs Q2'!V77</f>
        <v/>
      </c>
      <c r="D32" s="99"/>
      <c r="E32" s="301">
        <f t="shared" ref="E32:E35" si="90">SUM(C32:D32)</f>
        <v>0</v>
      </c>
      <c r="F32" s="179"/>
      <c r="G32" s="317" t="str">
        <f>'Regs Q2'!V54</f>
        <v/>
      </c>
      <c r="H32" s="99"/>
      <c r="I32" s="301">
        <f t="shared" ref="I32:I35" si="91">SUM(G32:H32)</f>
        <v>0</v>
      </c>
      <c r="J32" s="179"/>
      <c r="K32" s="317" t="str">
        <f>'Regs Q2'!V31</f>
        <v/>
      </c>
      <c r="L32" s="99"/>
      <c r="M32" s="301">
        <f t="shared" ref="M32:M35" si="92">SUM(K32:L32)</f>
        <v>0</v>
      </c>
      <c r="N32" s="179"/>
      <c r="O32" s="36"/>
      <c r="P32" s="295" t="str">
        <f t="shared" si="80"/>
        <v/>
      </c>
      <c r="Q32" s="304">
        <f t="shared" ref="Q32:R32" si="89">K32+G32+C32</f>
        <v>0</v>
      </c>
      <c r="R32" s="99">
        <f t="shared" si="89"/>
        <v>0</v>
      </c>
      <c r="S32" s="292">
        <f t="shared" ref="S32:S35" si="93">sum(P32:R32)</f>
        <v>0</v>
      </c>
      <c r="T32" s="181"/>
      <c r="V32" s="130"/>
      <c r="W32" s="130">
        <v>45298.0</v>
      </c>
      <c r="X32" s="99" t="s">
        <v>165</v>
      </c>
    </row>
    <row r="33">
      <c r="A33" s="156" t="s">
        <v>51</v>
      </c>
      <c r="B33" s="194"/>
      <c r="C33" s="300">
        <f>'Regs Q2'!V78</f>
        <v>24</v>
      </c>
      <c r="D33" s="99"/>
      <c r="E33" s="301">
        <f t="shared" si="90"/>
        <v>24</v>
      </c>
      <c r="F33" s="179"/>
      <c r="G33" s="317">
        <f>'Regs Q2'!V55</f>
        <v>30</v>
      </c>
      <c r="H33" s="99"/>
      <c r="I33" s="301">
        <f t="shared" si="91"/>
        <v>30</v>
      </c>
      <c r="J33" s="179"/>
      <c r="K33" s="317">
        <f>'Regs Q2'!V32</f>
        <v>19</v>
      </c>
      <c r="L33" s="99">
        <v>8.0</v>
      </c>
      <c r="M33" s="301">
        <f t="shared" si="92"/>
        <v>27</v>
      </c>
      <c r="N33" s="179"/>
      <c r="O33" s="36"/>
      <c r="P33" s="295" t="str">
        <f t="shared" si="80"/>
        <v/>
      </c>
      <c r="Q33" s="304">
        <f t="shared" ref="Q33:Q34" si="94">K33+G33+O41+C33</f>
        <v>73</v>
      </c>
      <c r="R33" s="99">
        <f>L33+H33+D33</f>
        <v>8</v>
      </c>
      <c r="S33" s="292">
        <f t="shared" si="93"/>
        <v>81</v>
      </c>
      <c r="T33" s="181"/>
      <c r="V33" s="130"/>
      <c r="W33" s="130">
        <v>45298.0</v>
      </c>
      <c r="X33" s="99" t="s">
        <v>165</v>
      </c>
      <c r="AA33" s="66">
        <f>192-643</f>
        <v>-451</v>
      </c>
    </row>
    <row r="34">
      <c r="A34" s="156" t="s">
        <v>52</v>
      </c>
      <c r="B34" s="194"/>
      <c r="C34" s="300" t="str">
        <f>'Regs Q2'!V79</f>
        <v/>
      </c>
      <c r="D34" s="99"/>
      <c r="E34" s="301">
        <f t="shared" si="90"/>
        <v>0</v>
      </c>
      <c r="F34" s="179"/>
      <c r="G34" s="317" t="str">
        <f>'Regs Q2'!V56</f>
        <v/>
      </c>
      <c r="H34" s="99"/>
      <c r="I34" s="301">
        <f t="shared" si="91"/>
        <v>0</v>
      </c>
      <c r="J34" s="179"/>
      <c r="K34" s="317" t="str">
        <f>'Regs Q2'!V33</f>
        <v/>
      </c>
      <c r="L34" s="99"/>
      <c r="M34" s="301">
        <f t="shared" si="92"/>
        <v>0</v>
      </c>
      <c r="N34" s="179"/>
      <c r="O34" s="36"/>
      <c r="P34" s="295" t="str">
        <f t="shared" si="80"/>
        <v/>
      </c>
      <c r="Q34" s="304">
        <f t="shared" si="94"/>
        <v>0</v>
      </c>
      <c r="R34" s="99">
        <v>0.0</v>
      </c>
      <c r="S34" s="292">
        <f t="shared" si="93"/>
        <v>0</v>
      </c>
      <c r="T34" s="181"/>
      <c r="V34" s="130"/>
      <c r="W34" s="130">
        <v>45298.0</v>
      </c>
      <c r="X34" s="99" t="s">
        <v>165</v>
      </c>
    </row>
    <row r="35">
      <c r="A35" s="156" t="s">
        <v>53</v>
      </c>
      <c r="B35" s="194"/>
      <c r="C35" s="300" t="str">
        <f>'Regs Q2'!V80</f>
        <v/>
      </c>
      <c r="D35" s="99"/>
      <c r="E35" s="301">
        <f t="shared" si="90"/>
        <v>0</v>
      </c>
      <c r="F35" s="179"/>
      <c r="G35" s="317" t="str">
        <f>'Regs Q2'!V57</f>
        <v/>
      </c>
      <c r="H35" s="99"/>
      <c r="I35" s="301">
        <f t="shared" si="91"/>
        <v>0</v>
      </c>
      <c r="J35" s="179"/>
      <c r="K35" s="317" t="str">
        <f>'Regs Q2'!V34</f>
        <v/>
      </c>
      <c r="L35" s="99"/>
      <c r="M35" s="301">
        <f t="shared" si="92"/>
        <v>0</v>
      </c>
      <c r="N35" s="179"/>
      <c r="O35" s="36"/>
      <c r="P35" s="295" t="str">
        <f t="shared" si="80"/>
        <v/>
      </c>
      <c r="Q35" s="304">
        <f t="shared" ref="Q35:R35" si="95">K35+G35+C35</f>
        <v>0</v>
      </c>
      <c r="R35" s="99">
        <f t="shared" si="95"/>
        <v>0</v>
      </c>
      <c r="S35" s="292">
        <f t="shared" si="93"/>
        <v>0</v>
      </c>
      <c r="T35" s="181"/>
      <c r="V35" s="130"/>
      <c r="W35" s="130">
        <v>45298.0</v>
      </c>
      <c r="X35" s="99" t="s">
        <v>165</v>
      </c>
    </row>
    <row r="36">
      <c r="A36" s="161" t="s">
        <v>54</v>
      </c>
      <c r="B36" s="194"/>
      <c r="C36" s="307">
        <f t="shared" ref="C36:E36" si="96">sum(C32:C35)</f>
        <v>24</v>
      </c>
      <c r="D36" s="306">
        <f t="shared" si="96"/>
        <v>0</v>
      </c>
      <c r="E36" s="307">
        <f t="shared" si="96"/>
        <v>24</v>
      </c>
      <c r="F36" s="179"/>
      <c r="G36" s="307">
        <f t="shared" ref="G36:I36" si="97">sum(G32:G35)</f>
        <v>30</v>
      </c>
      <c r="H36" s="306">
        <f t="shared" si="97"/>
        <v>0</v>
      </c>
      <c r="I36" s="307">
        <f t="shared" si="97"/>
        <v>30</v>
      </c>
      <c r="J36" s="179"/>
      <c r="K36" s="307">
        <f t="shared" ref="K36:M36" si="98">sum(K32:K35)</f>
        <v>19</v>
      </c>
      <c r="L36" s="306">
        <f t="shared" si="98"/>
        <v>8</v>
      </c>
      <c r="M36" s="307">
        <f t="shared" si="98"/>
        <v>27</v>
      </c>
      <c r="N36" s="179"/>
      <c r="O36" s="36"/>
      <c r="P36" s="295" t="str">
        <f t="shared" si="80"/>
        <v/>
      </c>
      <c r="Q36" s="307">
        <f t="shared" ref="Q36:S36" si="99">sum(Q32:Q35)</f>
        <v>73</v>
      </c>
      <c r="R36" s="306">
        <f t="shared" si="99"/>
        <v>8</v>
      </c>
      <c r="S36" s="306">
        <f t="shared" si="99"/>
        <v>81</v>
      </c>
      <c r="T36" s="181"/>
      <c r="X36" s="228"/>
    </row>
    <row r="37">
      <c r="A37" s="156" t="s">
        <v>55</v>
      </c>
      <c r="B37" s="194"/>
      <c r="C37" s="300">
        <f>'Regs Q2'!V82</f>
        <v>33</v>
      </c>
      <c r="D37" s="99"/>
      <c r="E37" s="301">
        <f t="shared" ref="E37:E39" si="101">SUM(C37:D37)</f>
        <v>33</v>
      </c>
      <c r="F37" s="179"/>
      <c r="G37" s="317">
        <f>'Regs Q2'!V59</f>
        <v>42</v>
      </c>
      <c r="H37" s="99">
        <v>0.0</v>
      </c>
      <c r="I37" s="301">
        <f t="shared" ref="I37:I39" si="102">SUM(G37:H37)</f>
        <v>42</v>
      </c>
      <c r="J37" s="179"/>
      <c r="K37" s="317">
        <f>'Regs Q2'!V36</f>
        <v>64</v>
      </c>
      <c r="L37" s="99">
        <v>0.0</v>
      </c>
      <c r="M37" s="301">
        <f t="shared" ref="M37:M39" si="103">SUM(K37:L37)</f>
        <v>64</v>
      </c>
      <c r="N37" s="179"/>
      <c r="O37" s="36"/>
      <c r="P37" s="295" t="str">
        <f t="shared" si="80"/>
        <v/>
      </c>
      <c r="Q37" s="304">
        <f t="shared" ref="Q37:R37" si="100">K37+G37+C37</f>
        <v>139</v>
      </c>
      <c r="R37" s="99">
        <f t="shared" si="100"/>
        <v>0</v>
      </c>
      <c r="S37" s="292">
        <f t="shared" ref="S37:S39" si="105">sum(P37:R37)</f>
        <v>139</v>
      </c>
      <c r="T37" s="181"/>
      <c r="V37" s="130"/>
      <c r="W37" s="130">
        <v>45298.0</v>
      </c>
      <c r="X37" s="99" t="s">
        <v>165</v>
      </c>
    </row>
    <row r="38">
      <c r="A38" s="156" t="s">
        <v>57</v>
      </c>
      <c r="B38" s="194"/>
      <c r="C38" s="300" t="str">
        <f>'Regs Q2'!V83</f>
        <v/>
      </c>
      <c r="D38" s="99"/>
      <c r="E38" s="301">
        <f t="shared" si="101"/>
        <v>0</v>
      </c>
      <c r="F38" s="179"/>
      <c r="G38" s="317" t="str">
        <f>'Regs Q2'!V60</f>
        <v/>
      </c>
      <c r="H38" s="99"/>
      <c r="I38" s="301">
        <f t="shared" si="102"/>
        <v>0</v>
      </c>
      <c r="J38" s="179"/>
      <c r="K38" s="317" t="str">
        <f>'Regs Q2'!V37</f>
        <v/>
      </c>
      <c r="L38" s="99"/>
      <c r="M38" s="301">
        <f t="shared" si="103"/>
        <v>0</v>
      </c>
      <c r="N38" s="179"/>
      <c r="O38" s="36"/>
      <c r="P38" s="295" t="str">
        <f t="shared" si="80"/>
        <v/>
      </c>
      <c r="Q38" s="304">
        <f t="shared" ref="Q38:R38" si="104">K38+G38+C38</f>
        <v>0</v>
      </c>
      <c r="R38" s="99">
        <f t="shared" si="104"/>
        <v>0</v>
      </c>
      <c r="S38" s="292">
        <f t="shared" si="105"/>
        <v>0</v>
      </c>
      <c r="T38" s="181"/>
      <c r="V38" s="130"/>
      <c r="W38" s="130">
        <v>45298.0</v>
      </c>
      <c r="X38" s="99" t="s">
        <v>165</v>
      </c>
    </row>
    <row r="39">
      <c r="A39" s="156" t="s">
        <v>58</v>
      </c>
      <c r="B39" s="194"/>
      <c r="C39" s="300" t="str">
        <f>'Regs Q2'!V84</f>
        <v/>
      </c>
      <c r="D39" s="99"/>
      <c r="E39" s="301">
        <f t="shared" si="101"/>
        <v>0</v>
      </c>
      <c r="F39" s="179"/>
      <c r="G39" s="317">
        <f>'Regs Q2'!V61</f>
        <v>1</v>
      </c>
      <c r="H39" s="99"/>
      <c r="I39" s="301">
        <f t="shared" si="102"/>
        <v>1</v>
      </c>
      <c r="J39" s="179"/>
      <c r="K39" s="317" t="str">
        <f>'Regs Q2'!V38</f>
        <v/>
      </c>
      <c r="L39" s="99"/>
      <c r="M39" s="301">
        <f t="shared" si="103"/>
        <v>0</v>
      </c>
      <c r="N39" s="179"/>
      <c r="O39" s="36"/>
      <c r="P39" s="295" t="str">
        <f t="shared" si="80"/>
        <v/>
      </c>
      <c r="Q39" s="304">
        <f t="shared" ref="Q39:R39" si="106">K39+G39+C39</f>
        <v>1</v>
      </c>
      <c r="R39" s="99">
        <f t="shared" si="106"/>
        <v>0</v>
      </c>
      <c r="S39" s="292">
        <f t="shared" si="105"/>
        <v>1</v>
      </c>
      <c r="T39" s="181"/>
      <c r="V39" s="130"/>
      <c r="W39" s="130">
        <v>45298.0</v>
      </c>
      <c r="X39" s="99" t="s">
        <v>165</v>
      </c>
    </row>
    <row r="40">
      <c r="A40" s="161" t="s">
        <v>59</v>
      </c>
      <c r="B40" s="194"/>
      <c r="C40" s="307">
        <f t="shared" ref="C40:E40" si="107">sum(C37:C39)</f>
        <v>33</v>
      </c>
      <c r="D40" s="306">
        <f t="shared" si="107"/>
        <v>0</v>
      </c>
      <c r="E40" s="307">
        <f t="shared" si="107"/>
        <v>33</v>
      </c>
      <c r="F40" s="179"/>
      <c r="G40" s="307">
        <f t="shared" ref="G40:I40" si="108">sum(G37:G39)</f>
        <v>43</v>
      </c>
      <c r="H40" s="306">
        <f t="shared" si="108"/>
        <v>0</v>
      </c>
      <c r="I40" s="307">
        <f t="shared" si="108"/>
        <v>43</v>
      </c>
      <c r="J40" s="179"/>
      <c r="K40" s="307">
        <f t="shared" ref="K40:M40" si="109">sum(K37:K39)</f>
        <v>64</v>
      </c>
      <c r="L40" s="306">
        <f t="shared" si="109"/>
        <v>0</v>
      </c>
      <c r="M40" s="307">
        <f t="shared" si="109"/>
        <v>64</v>
      </c>
      <c r="N40" s="179"/>
      <c r="O40" s="36"/>
      <c r="P40" s="295" t="str">
        <f t="shared" si="80"/>
        <v/>
      </c>
      <c r="Q40" s="307">
        <f t="shared" ref="Q40:S40" si="110">sum(Q37:Q39)</f>
        <v>140</v>
      </c>
      <c r="R40" s="306">
        <f t="shared" si="110"/>
        <v>0</v>
      </c>
      <c r="S40" s="306">
        <f t="shared" si="110"/>
        <v>140</v>
      </c>
      <c r="T40" s="181"/>
    </row>
    <row r="41">
      <c r="A41" s="161"/>
      <c r="B41" s="194"/>
      <c r="C41" s="36"/>
      <c r="D41" s="36"/>
      <c r="E41" s="36"/>
      <c r="F41" s="179"/>
      <c r="G41" s="36"/>
      <c r="H41" s="36"/>
      <c r="I41" s="36"/>
      <c r="J41" s="179"/>
      <c r="K41" s="36"/>
      <c r="L41" s="36"/>
      <c r="M41" s="36"/>
      <c r="N41" s="179"/>
      <c r="O41" s="36"/>
      <c r="P41" s="295" t="str">
        <f t="shared" si="80"/>
        <v/>
      </c>
      <c r="Q41" s="36"/>
      <c r="R41" s="36"/>
      <c r="S41" s="36"/>
      <c r="T41" s="181"/>
    </row>
    <row r="42">
      <c r="A42" s="39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11"/>
    </row>
    <row r="43">
      <c r="A43" s="165" t="s">
        <v>13</v>
      </c>
      <c r="B43" s="212"/>
      <c r="C43" s="313">
        <f t="shared" ref="C43:E43" si="111">C40+C36+C31</f>
        <v>142</v>
      </c>
      <c r="D43" s="313">
        <f t="shared" si="111"/>
        <v>0</v>
      </c>
      <c r="E43" s="313">
        <f t="shared" si="111"/>
        <v>142</v>
      </c>
      <c r="F43" s="212"/>
      <c r="G43" s="313">
        <f t="shared" ref="G43:I43" si="112">G40+G36+G31</f>
        <v>167</v>
      </c>
      <c r="H43" s="313">
        <f t="shared" si="112"/>
        <v>0</v>
      </c>
      <c r="I43" s="313">
        <f t="shared" si="112"/>
        <v>167</v>
      </c>
      <c r="J43" s="212"/>
      <c r="K43" s="313">
        <f t="shared" ref="K43:M43" si="113">K40+K36+K31</f>
        <v>247</v>
      </c>
      <c r="L43" s="313">
        <f t="shared" si="113"/>
        <v>8</v>
      </c>
      <c r="M43" s="313">
        <f t="shared" si="113"/>
        <v>255</v>
      </c>
      <c r="N43" s="212"/>
      <c r="O43" s="212"/>
      <c r="P43" s="212"/>
      <c r="Q43" s="313">
        <f t="shared" ref="Q43:S43" si="114">Q40+Q36+Q31</f>
        <v>556</v>
      </c>
      <c r="R43" s="313">
        <f t="shared" si="114"/>
        <v>8</v>
      </c>
      <c r="S43" s="313">
        <f t="shared" si="114"/>
        <v>564</v>
      </c>
      <c r="T43" s="319"/>
    </row>
  </sheetData>
  <mergeCells count="15">
    <mergeCell ref="AD4:AF4"/>
    <mergeCell ref="AG4:AI4"/>
    <mergeCell ref="A24:T24"/>
    <mergeCell ref="C25:F25"/>
    <mergeCell ref="G25:J25"/>
    <mergeCell ref="K25:N25"/>
    <mergeCell ref="Q25:T25"/>
    <mergeCell ref="A3:T3"/>
    <mergeCell ref="Y3:AN3"/>
    <mergeCell ref="C4:F4"/>
    <mergeCell ref="G4:J4"/>
    <mergeCell ref="K4:N4"/>
    <mergeCell ref="Q4:T4"/>
    <mergeCell ref="AA4:AC4"/>
    <mergeCell ref="AL4:AN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3" t="s">
        <v>179</v>
      </c>
      <c r="T1" s="203"/>
      <c r="U1" s="203"/>
      <c r="V1" s="203"/>
      <c r="W1" s="203"/>
      <c r="X1" s="203"/>
    </row>
    <row r="2">
      <c r="B2" s="23" t="s">
        <v>180</v>
      </c>
      <c r="D2" s="179" t="s">
        <v>24</v>
      </c>
      <c r="E2" s="179" t="s">
        <v>25</v>
      </c>
      <c r="F2" s="23" t="s">
        <v>26</v>
      </c>
      <c r="G2" s="23" t="s">
        <v>181</v>
      </c>
      <c r="H2" s="23" t="s">
        <v>182</v>
      </c>
      <c r="J2" s="37" t="s">
        <v>141</v>
      </c>
      <c r="K2" s="37" t="s">
        <v>143</v>
      </c>
      <c r="L2" s="37" t="s">
        <v>183</v>
      </c>
      <c r="M2" s="37" t="s">
        <v>145</v>
      </c>
      <c r="N2" s="37" t="s">
        <v>146</v>
      </c>
      <c r="O2" s="37" t="s">
        <v>147</v>
      </c>
      <c r="P2" s="37" t="s">
        <v>148</v>
      </c>
      <c r="T2" s="203"/>
      <c r="U2" s="203"/>
      <c r="V2" s="203"/>
      <c r="W2" s="203"/>
      <c r="X2" s="203"/>
    </row>
    <row r="3">
      <c r="B3" s="37" t="s">
        <v>22</v>
      </c>
      <c r="D3" s="37">
        <f t="shared" ref="D3:D6" si="1">R3-N3</f>
        <v>69</v>
      </c>
      <c r="E3" s="66">
        <f t="shared" ref="E3:E6" si="2">N3</f>
        <v>2</v>
      </c>
      <c r="F3" s="131">
        <f t="shared" ref="F3:F16" si="3">sum(D3:E3)</f>
        <v>71</v>
      </c>
      <c r="G3" s="66">
        <f t="shared" ref="G3:G16" si="4">F3+F26+F48</f>
        <v>157</v>
      </c>
      <c r="H3" s="66">
        <f>'2024 - Q2'!Q6+'2024 - Q2'!R6-G3</f>
        <v>0</v>
      </c>
      <c r="J3" s="37">
        <v>46.0</v>
      </c>
      <c r="K3" s="37">
        <v>14.0</v>
      </c>
      <c r="L3" s="37">
        <v>7.0</v>
      </c>
      <c r="M3" s="37">
        <v>2.0</v>
      </c>
      <c r="N3" s="37">
        <v>2.0</v>
      </c>
      <c r="R3" s="66">
        <f t="shared" ref="R3:R6" si="5">sum(J3:Q3)</f>
        <v>71</v>
      </c>
      <c r="T3" s="203"/>
      <c r="U3" s="203"/>
      <c r="V3" s="203"/>
      <c r="W3" s="203"/>
      <c r="X3" s="203"/>
    </row>
    <row r="4">
      <c r="B4" s="37" t="s">
        <v>36</v>
      </c>
      <c r="D4" s="37">
        <f t="shared" si="1"/>
        <v>37</v>
      </c>
      <c r="E4" s="66">
        <f t="shared" si="2"/>
        <v>1</v>
      </c>
      <c r="F4" s="131">
        <f t="shared" si="3"/>
        <v>38</v>
      </c>
      <c r="G4" s="66">
        <f t="shared" si="4"/>
        <v>115</v>
      </c>
      <c r="H4" s="66">
        <f>'2024 - Q2'!Q7+'2024 - Q2'!R7-G4</f>
        <v>0</v>
      </c>
      <c r="J4" s="37">
        <v>26.0</v>
      </c>
      <c r="K4" s="37">
        <v>7.0</v>
      </c>
      <c r="L4" s="37">
        <v>1.0</v>
      </c>
      <c r="M4" s="37">
        <v>1.0</v>
      </c>
      <c r="N4" s="37">
        <v>1.0</v>
      </c>
      <c r="O4" s="37">
        <v>2.0</v>
      </c>
      <c r="R4" s="66">
        <f t="shared" si="5"/>
        <v>38</v>
      </c>
      <c r="T4" s="203"/>
      <c r="U4" s="203"/>
      <c r="V4" s="203"/>
      <c r="W4" s="203"/>
      <c r="X4" s="203"/>
    </row>
    <row r="5">
      <c r="B5" s="37" t="s">
        <v>40</v>
      </c>
      <c r="D5" s="37">
        <f t="shared" si="1"/>
        <v>42</v>
      </c>
      <c r="E5" s="66" t="str">
        <f t="shared" si="2"/>
        <v/>
      </c>
      <c r="F5" s="131">
        <f t="shared" si="3"/>
        <v>42</v>
      </c>
      <c r="G5" s="66">
        <f t="shared" si="4"/>
        <v>92</v>
      </c>
      <c r="H5" s="66">
        <f>'2024 - Q2'!Q8+'2024 - Q2'!R8-G5</f>
        <v>0</v>
      </c>
      <c r="J5" s="37">
        <v>33.0</v>
      </c>
      <c r="K5" s="37">
        <v>4.0</v>
      </c>
      <c r="L5" s="37">
        <v>4.0</v>
      </c>
      <c r="M5" s="37">
        <v>1.0</v>
      </c>
      <c r="R5" s="66">
        <f t="shared" si="5"/>
        <v>42</v>
      </c>
      <c r="T5" s="203"/>
      <c r="U5" s="203"/>
      <c r="V5" s="203"/>
      <c r="W5" s="203"/>
      <c r="X5" s="203"/>
    </row>
    <row r="6">
      <c r="B6" s="37" t="s">
        <v>41</v>
      </c>
      <c r="D6" s="37">
        <f t="shared" si="1"/>
        <v>65</v>
      </c>
      <c r="E6" s="66" t="str">
        <f t="shared" si="2"/>
        <v/>
      </c>
      <c r="F6" s="131">
        <f t="shared" si="3"/>
        <v>65</v>
      </c>
      <c r="G6" s="66">
        <f t="shared" si="4"/>
        <v>114</v>
      </c>
      <c r="H6" s="66">
        <f>'2024 - Q2'!Q9+'2024 - Q2'!R9-G6</f>
        <v>0</v>
      </c>
      <c r="J6" s="37">
        <v>43.0</v>
      </c>
      <c r="K6" s="37">
        <v>17.0</v>
      </c>
      <c r="L6" s="37">
        <v>4.0</v>
      </c>
      <c r="M6" s="37">
        <v>1.0</v>
      </c>
      <c r="R6" s="66">
        <f t="shared" si="5"/>
        <v>65</v>
      </c>
      <c r="T6" s="203"/>
      <c r="U6" s="203"/>
      <c r="V6" s="203"/>
      <c r="W6" s="203"/>
      <c r="X6" s="203"/>
    </row>
    <row r="7">
      <c r="B7" s="23" t="s">
        <v>44</v>
      </c>
      <c r="D7" s="318">
        <f t="shared" ref="D7:E7" si="6">sum(D3:D6)</f>
        <v>213</v>
      </c>
      <c r="E7" s="318">
        <f t="shared" si="6"/>
        <v>3</v>
      </c>
      <c r="F7" s="270">
        <f t="shared" si="3"/>
        <v>216</v>
      </c>
      <c r="G7" s="270">
        <f t="shared" si="4"/>
        <v>478</v>
      </c>
      <c r="H7" s="270">
        <f>'2024 - Q2'!Q10+'2024 - Q2'!R10-G7</f>
        <v>0</v>
      </c>
      <c r="T7" s="203"/>
      <c r="U7" s="203"/>
      <c r="V7" s="203"/>
      <c r="W7" s="203"/>
      <c r="X7" s="203"/>
    </row>
    <row r="8">
      <c r="B8" s="37" t="s">
        <v>47</v>
      </c>
      <c r="D8" s="37">
        <f t="shared" ref="D8:D11" si="7">R8-N8</f>
        <v>53</v>
      </c>
      <c r="E8" s="66" t="str">
        <f t="shared" ref="E8:E11" si="8">N8</f>
        <v/>
      </c>
      <c r="F8" s="131">
        <f t="shared" si="3"/>
        <v>53</v>
      </c>
      <c r="G8" s="66">
        <f t="shared" si="4"/>
        <v>107</v>
      </c>
      <c r="H8" s="66">
        <f>'2024 - Q2'!Q11+'2024 - Q2'!R11-G8</f>
        <v>0</v>
      </c>
      <c r="J8" s="37">
        <v>44.0</v>
      </c>
      <c r="K8" s="37">
        <v>7.0</v>
      </c>
      <c r="M8" s="37">
        <v>2.0</v>
      </c>
      <c r="R8" s="66">
        <f t="shared" ref="R8:R11" si="9">sum(J8:Q8)</f>
        <v>53</v>
      </c>
      <c r="T8" s="203"/>
      <c r="U8" s="203"/>
      <c r="V8" s="203"/>
      <c r="W8" s="203"/>
      <c r="X8" s="203"/>
    </row>
    <row r="9">
      <c r="B9" s="37" t="s">
        <v>51</v>
      </c>
      <c r="D9" s="37">
        <f t="shared" si="7"/>
        <v>54</v>
      </c>
      <c r="E9" s="66">
        <f t="shared" si="8"/>
        <v>1</v>
      </c>
      <c r="F9" s="131">
        <f t="shared" si="3"/>
        <v>55</v>
      </c>
      <c r="G9" s="66">
        <f t="shared" si="4"/>
        <v>113</v>
      </c>
      <c r="H9" s="66">
        <f>'2024 - Q2'!Q12+'2024 - Q2'!R12-G9</f>
        <v>0</v>
      </c>
      <c r="J9" s="37">
        <v>38.0</v>
      </c>
      <c r="K9" s="37">
        <v>12.0</v>
      </c>
      <c r="L9" s="37">
        <v>3.0</v>
      </c>
      <c r="M9" s="37">
        <v>1.0</v>
      </c>
      <c r="N9" s="37">
        <v>1.0</v>
      </c>
      <c r="R9" s="66">
        <f t="shared" si="9"/>
        <v>55</v>
      </c>
      <c r="T9" s="203"/>
      <c r="U9" s="203"/>
      <c r="V9" s="203"/>
      <c r="W9" s="203"/>
      <c r="X9" s="203"/>
    </row>
    <row r="10">
      <c r="B10" s="37" t="s">
        <v>52</v>
      </c>
      <c r="D10" s="37">
        <f t="shared" si="7"/>
        <v>49</v>
      </c>
      <c r="E10" s="66">
        <f t="shared" si="8"/>
        <v>1</v>
      </c>
      <c r="F10" s="131">
        <f t="shared" si="3"/>
        <v>50</v>
      </c>
      <c r="G10" s="66">
        <f t="shared" si="4"/>
        <v>114</v>
      </c>
      <c r="H10" s="66">
        <f>'2024 - Q2'!Q13+'2024 - Q2'!R13-G10</f>
        <v>0</v>
      </c>
      <c r="J10" s="37">
        <v>38.0</v>
      </c>
      <c r="K10" s="37">
        <v>6.0</v>
      </c>
      <c r="L10" s="37">
        <v>3.0</v>
      </c>
      <c r="M10" s="37">
        <v>2.0</v>
      </c>
      <c r="N10" s="37">
        <v>1.0</v>
      </c>
      <c r="R10" s="66">
        <f t="shared" si="9"/>
        <v>50</v>
      </c>
      <c r="T10" s="203"/>
      <c r="U10" s="203"/>
      <c r="V10" s="203"/>
      <c r="W10" s="203"/>
      <c r="X10" s="203"/>
    </row>
    <row r="11">
      <c r="B11" s="37" t="s">
        <v>53</v>
      </c>
      <c r="D11" s="37">
        <f t="shared" si="7"/>
        <v>68</v>
      </c>
      <c r="E11" s="66" t="str">
        <f t="shared" si="8"/>
        <v/>
      </c>
      <c r="F11" s="131">
        <f t="shared" si="3"/>
        <v>68</v>
      </c>
      <c r="G11" s="66">
        <f t="shared" si="4"/>
        <v>156</v>
      </c>
      <c r="H11" s="66">
        <f>'2024 - Q2'!Q14+'2024 - Q2'!R14-G11</f>
        <v>0</v>
      </c>
      <c r="J11" s="37">
        <v>50.0</v>
      </c>
      <c r="K11" s="37">
        <v>11.0</v>
      </c>
      <c r="L11" s="37">
        <v>6.0</v>
      </c>
      <c r="M11" s="37">
        <v>1.0</v>
      </c>
      <c r="R11" s="66">
        <f t="shared" si="9"/>
        <v>68</v>
      </c>
      <c r="T11" s="203"/>
      <c r="U11" s="203"/>
      <c r="V11" s="203"/>
      <c r="W11" s="203"/>
      <c r="X11" s="203"/>
    </row>
    <row r="12">
      <c r="B12" s="23" t="s">
        <v>54</v>
      </c>
      <c r="D12" s="318">
        <f t="shared" ref="D12:E12" si="10">sum(D8:D11)</f>
        <v>224</v>
      </c>
      <c r="E12" s="318">
        <f t="shared" si="10"/>
        <v>2</v>
      </c>
      <c r="F12" s="270">
        <f t="shared" si="3"/>
        <v>226</v>
      </c>
      <c r="G12" s="270">
        <f t="shared" si="4"/>
        <v>490</v>
      </c>
      <c r="H12" s="270">
        <f>'2024 - Q2'!Q15+'2024 - Q2'!R15-G12</f>
        <v>0</v>
      </c>
      <c r="T12" s="203"/>
      <c r="U12" s="203"/>
      <c r="V12" s="203"/>
      <c r="W12" s="203"/>
      <c r="X12" s="203"/>
    </row>
    <row r="13">
      <c r="B13" s="37" t="s">
        <v>55</v>
      </c>
      <c r="D13" s="37">
        <f t="shared" ref="D13:D15" si="11">R13-N13</f>
        <v>32</v>
      </c>
      <c r="E13" s="66">
        <f t="shared" ref="E13:E15" si="12">N13</f>
        <v>23</v>
      </c>
      <c r="F13" s="131">
        <f t="shared" si="3"/>
        <v>55</v>
      </c>
      <c r="G13" s="66">
        <f t="shared" si="4"/>
        <v>127</v>
      </c>
      <c r="H13" s="66">
        <f>'2024 - Q2'!Q16+'2024 - Q2'!R16-G13</f>
        <v>0</v>
      </c>
      <c r="J13" s="37">
        <v>18.0</v>
      </c>
      <c r="K13" s="37">
        <v>8.0</v>
      </c>
      <c r="L13" s="37">
        <v>1.0</v>
      </c>
      <c r="M13" s="37">
        <v>4.0</v>
      </c>
      <c r="N13" s="37">
        <v>23.0</v>
      </c>
      <c r="P13" s="37">
        <v>1.0</v>
      </c>
      <c r="R13" s="66">
        <f t="shared" ref="R13:R15" si="13">sum(J13:Q13)</f>
        <v>55</v>
      </c>
      <c r="T13" s="203"/>
      <c r="U13" s="203"/>
      <c r="V13" s="203"/>
      <c r="W13" s="203"/>
      <c r="X13" s="203"/>
    </row>
    <row r="14">
      <c r="B14" s="37" t="s">
        <v>57</v>
      </c>
      <c r="D14" s="37">
        <f t="shared" si="11"/>
        <v>53</v>
      </c>
      <c r="E14" s="66" t="str">
        <f t="shared" si="12"/>
        <v/>
      </c>
      <c r="F14" s="131">
        <f t="shared" si="3"/>
        <v>53</v>
      </c>
      <c r="G14" s="66">
        <f t="shared" si="4"/>
        <v>112</v>
      </c>
      <c r="H14" s="66">
        <f>'2024 - Q2'!Q17+'2024 - Q2'!R17-G14</f>
        <v>0</v>
      </c>
      <c r="J14" s="37">
        <v>26.0</v>
      </c>
      <c r="K14" s="37">
        <v>15.0</v>
      </c>
      <c r="L14" s="37">
        <v>7.0</v>
      </c>
      <c r="M14" s="37">
        <v>5.0</v>
      </c>
      <c r="R14" s="66">
        <f t="shared" si="13"/>
        <v>53</v>
      </c>
      <c r="T14" s="203"/>
      <c r="U14" s="203"/>
      <c r="V14" s="203"/>
      <c r="W14" s="203"/>
      <c r="X14" s="203"/>
    </row>
    <row r="15">
      <c r="B15" s="37" t="s">
        <v>58</v>
      </c>
      <c r="D15" s="37">
        <f t="shared" si="11"/>
        <v>25</v>
      </c>
      <c r="E15" s="66" t="str">
        <f t="shared" si="12"/>
        <v/>
      </c>
      <c r="F15" s="131">
        <f t="shared" si="3"/>
        <v>25</v>
      </c>
      <c r="G15" s="66">
        <f t="shared" si="4"/>
        <v>47</v>
      </c>
      <c r="H15" s="66">
        <f>'2024 - Q2'!Q18+'2024 - Q2'!R18-G15</f>
        <v>0</v>
      </c>
      <c r="J15" s="37">
        <v>23.0</v>
      </c>
      <c r="K15" s="37">
        <v>2.0</v>
      </c>
      <c r="R15" s="66">
        <f t="shared" si="13"/>
        <v>25</v>
      </c>
      <c r="T15" s="203"/>
      <c r="U15" s="203"/>
      <c r="V15" s="203"/>
      <c r="W15" s="203"/>
      <c r="X15" s="203"/>
    </row>
    <row r="16">
      <c r="B16" s="23" t="s">
        <v>59</v>
      </c>
      <c r="D16" s="318">
        <f t="shared" ref="D16:E16" si="14">sum(D13:D15)</f>
        <v>110</v>
      </c>
      <c r="E16" s="318">
        <f t="shared" si="14"/>
        <v>23</v>
      </c>
      <c r="F16" s="270">
        <f t="shared" si="3"/>
        <v>133</v>
      </c>
      <c r="G16" s="270">
        <f t="shared" si="4"/>
        <v>286</v>
      </c>
      <c r="H16" s="270">
        <f>'2024 - Q2'!Q19+'2024 - Q2'!R19-G16</f>
        <v>0</v>
      </c>
      <c r="T16" s="203"/>
      <c r="U16" s="203"/>
      <c r="V16" s="203"/>
      <c r="W16" s="203"/>
      <c r="X16" s="203"/>
    </row>
    <row r="17">
      <c r="T17" s="203"/>
      <c r="U17" s="203"/>
      <c r="V17" s="203"/>
      <c r="W17" s="203"/>
      <c r="X17" s="203"/>
    </row>
    <row r="18">
      <c r="T18" s="203"/>
      <c r="U18" s="203"/>
      <c r="V18" s="203"/>
      <c r="W18" s="203"/>
      <c r="X18" s="203"/>
    </row>
    <row r="19">
      <c r="B19" s="23" t="s">
        <v>13</v>
      </c>
      <c r="D19" s="318">
        <f t="shared" ref="D19:E19" si="15">D16+D12+D7</f>
        <v>547</v>
      </c>
      <c r="E19" s="318">
        <f t="shared" si="15"/>
        <v>28</v>
      </c>
      <c r="F19" s="270">
        <f>sum(D19:E19)</f>
        <v>575</v>
      </c>
      <c r="G19" s="270">
        <f>F19+F42+F64</f>
        <v>1254</v>
      </c>
      <c r="H19" s="270">
        <f>'2024 - Q2'!Q22+'2024 - Q2'!R22-G19</f>
        <v>0</v>
      </c>
      <c r="T19" s="203"/>
      <c r="U19" s="203"/>
      <c r="V19" s="203"/>
      <c r="W19" s="203"/>
      <c r="X19" s="203"/>
    </row>
    <row r="20">
      <c r="T20" s="203"/>
      <c r="U20" s="203"/>
      <c r="V20" s="203"/>
      <c r="W20" s="203"/>
      <c r="X20" s="203"/>
    </row>
    <row r="21">
      <c r="T21" s="203"/>
      <c r="U21" s="203"/>
      <c r="V21" s="203"/>
      <c r="W21" s="203"/>
      <c r="X21" s="203"/>
    </row>
    <row r="22">
      <c r="T22" s="203"/>
      <c r="U22" s="203"/>
      <c r="V22" s="203"/>
      <c r="W22" s="203"/>
      <c r="X22" s="203"/>
    </row>
    <row r="23">
      <c r="T23" s="203" t="s">
        <v>184</v>
      </c>
    </row>
    <row r="24">
      <c r="B24" s="23" t="s">
        <v>185</v>
      </c>
      <c r="J24" s="23" t="s">
        <v>186</v>
      </c>
      <c r="K24" s="23" t="s">
        <v>186</v>
      </c>
      <c r="L24" s="23" t="s">
        <v>187</v>
      </c>
      <c r="M24" s="23" t="s">
        <v>187</v>
      </c>
      <c r="N24" s="23" t="s">
        <v>188</v>
      </c>
      <c r="O24" s="23" t="s">
        <v>188</v>
      </c>
      <c r="P24" s="23" t="s">
        <v>160</v>
      </c>
      <c r="Q24" s="23" t="s">
        <v>160</v>
      </c>
      <c r="T24" s="23" t="s">
        <v>189</v>
      </c>
    </row>
    <row r="25">
      <c r="B25" s="23" t="s">
        <v>180</v>
      </c>
      <c r="D25" s="179" t="s">
        <v>24</v>
      </c>
      <c r="E25" s="179" t="s">
        <v>25</v>
      </c>
      <c r="F25" s="23" t="s">
        <v>26</v>
      </c>
      <c r="H25" s="23" t="s">
        <v>180</v>
      </c>
      <c r="I25" s="37" t="s">
        <v>190</v>
      </c>
      <c r="J25" s="23" t="s">
        <v>191</v>
      </c>
      <c r="K25" s="23" t="s">
        <v>192</v>
      </c>
      <c r="L25" s="23" t="s">
        <v>191</v>
      </c>
      <c r="M25" s="23" t="s">
        <v>192</v>
      </c>
      <c r="N25" s="23" t="s">
        <v>191</v>
      </c>
      <c r="O25" s="23" t="s">
        <v>192</v>
      </c>
      <c r="P25" s="23" t="s">
        <v>191</v>
      </c>
      <c r="Q25" s="23" t="s">
        <v>192</v>
      </c>
      <c r="R25" s="23" t="s">
        <v>13</v>
      </c>
      <c r="T25" s="23" t="s">
        <v>180</v>
      </c>
      <c r="V25" s="179" t="s">
        <v>193</v>
      </c>
      <c r="W25" s="179"/>
      <c r="X25" s="23" t="s">
        <v>26</v>
      </c>
    </row>
    <row r="26">
      <c r="B26" s="37" t="s">
        <v>22</v>
      </c>
      <c r="D26" s="37">
        <v>50.0</v>
      </c>
      <c r="E26" s="37">
        <v>2.0</v>
      </c>
      <c r="F26" s="131">
        <f t="shared" ref="F26:F39" si="16">sum(D26:E26)</f>
        <v>52</v>
      </c>
      <c r="H26" s="37" t="s">
        <v>22</v>
      </c>
      <c r="I26" s="37">
        <v>5.0</v>
      </c>
      <c r="J26" s="128">
        <v>1.0</v>
      </c>
      <c r="K26" s="37">
        <v>1.0</v>
      </c>
      <c r="M26" s="37">
        <v>2.0</v>
      </c>
      <c r="P26" s="69">
        <f t="shared" ref="P26:P29" si="17">J26+L26+N26</f>
        <v>1</v>
      </c>
      <c r="Q26" s="66">
        <f t="shared" ref="Q26:Q29" si="18">O26+M26+K26</f>
        <v>3</v>
      </c>
      <c r="R26" s="69">
        <f t="shared" ref="R26:R29" si="19">P26+I26</f>
        <v>6</v>
      </c>
      <c r="T26" s="37" t="s">
        <v>22</v>
      </c>
      <c r="V26" s="37">
        <v>136.0</v>
      </c>
      <c r="X26" s="131">
        <f t="shared" ref="X26:X39" si="20">sum(V26:W26)</f>
        <v>136</v>
      </c>
    </row>
    <row r="27">
      <c r="B27" s="37" t="s">
        <v>36</v>
      </c>
      <c r="D27" s="37">
        <v>30.0</v>
      </c>
      <c r="E27" s="37">
        <v>1.0</v>
      </c>
      <c r="F27" s="131">
        <f t="shared" si="16"/>
        <v>31</v>
      </c>
      <c r="H27" s="37" t="s">
        <v>36</v>
      </c>
      <c r="I27" s="37">
        <v>3.0</v>
      </c>
      <c r="J27" s="128"/>
      <c r="K27" s="37">
        <v>1.0</v>
      </c>
      <c r="M27" s="37">
        <v>3.0</v>
      </c>
      <c r="O27" s="37">
        <v>1.0</v>
      </c>
      <c r="P27" s="69">
        <f t="shared" si="17"/>
        <v>0</v>
      </c>
      <c r="Q27" s="66">
        <f t="shared" si="18"/>
        <v>5</v>
      </c>
      <c r="R27" s="69">
        <f t="shared" si="19"/>
        <v>3</v>
      </c>
      <c r="T27" s="37" t="s">
        <v>36</v>
      </c>
      <c r="V27" s="37">
        <v>27.0</v>
      </c>
      <c r="X27" s="131">
        <f t="shared" si="20"/>
        <v>27</v>
      </c>
    </row>
    <row r="28">
      <c r="B28" s="37" t="s">
        <v>40</v>
      </c>
      <c r="D28" s="37">
        <v>15.0</v>
      </c>
      <c r="E28" s="37"/>
      <c r="F28" s="131">
        <f t="shared" si="16"/>
        <v>15</v>
      </c>
      <c r="H28" s="37" t="s">
        <v>40</v>
      </c>
      <c r="I28" s="37">
        <v>8.0</v>
      </c>
      <c r="J28" s="128"/>
      <c r="K28" s="37">
        <v>4.0</v>
      </c>
      <c r="P28" s="69">
        <f t="shared" si="17"/>
        <v>0</v>
      </c>
      <c r="Q28" s="66">
        <f t="shared" si="18"/>
        <v>4</v>
      </c>
      <c r="R28" s="69">
        <f t="shared" si="19"/>
        <v>8</v>
      </c>
      <c r="T28" s="37" t="s">
        <v>40</v>
      </c>
      <c r="X28" s="131">
        <f t="shared" si="20"/>
        <v>0</v>
      </c>
    </row>
    <row r="29">
      <c r="B29" s="37" t="s">
        <v>41</v>
      </c>
      <c r="D29" s="37">
        <v>27.0</v>
      </c>
      <c r="E29" s="37">
        <v>1.0</v>
      </c>
      <c r="F29" s="131">
        <f t="shared" si="16"/>
        <v>28</v>
      </c>
      <c r="H29" s="37" t="s">
        <v>41</v>
      </c>
      <c r="I29" s="37">
        <v>1.0</v>
      </c>
      <c r="J29" s="128"/>
      <c r="K29" s="37">
        <v>1.0</v>
      </c>
      <c r="L29" s="37">
        <v>1.0</v>
      </c>
      <c r="M29" s="37">
        <v>1.0</v>
      </c>
      <c r="O29" s="37">
        <v>4.0</v>
      </c>
      <c r="P29" s="69">
        <f t="shared" si="17"/>
        <v>1</v>
      </c>
      <c r="Q29" s="66">
        <f t="shared" si="18"/>
        <v>6</v>
      </c>
      <c r="R29" s="69">
        <f t="shared" si="19"/>
        <v>2</v>
      </c>
      <c r="T29" s="37" t="s">
        <v>41</v>
      </c>
      <c r="V29" s="37">
        <v>1.0</v>
      </c>
      <c r="X29" s="131">
        <f t="shared" si="20"/>
        <v>1</v>
      </c>
    </row>
    <row r="30">
      <c r="B30" s="23" t="s">
        <v>44</v>
      </c>
      <c r="D30" s="318">
        <f t="shared" ref="D30:E30" si="21">sum(D26:D29)</f>
        <v>122</v>
      </c>
      <c r="E30" s="318">
        <f t="shared" si="21"/>
        <v>4</v>
      </c>
      <c r="F30" s="270">
        <f t="shared" si="16"/>
        <v>126</v>
      </c>
      <c r="H30" s="23" t="s">
        <v>44</v>
      </c>
      <c r="I30" s="318">
        <f t="shared" ref="I30:R30" si="22">sum(I26:I29)</f>
        <v>17</v>
      </c>
      <c r="J30" s="318">
        <f t="shared" si="22"/>
        <v>1</v>
      </c>
      <c r="K30" s="318">
        <f t="shared" si="22"/>
        <v>7</v>
      </c>
      <c r="L30" s="318">
        <f t="shared" si="22"/>
        <v>1</v>
      </c>
      <c r="M30" s="318">
        <f t="shared" si="22"/>
        <v>6</v>
      </c>
      <c r="N30" s="318">
        <f t="shared" si="22"/>
        <v>0</v>
      </c>
      <c r="O30" s="318">
        <f t="shared" si="22"/>
        <v>5</v>
      </c>
      <c r="P30" s="318">
        <f t="shared" si="22"/>
        <v>2</v>
      </c>
      <c r="Q30" s="318">
        <f t="shared" si="22"/>
        <v>18</v>
      </c>
      <c r="R30" s="318">
        <f t="shared" si="22"/>
        <v>19</v>
      </c>
      <c r="T30" s="23" t="s">
        <v>44</v>
      </c>
      <c r="V30" s="318">
        <f t="shared" ref="V30:W30" si="23">sum(V26:V29)</f>
        <v>164</v>
      </c>
      <c r="W30" s="318">
        <f t="shared" si="23"/>
        <v>0</v>
      </c>
      <c r="X30" s="270">
        <f t="shared" si="20"/>
        <v>164</v>
      </c>
    </row>
    <row r="31">
      <c r="B31" s="37" t="s">
        <v>47</v>
      </c>
      <c r="D31" s="37">
        <v>40.0</v>
      </c>
      <c r="E31" s="37">
        <v>1.0</v>
      </c>
      <c r="F31" s="131">
        <f t="shared" si="16"/>
        <v>41</v>
      </c>
      <c r="H31" s="37" t="s">
        <v>47</v>
      </c>
      <c r="I31" s="37">
        <v>6.0</v>
      </c>
      <c r="J31" s="128"/>
      <c r="K31" s="37">
        <v>1.0</v>
      </c>
      <c r="O31" s="37">
        <v>1.0</v>
      </c>
      <c r="P31" s="69">
        <f t="shared" ref="P31:P34" si="24">J31+L31+N31</f>
        <v>0</v>
      </c>
      <c r="Q31" s="66">
        <f t="shared" ref="Q31:Q34" si="25">O31+M31+K31</f>
        <v>2</v>
      </c>
      <c r="R31" s="69">
        <f t="shared" ref="R31:R34" si="26">P31+I31</f>
        <v>6</v>
      </c>
      <c r="T31" s="37" t="s">
        <v>47</v>
      </c>
      <c r="V31" s="128"/>
      <c r="X31" s="270">
        <f t="shared" si="20"/>
        <v>0</v>
      </c>
    </row>
    <row r="32">
      <c r="B32" s="37" t="s">
        <v>51</v>
      </c>
      <c r="D32" s="37">
        <v>27.0</v>
      </c>
      <c r="E32" s="37"/>
      <c r="F32" s="131">
        <f t="shared" si="16"/>
        <v>27</v>
      </c>
      <c r="H32" s="37" t="s">
        <v>51</v>
      </c>
      <c r="I32" s="37">
        <v>2.0</v>
      </c>
      <c r="J32" s="128"/>
      <c r="K32" s="37">
        <v>5.0</v>
      </c>
      <c r="O32" s="37">
        <v>1.0</v>
      </c>
      <c r="P32" s="69">
        <f t="shared" si="24"/>
        <v>0</v>
      </c>
      <c r="Q32" s="66">
        <f t="shared" si="25"/>
        <v>6</v>
      </c>
      <c r="R32" s="69">
        <f t="shared" si="26"/>
        <v>2</v>
      </c>
      <c r="T32" s="37" t="s">
        <v>51</v>
      </c>
      <c r="V32" s="128">
        <v>19.0</v>
      </c>
      <c r="X32" s="270">
        <f t="shared" si="20"/>
        <v>19</v>
      </c>
    </row>
    <row r="33">
      <c r="B33" s="37" t="s">
        <v>52</v>
      </c>
      <c r="D33" s="37">
        <v>24.0</v>
      </c>
      <c r="E33" s="37">
        <v>0.0</v>
      </c>
      <c r="F33" s="131">
        <f t="shared" si="16"/>
        <v>24</v>
      </c>
      <c r="H33" s="37" t="s">
        <v>52</v>
      </c>
      <c r="I33" s="37">
        <v>2.0</v>
      </c>
      <c r="J33" s="128"/>
      <c r="K33" s="37">
        <v>3.0</v>
      </c>
      <c r="N33" s="37">
        <v>1.0</v>
      </c>
      <c r="P33" s="69">
        <f t="shared" si="24"/>
        <v>1</v>
      </c>
      <c r="Q33" s="66">
        <f t="shared" si="25"/>
        <v>3</v>
      </c>
      <c r="R33" s="69">
        <f t="shared" si="26"/>
        <v>3</v>
      </c>
      <c r="T33" s="37" t="s">
        <v>52</v>
      </c>
      <c r="V33" s="128"/>
      <c r="X33" s="270">
        <f t="shared" si="20"/>
        <v>0</v>
      </c>
    </row>
    <row r="34">
      <c r="B34" s="37" t="s">
        <v>53</v>
      </c>
      <c r="D34" s="37">
        <v>43.0</v>
      </c>
      <c r="E34" s="37"/>
      <c r="F34" s="131">
        <f t="shared" si="16"/>
        <v>43</v>
      </c>
      <c r="H34" s="37" t="s">
        <v>53</v>
      </c>
      <c r="I34" s="37">
        <v>7.0</v>
      </c>
      <c r="J34" s="128">
        <v>1.0</v>
      </c>
      <c r="M34" s="37">
        <v>1.0</v>
      </c>
      <c r="O34" s="37">
        <v>3.0</v>
      </c>
      <c r="P34" s="69">
        <f t="shared" si="24"/>
        <v>1</v>
      </c>
      <c r="Q34" s="66">
        <f t="shared" si="25"/>
        <v>4</v>
      </c>
      <c r="R34" s="69">
        <f t="shared" si="26"/>
        <v>8</v>
      </c>
      <c r="T34" s="37" t="s">
        <v>53</v>
      </c>
      <c r="V34" s="128"/>
      <c r="X34" s="270">
        <f t="shared" si="20"/>
        <v>0</v>
      </c>
    </row>
    <row r="35">
      <c r="B35" s="23" t="s">
        <v>54</v>
      </c>
      <c r="D35" s="318">
        <f t="shared" ref="D35:E35" si="27">sum(D31:D34)</f>
        <v>134</v>
      </c>
      <c r="E35" s="318">
        <f t="shared" si="27"/>
        <v>1</v>
      </c>
      <c r="F35" s="270">
        <f t="shared" si="16"/>
        <v>135</v>
      </c>
      <c r="H35" s="23" t="s">
        <v>54</v>
      </c>
      <c r="I35" s="318">
        <f t="shared" ref="I35:R35" si="28">sum(I31:I34)</f>
        <v>17</v>
      </c>
      <c r="J35" s="318">
        <f t="shared" si="28"/>
        <v>1</v>
      </c>
      <c r="K35" s="318">
        <f t="shared" si="28"/>
        <v>9</v>
      </c>
      <c r="L35" s="318">
        <f t="shared" si="28"/>
        <v>0</v>
      </c>
      <c r="M35" s="318">
        <f t="shared" si="28"/>
        <v>1</v>
      </c>
      <c r="N35" s="318">
        <f t="shared" si="28"/>
        <v>1</v>
      </c>
      <c r="O35" s="318">
        <f t="shared" si="28"/>
        <v>5</v>
      </c>
      <c r="P35" s="318">
        <f t="shared" si="28"/>
        <v>2</v>
      </c>
      <c r="Q35" s="318">
        <f t="shared" si="28"/>
        <v>15</v>
      </c>
      <c r="R35" s="318">
        <f t="shared" si="28"/>
        <v>19</v>
      </c>
      <c r="T35" s="23" t="s">
        <v>54</v>
      </c>
      <c r="V35" s="318">
        <f t="shared" ref="V35:W35" si="29">sum(V31:V34)</f>
        <v>19</v>
      </c>
      <c r="W35" s="318">
        <f t="shared" si="29"/>
        <v>0</v>
      </c>
      <c r="X35" s="270">
        <f t="shared" si="20"/>
        <v>19</v>
      </c>
    </row>
    <row r="36">
      <c r="B36" s="37" t="s">
        <v>55</v>
      </c>
      <c r="D36" s="37">
        <v>27.0</v>
      </c>
      <c r="E36" s="37">
        <v>7.0</v>
      </c>
      <c r="F36" s="131">
        <f t="shared" si="16"/>
        <v>34</v>
      </c>
      <c r="H36" s="37" t="s">
        <v>55</v>
      </c>
      <c r="I36" s="37">
        <v>3.0</v>
      </c>
      <c r="J36" s="128"/>
      <c r="K36" s="37">
        <v>8.0</v>
      </c>
      <c r="M36" s="37">
        <v>1.0</v>
      </c>
      <c r="P36" s="69">
        <f t="shared" ref="P36:P38" si="30">J36+L36+N36</f>
        <v>0</v>
      </c>
      <c r="Q36" s="66">
        <f t="shared" ref="Q36:Q38" si="31">O36+M36+K36</f>
        <v>9</v>
      </c>
      <c r="R36" s="69">
        <f t="shared" ref="R36:R38" si="32">P36+I36</f>
        <v>3</v>
      </c>
      <c r="T36" s="37" t="s">
        <v>55</v>
      </c>
      <c r="V36" s="128">
        <v>64.0</v>
      </c>
      <c r="X36" s="270">
        <f t="shared" si="20"/>
        <v>64</v>
      </c>
    </row>
    <row r="37">
      <c r="B37" s="37" t="s">
        <v>57</v>
      </c>
      <c r="D37" s="37">
        <v>32.0</v>
      </c>
      <c r="E37" s="37">
        <v>1.0</v>
      </c>
      <c r="F37" s="131">
        <f t="shared" si="16"/>
        <v>33</v>
      </c>
      <c r="H37" s="37" t="s">
        <v>57</v>
      </c>
      <c r="I37" s="37">
        <v>4.0</v>
      </c>
      <c r="J37" s="128"/>
      <c r="K37" s="37">
        <v>2.0</v>
      </c>
      <c r="M37" s="37">
        <v>1.0</v>
      </c>
      <c r="P37" s="69">
        <f t="shared" si="30"/>
        <v>0</v>
      </c>
      <c r="Q37" s="66">
        <f t="shared" si="31"/>
        <v>3</v>
      </c>
      <c r="R37" s="69">
        <f t="shared" si="32"/>
        <v>4</v>
      </c>
      <c r="T37" s="37" t="s">
        <v>57</v>
      </c>
      <c r="V37" s="128"/>
      <c r="X37" s="270">
        <f t="shared" si="20"/>
        <v>0</v>
      </c>
    </row>
    <row r="38">
      <c r="B38" s="37" t="s">
        <v>58</v>
      </c>
      <c r="D38" s="37">
        <v>12.0</v>
      </c>
      <c r="E38" s="37"/>
      <c r="F38" s="131">
        <f t="shared" si="16"/>
        <v>12</v>
      </c>
      <c r="H38" s="37" t="s">
        <v>58</v>
      </c>
      <c r="I38" s="37">
        <v>1.0</v>
      </c>
      <c r="J38" s="128"/>
      <c r="N38" s="37">
        <v>1.0</v>
      </c>
      <c r="P38" s="69">
        <f t="shared" si="30"/>
        <v>1</v>
      </c>
      <c r="Q38" s="66">
        <f t="shared" si="31"/>
        <v>0</v>
      </c>
      <c r="R38" s="69">
        <f t="shared" si="32"/>
        <v>2</v>
      </c>
      <c r="T38" s="37" t="s">
        <v>58</v>
      </c>
      <c r="V38" s="128"/>
      <c r="X38" s="270">
        <f t="shared" si="20"/>
        <v>0</v>
      </c>
    </row>
    <row r="39">
      <c r="B39" s="23" t="s">
        <v>59</v>
      </c>
      <c r="D39" s="318">
        <f t="shared" ref="D39:E39" si="33">sum(D36:D38)</f>
        <v>71</v>
      </c>
      <c r="E39" s="318">
        <f t="shared" si="33"/>
        <v>8</v>
      </c>
      <c r="F39" s="270">
        <f t="shared" si="16"/>
        <v>79</v>
      </c>
      <c r="H39" s="23" t="s">
        <v>59</v>
      </c>
      <c r="I39" s="318">
        <f t="shared" ref="I39:R39" si="34">sum(I36:I38)</f>
        <v>8</v>
      </c>
      <c r="J39" s="318">
        <f t="shared" si="34"/>
        <v>0</v>
      </c>
      <c r="K39" s="318">
        <f t="shared" si="34"/>
        <v>10</v>
      </c>
      <c r="L39" s="318">
        <f t="shared" si="34"/>
        <v>0</v>
      </c>
      <c r="M39" s="318">
        <f t="shared" si="34"/>
        <v>2</v>
      </c>
      <c r="N39" s="318">
        <f t="shared" si="34"/>
        <v>1</v>
      </c>
      <c r="O39" s="318">
        <f t="shared" si="34"/>
        <v>0</v>
      </c>
      <c r="P39" s="318">
        <f t="shared" si="34"/>
        <v>1</v>
      </c>
      <c r="Q39" s="318">
        <f t="shared" si="34"/>
        <v>12</v>
      </c>
      <c r="R39" s="318">
        <f t="shared" si="34"/>
        <v>9</v>
      </c>
      <c r="T39" s="23" t="s">
        <v>59</v>
      </c>
      <c r="V39" s="318">
        <f t="shared" ref="V39:W39" si="35">sum(V36:V38)</f>
        <v>64</v>
      </c>
      <c r="W39" s="318">
        <f t="shared" si="35"/>
        <v>0</v>
      </c>
      <c r="X39" s="270">
        <f t="shared" si="20"/>
        <v>64</v>
      </c>
    </row>
    <row r="42">
      <c r="B42" s="23" t="s">
        <v>13</v>
      </c>
      <c r="D42" s="318">
        <f t="shared" ref="D42:E42" si="36">D39+D35+D30</f>
        <v>327</v>
      </c>
      <c r="E42" s="318">
        <f t="shared" si="36"/>
        <v>13</v>
      </c>
      <c r="F42" s="270">
        <f>sum(D42:E42)</f>
        <v>340</v>
      </c>
      <c r="H42" s="23" t="s">
        <v>13</v>
      </c>
      <c r="I42" s="318">
        <f t="shared" ref="I42:R42" si="37">I39+I35+I30</f>
        <v>42</v>
      </c>
      <c r="J42" s="318">
        <f t="shared" si="37"/>
        <v>2</v>
      </c>
      <c r="K42" s="318">
        <f t="shared" si="37"/>
        <v>26</v>
      </c>
      <c r="L42" s="318">
        <f t="shared" si="37"/>
        <v>1</v>
      </c>
      <c r="M42" s="318">
        <f t="shared" si="37"/>
        <v>9</v>
      </c>
      <c r="N42" s="318">
        <f t="shared" si="37"/>
        <v>2</v>
      </c>
      <c r="O42" s="318">
        <f t="shared" si="37"/>
        <v>10</v>
      </c>
      <c r="P42" s="318">
        <f t="shared" si="37"/>
        <v>5</v>
      </c>
      <c r="Q42" s="318">
        <f t="shared" si="37"/>
        <v>45</v>
      </c>
      <c r="R42" s="318">
        <f t="shared" si="37"/>
        <v>47</v>
      </c>
      <c r="T42" s="23" t="s">
        <v>13</v>
      </c>
      <c r="V42" s="318">
        <f t="shared" ref="V42:W42" si="38">V39+V35+V30</f>
        <v>247</v>
      </c>
      <c r="W42" s="318">
        <f t="shared" si="38"/>
        <v>0</v>
      </c>
      <c r="X42" s="270">
        <f>sum(V42:W42)</f>
        <v>247</v>
      </c>
    </row>
    <row r="44">
      <c r="H44" s="23" t="s">
        <v>194</v>
      </c>
      <c r="O44" s="320"/>
      <c r="P44" s="321">
        <f>P42+'2024 - Q2'!Z22</f>
        <v>47</v>
      </c>
      <c r="Q44" s="23"/>
      <c r="R44" s="23" t="s">
        <v>195</v>
      </c>
      <c r="T44" s="23" t="s">
        <v>150</v>
      </c>
      <c r="X44" s="322">
        <f>X42+F19</f>
        <v>822</v>
      </c>
      <c r="Y44" s="23">
        <v>824.0</v>
      </c>
      <c r="AA44" s="23"/>
    </row>
    <row r="46">
      <c r="B46" s="23" t="s">
        <v>196</v>
      </c>
      <c r="T46" s="203" t="s">
        <v>184</v>
      </c>
    </row>
    <row r="47">
      <c r="B47" s="23" t="s">
        <v>180</v>
      </c>
      <c r="D47" s="179" t="s">
        <v>24</v>
      </c>
      <c r="E47" s="179" t="s">
        <v>25</v>
      </c>
      <c r="F47" s="23" t="s">
        <v>26</v>
      </c>
      <c r="T47" s="23" t="s">
        <v>197</v>
      </c>
    </row>
    <row r="48">
      <c r="B48" s="37" t="s">
        <v>22</v>
      </c>
      <c r="D48" s="37">
        <v>33.0</v>
      </c>
      <c r="E48" s="37">
        <v>1.0</v>
      </c>
      <c r="F48" s="131">
        <f t="shared" ref="F48:F61" si="39">sum(D48:E48)</f>
        <v>34</v>
      </c>
      <c r="T48" s="23" t="s">
        <v>180</v>
      </c>
      <c r="V48" s="179" t="s">
        <v>193</v>
      </c>
      <c r="W48" s="179"/>
      <c r="X48" s="23" t="s">
        <v>26</v>
      </c>
    </row>
    <row r="49">
      <c r="B49" s="37" t="s">
        <v>36</v>
      </c>
      <c r="D49" s="37">
        <v>45.0</v>
      </c>
      <c r="E49" s="37">
        <v>1.0</v>
      </c>
      <c r="F49" s="131">
        <f t="shared" si="39"/>
        <v>46</v>
      </c>
      <c r="T49" s="37" t="s">
        <v>22</v>
      </c>
      <c r="V49" s="37">
        <v>89.0</v>
      </c>
      <c r="X49" s="131">
        <f t="shared" ref="X49:X62" si="40">sum(V49:W49)</f>
        <v>89</v>
      </c>
    </row>
    <row r="50">
      <c r="B50" s="37" t="s">
        <v>40</v>
      </c>
      <c r="D50" s="37">
        <v>34.0</v>
      </c>
      <c r="E50" s="37">
        <v>1.0</v>
      </c>
      <c r="F50" s="131">
        <f t="shared" si="39"/>
        <v>35</v>
      </c>
      <c r="T50" s="37" t="s">
        <v>36</v>
      </c>
      <c r="V50" s="37">
        <f>12-V73</f>
        <v>5</v>
      </c>
      <c r="X50" s="131">
        <f t="shared" si="40"/>
        <v>5</v>
      </c>
    </row>
    <row r="51">
      <c r="B51" s="37" t="s">
        <v>41</v>
      </c>
      <c r="D51" s="37">
        <v>21.0</v>
      </c>
      <c r="E51" s="37"/>
      <c r="F51" s="131">
        <f t="shared" si="39"/>
        <v>21</v>
      </c>
      <c r="T51" s="37" t="s">
        <v>40</v>
      </c>
      <c r="X51" s="131">
        <f t="shared" si="40"/>
        <v>0</v>
      </c>
    </row>
    <row r="52">
      <c r="B52" s="23" t="s">
        <v>44</v>
      </c>
      <c r="D52" s="318">
        <f t="shared" ref="D52:E52" si="41">sum(D48:D51)</f>
        <v>133</v>
      </c>
      <c r="E52" s="318">
        <f t="shared" si="41"/>
        <v>3</v>
      </c>
      <c r="F52" s="270">
        <f t="shared" si="39"/>
        <v>136</v>
      </c>
      <c r="T52" s="37" t="s">
        <v>41</v>
      </c>
      <c r="X52" s="131">
        <f t="shared" si="40"/>
        <v>0</v>
      </c>
    </row>
    <row r="53">
      <c r="B53" s="37" t="s">
        <v>47</v>
      </c>
      <c r="D53" s="99">
        <v>13.0</v>
      </c>
      <c r="E53" s="99"/>
      <c r="F53" s="131">
        <f t="shared" si="39"/>
        <v>13</v>
      </c>
      <c r="T53" s="23" t="s">
        <v>44</v>
      </c>
      <c r="V53" s="318">
        <f t="shared" ref="V53:W53" si="42">sum(V49:V52)</f>
        <v>94</v>
      </c>
      <c r="W53" s="318">
        <f t="shared" si="42"/>
        <v>0</v>
      </c>
      <c r="X53" s="270">
        <f t="shared" si="40"/>
        <v>94</v>
      </c>
    </row>
    <row r="54">
      <c r="B54" s="37" t="s">
        <v>51</v>
      </c>
      <c r="D54" s="99">
        <v>29.0</v>
      </c>
      <c r="E54" s="99">
        <v>2.0</v>
      </c>
      <c r="F54" s="131">
        <f t="shared" si="39"/>
        <v>31</v>
      </c>
      <c r="T54" s="37" t="s">
        <v>47</v>
      </c>
      <c r="V54" s="128"/>
      <c r="X54" s="270">
        <f t="shared" si="40"/>
        <v>0</v>
      </c>
    </row>
    <row r="55">
      <c r="B55" s="37" t="s">
        <v>52</v>
      </c>
      <c r="D55" s="99">
        <v>40.0</v>
      </c>
      <c r="E55" s="99"/>
      <c r="F55" s="131">
        <f t="shared" si="39"/>
        <v>40</v>
      </c>
      <c r="T55" s="37" t="s">
        <v>51</v>
      </c>
      <c r="V55" s="128">
        <f>54-V78</f>
        <v>30</v>
      </c>
      <c r="X55" s="270">
        <f t="shared" si="40"/>
        <v>30</v>
      </c>
    </row>
    <row r="56">
      <c r="B56" s="37" t="s">
        <v>53</v>
      </c>
      <c r="D56" s="99">
        <v>45.0</v>
      </c>
      <c r="E56" s="99"/>
      <c r="F56" s="131">
        <f t="shared" si="39"/>
        <v>45</v>
      </c>
      <c r="T56" s="37" t="s">
        <v>52</v>
      </c>
      <c r="V56" s="128"/>
      <c r="X56" s="270">
        <f t="shared" si="40"/>
        <v>0</v>
      </c>
    </row>
    <row r="57">
      <c r="B57" s="23" t="s">
        <v>54</v>
      </c>
      <c r="D57" s="318">
        <f t="shared" ref="D57:E57" si="43">sum(D53:D56)</f>
        <v>127</v>
      </c>
      <c r="E57" s="318">
        <f t="shared" si="43"/>
        <v>2</v>
      </c>
      <c r="F57" s="270">
        <f t="shared" si="39"/>
        <v>129</v>
      </c>
      <c r="T57" s="37" t="s">
        <v>53</v>
      </c>
      <c r="V57" s="128"/>
      <c r="X57" s="270">
        <f t="shared" si="40"/>
        <v>0</v>
      </c>
    </row>
    <row r="58">
      <c r="B58" s="37" t="s">
        <v>55</v>
      </c>
      <c r="D58" s="99">
        <v>29.0</v>
      </c>
      <c r="E58" s="99">
        <v>9.0</v>
      </c>
      <c r="F58" s="131">
        <f t="shared" si="39"/>
        <v>38</v>
      </c>
      <c r="T58" s="23" t="s">
        <v>54</v>
      </c>
      <c r="V58" s="318">
        <f t="shared" ref="V58:W58" si="44">sum(V54:V57)</f>
        <v>30</v>
      </c>
      <c r="W58" s="318">
        <f t="shared" si="44"/>
        <v>0</v>
      </c>
      <c r="X58" s="270">
        <f t="shared" si="40"/>
        <v>30</v>
      </c>
    </row>
    <row r="59">
      <c r="B59" s="37" t="s">
        <v>57</v>
      </c>
      <c r="D59" s="99">
        <v>26.0</v>
      </c>
      <c r="E59" s="99"/>
      <c r="F59" s="131">
        <f t="shared" si="39"/>
        <v>26</v>
      </c>
      <c r="T59" s="37" t="s">
        <v>55</v>
      </c>
      <c r="V59" s="128">
        <f>75-V82</f>
        <v>42</v>
      </c>
      <c r="X59" s="270">
        <f t="shared" si="40"/>
        <v>42</v>
      </c>
    </row>
    <row r="60">
      <c r="B60" s="37" t="s">
        <v>58</v>
      </c>
      <c r="D60" s="99">
        <v>10.0</v>
      </c>
      <c r="E60" s="99"/>
      <c r="F60" s="131">
        <f t="shared" si="39"/>
        <v>10</v>
      </c>
      <c r="T60" s="37" t="s">
        <v>57</v>
      </c>
      <c r="V60" s="128"/>
      <c r="X60" s="270">
        <f t="shared" si="40"/>
        <v>0</v>
      </c>
    </row>
    <row r="61">
      <c r="B61" s="23" t="s">
        <v>59</v>
      </c>
      <c r="D61" s="318">
        <f t="shared" ref="D61:E61" si="45">sum(D58:D60)</f>
        <v>65</v>
      </c>
      <c r="E61" s="318">
        <f t="shared" si="45"/>
        <v>9</v>
      </c>
      <c r="F61" s="270">
        <f t="shared" si="39"/>
        <v>74</v>
      </c>
      <c r="T61" s="37" t="s">
        <v>58</v>
      </c>
      <c r="V61" s="128">
        <f>1-V84</f>
        <v>1</v>
      </c>
      <c r="X61" s="270">
        <f t="shared" si="40"/>
        <v>1</v>
      </c>
    </row>
    <row r="62">
      <c r="T62" s="23" t="s">
        <v>59</v>
      </c>
      <c r="V62" s="318">
        <f t="shared" ref="V62:W62" si="46">sum(V59:V61)</f>
        <v>43</v>
      </c>
      <c r="W62" s="318">
        <f t="shared" si="46"/>
        <v>0</v>
      </c>
      <c r="X62" s="270">
        <f t="shared" si="40"/>
        <v>43</v>
      </c>
    </row>
    <row r="64">
      <c r="B64" s="23" t="s">
        <v>13</v>
      </c>
      <c r="D64" s="318">
        <f t="shared" ref="D64:E64" si="47">D61+D57+D52</f>
        <v>325</v>
      </c>
      <c r="E64" s="318">
        <f t="shared" si="47"/>
        <v>14</v>
      </c>
      <c r="F64" s="270">
        <f>sum(D64:E64)</f>
        <v>339</v>
      </c>
    </row>
    <row r="65">
      <c r="T65" s="23" t="s">
        <v>13</v>
      </c>
      <c r="V65" s="318">
        <f t="shared" ref="V65:W65" si="48">V62+V58+V53</f>
        <v>167</v>
      </c>
      <c r="W65" s="318">
        <f t="shared" si="48"/>
        <v>0</v>
      </c>
      <c r="X65" s="270">
        <f>sum(V65:W65)</f>
        <v>167</v>
      </c>
    </row>
    <row r="67">
      <c r="T67" s="23" t="s">
        <v>150</v>
      </c>
      <c r="X67" s="322">
        <f>X65+F42</f>
        <v>507</v>
      </c>
      <c r="Y67" s="23">
        <v>506.0</v>
      </c>
    </row>
    <row r="69">
      <c r="T69" s="203" t="s">
        <v>184</v>
      </c>
    </row>
    <row r="70">
      <c r="T70" s="23" t="s">
        <v>198</v>
      </c>
    </row>
    <row r="71">
      <c r="T71" s="23" t="s">
        <v>180</v>
      </c>
      <c r="V71" s="179" t="s">
        <v>193</v>
      </c>
      <c r="W71" s="179"/>
      <c r="X71" s="23" t="s">
        <v>26</v>
      </c>
    </row>
    <row r="72">
      <c r="T72" s="37" t="s">
        <v>22</v>
      </c>
      <c r="V72" s="37">
        <v>78.0</v>
      </c>
      <c r="X72" s="131">
        <f t="shared" ref="X72:X85" si="49">sum(V72:W72)</f>
        <v>78</v>
      </c>
    </row>
    <row r="73">
      <c r="T73" s="37" t="s">
        <v>36</v>
      </c>
      <c r="V73" s="37">
        <v>7.0</v>
      </c>
      <c r="X73" s="131">
        <f t="shared" si="49"/>
        <v>7</v>
      </c>
    </row>
    <row r="74">
      <c r="T74" s="37" t="s">
        <v>40</v>
      </c>
      <c r="X74" s="131">
        <f t="shared" si="49"/>
        <v>0</v>
      </c>
    </row>
    <row r="75">
      <c r="T75" s="37" t="s">
        <v>41</v>
      </c>
      <c r="X75" s="131">
        <f t="shared" si="49"/>
        <v>0</v>
      </c>
    </row>
    <row r="76">
      <c r="T76" s="23" t="s">
        <v>44</v>
      </c>
      <c r="V76" s="318">
        <f t="shared" ref="V76:W76" si="50">sum(V72:V75)</f>
        <v>85</v>
      </c>
      <c r="W76" s="318">
        <f t="shared" si="50"/>
        <v>0</v>
      </c>
      <c r="X76" s="270">
        <f t="shared" si="49"/>
        <v>85</v>
      </c>
      <c r="Z76" s="270"/>
    </row>
    <row r="77">
      <c r="T77" s="37" t="s">
        <v>47</v>
      </c>
      <c r="V77" s="128"/>
      <c r="X77" s="270">
        <f t="shared" si="49"/>
        <v>0</v>
      </c>
    </row>
    <row r="78">
      <c r="T78" s="37" t="s">
        <v>51</v>
      </c>
      <c r="V78" s="128">
        <v>24.0</v>
      </c>
      <c r="X78" s="270">
        <f t="shared" si="49"/>
        <v>24</v>
      </c>
    </row>
    <row r="79">
      <c r="T79" s="37" t="s">
        <v>52</v>
      </c>
      <c r="V79" s="128"/>
      <c r="X79" s="270">
        <f t="shared" si="49"/>
        <v>0</v>
      </c>
    </row>
    <row r="80">
      <c r="T80" s="37" t="s">
        <v>53</v>
      </c>
      <c r="V80" s="128"/>
      <c r="X80" s="270">
        <f t="shared" si="49"/>
        <v>0</v>
      </c>
    </row>
    <row r="81">
      <c r="T81" s="23" t="s">
        <v>54</v>
      </c>
      <c r="V81" s="318">
        <f t="shared" ref="V81:W81" si="51">sum(V77:V80)</f>
        <v>24</v>
      </c>
      <c r="W81" s="318">
        <f t="shared" si="51"/>
        <v>0</v>
      </c>
      <c r="X81" s="270">
        <f t="shared" si="49"/>
        <v>24</v>
      </c>
    </row>
    <row r="82">
      <c r="T82" s="37" t="s">
        <v>55</v>
      </c>
      <c r="V82" s="128">
        <v>33.0</v>
      </c>
      <c r="X82" s="270">
        <f t="shared" si="49"/>
        <v>33</v>
      </c>
    </row>
    <row r="83">
      <c r="T83" s="37" t="s">
        <v>57</v>
      </c>
      <c r="V83" s="128"/>
      <c r="X83" s="270">
        <f t="shared" si="49"/>
        <v>0</v>
      </c>
    </row>
    <row r="84">
      <c r="T84" s="37" t="s">
        <v>58</v>
      </c>
      <c r="V84" s="128"/>
      <c r="X84" s="270">
        <f t="shared" si="49"/>
        <v>0</v>
      </c>
    </row>
    <row r="85">
      <c r="T85" s="23" t="s">
        <v>59</v>
      </c>
      <c r="V85" s="318">
        <f t="shared" ref="V85:W85" si="52">sum(V82:V84)</f>
        <v>33</v>
      </c>
      <c r="W85" s="318">
        <f t="shared" si="52"/>
        <v>0</v>
      </c>
      <c r="X85" s="270">
        <f t="shared" si="49"/>
        <v>33</v>
      </c>
    </row>
    <row r="88">
      <c r="T88" s="23" t="s">
        <v>13</v>
      </c>
      <c r="V88" s="318">
        <f t="shared" ref="V88:W88" si="53">V85+V81+V76</f>
        <v>142</v>
      </c>
      <c r="W88" s="318">
        <f t="shared" si="53"/>
        <v>0</v>
      </c>
      <c r="X88" s="270">
        <f>sum(V88:W88)</f>
        <v>142</v>
      </c>
    </row>
    <row r="90">
      <c r="T90" s="23" t="s">
        <v>150</v>
      </c>
      <c r="X90" s="322">
        <f>X88+F64</f>
        <v>481</v>
      </c>
      <c r="Y90" s="23">
        <v>480.0</v>
      </c>
    </row>
    <row r="92">
      <c r="X92" s="270">
        <f t="shared" ref="X92:Y92" si="54">X90+X67+X44</f>
        <v>1810</v>
      </c>
      <c r="Y92" s="131">
        <f t="shared" si="54"/>
        <v>1810</v>
      </c>
    </row>
  </sheetData>
  <mergeCells count="3">
    <mergeCell ref="T23:X23"/>
    <mergeCell ref="T46:X46"/>
    <mergeCell ref="T69:X69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3"/>
      <c r="H1" s="23" t="s">
        <v>89</v>
      </c>
      <c r="I1" s="23" t="s">
        <v>90</v>
      </c>
      <c r="J1" s="23" t="s">
        <v>91</v>
      </c>
      <c r="N1" s="23"/>
      <c r="T1" s="23"/>
      <c r="Z1" s="23"/>
    </row>
    <row r="2">
      <c r="B2" s="23" t="s">
        <v>199</v>
      </c>
      <c r="G2" s="84" t="s">
        <v>22</v>
      </c>
      <c r="H2" s="128">
        <f t="shared" ref="H2:J2" si="1">B7</f>
        <v>34</v>
      </c>
      <c r="I2" s="128">
        <f t="shared" si="1"/>
        <v>40</v>
      </c>
      <c r="J2" s="128">
        <f t="shared" si="1"/>
        <v>25</v>
      </c>
      <c r="N2" s="23"/>
      <c r="T2" s="23"/>
      <c r="Z2" s="23"/>
    </row>
    <row r="3">
      <c r="B3" s="23" t="s">
        <v>89</v>
      </c>
      <c r="C3" s="23" t="s">
        <v>90</v>
      </c>
      <c r="D3" s="23" t="s">
        <v>91</v>
      </c>
      <c r="E3" s="23" t="s">
        <v>26</v>
      </c>
      <c r="G3" s="84" t="s">
        <v>36</v>
      </c>
      <c r="H3" s="128">
        <f t="shared" ref="H3:J3" si="2">B4</f>
        <v>28</v>
      </c>
      <c r="I3" s="128">
        <f t="shared" si="2"/>
        <v>37</v>
      </c>
      <c r="J3" s="128">
        <f t="shared" si="2"/>
        <v>29</v>
      </c>
      <c r="N3" s="23"/>
      <c r="T3" s="23"/>
      <c r="Z3" s="23"/>
    </row>
    <row r="4">
      <c r="A4" s="37" t="s">
        <v>36</v>
      </c>
      <c r="B4" s="128">
        <v>28.0</v>
      </c>
      <c r="C4" s="128">
        <v>37.0</v>
      </c>
      <c r="D4" s="128">
        <v>29.0</v>
      </c>
      <c r="E4" s="270">
        <f t="shared" ref="E4:E15" si="4">sum(B4:D4)</f>
        <v>94</v>
      </c>
      <c r="G4" s="84" t="s">
        <v>40</v>
      </c>
      <c r="H4" s="128">
        <f t="shared" ref="H4:J4" si="3">B5</f>
        <v>19</v>
      </c>
      <c r="I4" s="128">
        <f t="shared" si="3"/>
        <v>26</v>
      </c>
      <c r="J4" s="128">
        <f t="shared" si="3"/>
        <v>20</v>
      </c>
      <c r="N4" s="23"/>
      <c r="T4" s="23"/>
      <c r="Z4" s="23"/>
    </row>
    <row r="5">
      <c r="A5" s="37" t="s">
        <v>40</v>
      </c>
      <c r="B5" s="128">
        <v>19.0</v>
      </c>
      <c r="C5" s="128">
        <v>26.0</v>
      </c>
      <c r="D5" s="128">
        <v>20.0</v>
      </c>
      <c r="E5" s="270">
        <f t="shared" si="4"/>
        <v>65</v>
      </c>
      <c r="G5" s="84" t="s">
        <v>41</v>
      </c>
      <c r="H5" s="128">
        <f t="shared" ref="H5:J5" si="5">B6</f>
        <v>26</v>
      </c>
      <c r="I5" s="128">
        <f t="shared" si="5"/>
        <v>34</v>
      </c>
      <c r="J5" s="128">
        <f t="shared" si="5"/>
        <v>24</v>
      </c>
      <c r="N5" s="23"/>
      <c r="T5" s="23"/>
      <c r="Z5" s="23"/>
    </row>
    <row r="6">
      <c r="A6" s="37" t="s">
        <v>41</v>
      </c>
      <c r="B6" s="128">
        <v>26.0</v>
      </c>
      <c r="C6" s="128">
        <v>34.0</v>
      </c>
      <c r="D6" s="128">
        <v>24.0</v>
      </c>
      <c r="E6" s="270">
        <f t="shared" si="4"/>
        <v>84</v>
      </c>
      <c r="G6" s="206" t="s">
        <v>44</v>
      </c>
      <c r="H6" s="37"/>
      <c r="I6" s="37"/>
      <c r="J6" s="37"/>
      <c r="N6" s="23"/>
      <c r="T6" s="23"/>
      <c r="Z6" s="23"/>
    </row>
    <row r="7">
      <c r="A7" s="37" t="s">
        <v>22</v>
      </c>
      <c r="B7" s="128">
        <v>34.0</v>
      </c>
      <c r="C7" s="128">
        <v>40.0</v>
      </c>
      <c r="D7" s="128">
        <v>25.0</v>
      </c>
      <c r="E7" s="270">
        <f t="shared" si="4"/>
        <v>99</v>
      </c>
      <c r="G7" s="84" t="s">
        <v>47</v>
      </c>
      <c r="H7" s="128">
        <f t="shared" ref="H7:J7" si="6">B10</f>
        <v>29</v>
      </c>
      <c r="I7" s="128">
        <f t="shared" si="6"/>
        <v>34</v>
      </c>
      <c r="J7" s="128">
        <f t="shared" si="6"/>
        <v>20</v>
      </c>
      <c r="N7" s="23"/>
      <c r="T7" s="23"/>
      <c r="Z7" s="23"/>
    </row>
    <row r="8">
      <c r="A8" s="37" t="s">
        <v>52</v>
      </c>
      <c r="B8" s="128">
        <v>20.0</v>
      </c>
      <c r="C8" s="128">
        <v>21.0</v>
      </c>
      <c r="D8" s="128">
        <v>13.0</v>
      </c>
      <c r="E8" s="270">
        <f t="shared" si="4"/>
        <v>54</v>
      </c>
      <c r="G8" s="84" t="s">
        <v>51</v>
      </c>
      <c r="H8" s="128">
        <f t="shared" ref="H8:J8" si="7">B9</f>
        <v>22</v>
      </c>
      <c r="I8" s="128">
        <f t="shared" si="7"/>
        <v>31</v>
      </c>
      <c r="J8" s="128">
        <f t="shared" si="7"/>
        <v>21</v>
      </c>
      <c r="N8" s="23"/>
      <c r="T8" s="23"/>
      <c r="Z8" s="23"/>
    </row>
    <row r="9">
      <c r="A9" s="37" t="s">
        <v>51</v>
      </c>
      <c r="B9" s="128">
        <v>22.0</v>
      </c>
      <c r="C9" s="128">
        <v>31.0</v>
      </c>
      <c r="D9" s="128">
        <v>21.0</v>
      </c>
      <c r="E9" s="270">
        <f t="shared" si="4"/>
        <v>74</v>
      </c>
      <c r="G9" s="84" t="s">
        <v>52</v>
      </c>
      <c r="H9" s="128">
        <f t="shared" ref="H9:J9" si="8">B8</f>
        <v>20</v>
      </c>
      <c r="I9" s="128">
        <f t="shared" si="8"/>
        <v>21</v>
      </c>
      <c r="J9" s="128">
        <f t="shared" si="8"/>
        <v>13</v>
      </c>
      <c r="N9" s="23"/>
      <c r="T9" s="23"/>
      <c r="Z9" s="23"/>
    </row>
    <row r="10">
      <c r="A10" s="37" t="s">
        <v>47</v>
      </c>
      <c r="B10" s="128">
        <v>29.0</v>
      </c>
      <c r="C10" s="128">
        <v>34.0</v>
      </c>
      <c r="D10" s="128">
        <v>20.0</v>
      </c>
      <c r="E10" s="270">
        <f t="shared" si="4"/>
        <v>83</v>
      </c>
      <c r="G10" s="84" t="s">
        <v>53</v>
      </c>
      <c r="H10" s="128">
        <f t="shared" ref="H10:J10" si="9">B11</f>
        <v>33</v>
      </c>
      <c r="I10" s="128">
        <f t="shared" si="9"/>
        <v>45</v>
      </c>
      <c r="J10" s="128">
        <f t="shared" si="9"/>
        <v>27</v>
      </c>
      <c r="N10" s="23"/>
      <c r="T10" s="23"/>
      <c r="Z10" s="23"/>
    </row>
    <row r="11">
      <c r="A11" s="37" t="s">
        <v>53</v>
      </c>
      <c r="B11" s="128">
        <v>33.0</v>
      </c>
      <c r="C11" s="128">
        <v>45.0</v>
      </c>
      <c r="D11" s="128">
        <v>27.0</v>
      </c>
      <c r="E11" s="270">
        <f t="shared" si="4"/>
        <v>105</v>
      </c>
      <c r="G11" s="206" t="s">
        <v>54</v>
      </c>
      <c r="H11" s="37"/>
      <c r="I11" s="37"/>
      <c r="J11" s="37"/>
      <c r="N11" s="23"/>
      <c r="T11" s="23"/>
      <c r="Z11" s="23"/>
    </row>
    <row r="12">
      <c r="A12" s="37" t="s">
        <v>55</v>
      </c>
      <c r="B12" s="128">
        <v>20.0</v>
      </c>
      <c r="C12" s="128">
        <v>31.0</v>
      </c>
      <c r="D12" s="128">
        <v>24.0</v>
      </c>
      <c r="E12" s="270">
        <f t="shared" si="4"/>
        <v>75</v>
      </c>
      <c r="G12" s="84" t="s">
        <v>55</v>
      </c>
      <c r="H12" s="128">
        <f t="shared" ref="H12:J12" si="10">B12</f>
        <v>20</v>
      </c>
      <c r="I12" s="128">
        <f t="shared" si="10"/>
        <v>31</v>
      </c>
      <c r="J12" s="128">
        <f t="shared" si="10"/>
        <v>24</v>
      </c>
      <c r="N12" s="23"/>
      <c r="T12" s="23"/>
      <c r="Z12" s="23"/>
    </row>
    <row r="13">
      <c r="A13" s="37" t="s">
        <v>57</v>
      </c>
      <c r="B13" s="128">
        <v>28.0</v>
      </c>
      <c r="C13" s="128">
        <v>36.0</v>
      </c>
      <c r="D13" s="128">
        <v>24.0</v>
      </c>
      <c r="E13" s="270">
        <f t="shared" si="4"/>
        <v>88</v>
      </c>
      <c r="G13" s="84" t="s">
        <v>57</v>
      </c>
      <c r="H13" s="128">
        <f t="shared" ref="H13:J13" si="11">B13</f>
        <v>28</v>
      </c>
      <c r="I13" s="128">
        <f t="shared" si="11"/>
        <v>36</v>
      </c>
      <c r="J13" s="128">
        <f t="shared" si="11"/>
        <v>24</v>
      </c>
      <c r="N13" s="23"/>
      <c r="T13" s="23"/>
      <c r="Z13" s="23"/>
    </row>
    <row r="14">
      <c r="A14" s="37" t="s">
        <v>58</v>
      </c>
      <c r="B14" s="128">
        <v>9.0</v>
      </c>
      <c r="C14" s="128">
        <v>16.0</v>
      </c>
      <c r="D14" s="128">
        <v>9.0</v>
      </c>
      <c r="E14" s="270">
        <f t="shared" si="4"/>
        <v>34</v>
      </c>
      <c r="G14" s="84" t="s">
        <v>58</v>
      </c>
      <c r="H14" s="128">
        <f t="shared" ref="H14:J14" si="12">B14</f>
        <v>9</v>
      </c>
      <c r="I14" s="128">
        <f t="shared" si="12"/>
        <v>16</v>
      </c>
      <c r="J14" s="128">
        <f t="shared" si="12"/>
        <v>9</v>
      </c>
      <c r="N14" s="23"/>
      <c r="T14" s="23"/>
      <c r="Z14" s="23"/>
    </row>
    <row r="15">
      <c r="B15" s="270">
        <f t="shared" ref="B15:D15" si="13">sum(B4:B14)</f>
        <v>268</v>
      </c>
      <c r="C15" s="270">
        <f t="shared" si="13"/>
        <v>351</v>
      </c>
      <c r="D15" s="270">
        <f t="shared" si="13"/>
        <v>236</v>
      </c>
      <c r="E15" s="270">
        <f t="shared" si="4"/>
        <v>855</v>
      </c>
      <c r="G15" s="206" t="s">
        <v>59</v>
      </c>
      <c r="H15" s="23"/>
      <c r="N15" s="23"/>
      <c r="T15" s="23"/>
      <c r="Z15" s="23"/>
    </row>
    <row r="16">
      <c r="B16" s="23"/>
      <c r="H16" s="23"/>
      <c r="N16" s="23"/>
      <c r="T16" s="23"/>
      <c r="Z16" s="23"/>
    </row>
    <row r="17">
      <c r="B17" s="23"/>
      <c r="H17" s="23"/>
      <c r="N17" s="23"/>
      <c r="T17" s="23"/>
      <c r="Z17" s="23"/>
    </row>
    <row r="18">
      <c r="B18" s="23"/>
      <c r="H18" s="23"/>
      <c r="N18" s="23"/>
      <c r="T18" s="23"/>
      <c r="Z18" s="23"/>
    </row>
    <row r="19">
      <c r="B19" s="23"/>
      <c r="H19" s="23"/>
      <c r="N19" s="23"/>
      <c r="T19" s="23"/>
      <c r="Z19" s="23"/>
    </row>
    <row r="20">
      <c r="B20" s="23"/>
      <c r="H20" s="23"/>
      <c r="N20" s="23"/>
      <c r="T20" s="23"/>
      <c r="Z20" s="23"/>
    </row>
    <row r="21">
      <c r="B21" s="23"/>
      <c r="H21" s="23"/>
      <c r="N21" s="23"/>
      <c r="T21" s="23"/>
      <c r="Z21" s="23"/>
    </row>
    <row r="22">
      <c r="B22" s="23"/>
      <c r="H22" s="23"/>
      <c r="N22" s="23"/>
      <c r="T22" s="23"/>
      <c r="Z22" s="23"/>
    </row>
    <row r="23">
      <c r="B23" s="23"/>
      <c r="H23" s="23"/>
      <c r="N23" s="23"/>
      <c r="T23" s="23"/>
      <c r="Z23" s="23"/>
    </row>
    <row r="24">
      <c r="B24" s="23"/>
      <c r="H24" s="23"/>
      <c r="N24" s="23"/>
      <c r="T24" s="23"/>
      <c r="Z24" s="23"/>
    </row>
    <row r="25">
      <c r="B25" s="23" t="s">
        <v>199</v>
      </c>
      <c r="H25" s="23" t="s">
        <v>200</v>
      </c>
      <c r="N25" s="23" t="s">
        <v>201</v>
      </c>
      <c r="T25" s="23" t="s">
        <v>202</v>
      </c>
      <c r="Z25" s="23" t="s">
        <v>203</v>
      </c>
    </row>
    <row r="26">
      <c r="B26" s="23" t="s">
        <v>101</v>
      </c>
      <c r="C26" s="23" t="s">
        <v>170</v>
      </c>
      <c r="D26" s="23" t="s">
        <v>88</v>
      </c>
      <c r="E26" s="23" t="s">
        <v>26</v>
      </c>
      <c r="H26" s="23" t="s">
        <v>204</v>
      </c>
      <c r="I26" s="23" t="s">
        <v>187</v>
      </c>
      <c r="J26" s="23" t="s">
        <v>188</v>
      </c>
      <c r="K26" s="23" t="s">
        <v>26</v>
      </c>
      <c r="N26" s="23" t="s">
        <v>205</v>
      </c>
      <c r="O26" s="23" t="s">
        <v>206</v>
      </c>
      <c r="P26" s="23" t="s">
        <v>207</v>
      </c>
      <c r="Q26" s="23" t="s">
        <v>26</v>
      </c>
      <c r="T26" s="23" t="s">
        <v>205</v>
      </c>
      <c r="U26" s="23" t="s">
        <v>206</v>
      </c>
      <c r="V26" s="23" t="s">
        <v>207</v>
      </c>
      <c r="W26" s="23" t="s">
        <v>26</v>
      </c>
      <c r="Z26" s="23" t="s">
        <v>205</v>
      </c>
      <c r="AA26" s="23" t="s">
        <v>206</v>
      </c>
      <c r="AB26" s="23" t="s">
        <v>207</v>
      </c>
      <c r="AC26" s="23" t="s">
        <v>26</v>
      </c>
    </row>
    <row r="27">
      <c r="A27" s="37" t="s">
        <v>36</v>
      </c>
      <c r="B27" s="128">
        <v>37.0</v>
      </c>
      <c r="C27" s="128">
        <v>16.0</v>
      </c>
      <c r="D27" s="128">
        <v>115.0</v>
      </c>
      <c r="E27" s="270">
        <f t="shared" ref="E27:E38" si="14">sum(B27:D27)</f>
        <v>168</v>
      </c>
      <c r="G27" s="37" t="s">
        <v>36</v>
      </c>
      <c r="H27" s="128">
        <v>2.0</v>
      </c>
      <c r="I27" s="128">
        <v>2.0</v>
      </c>
      <c r="J27" s="128">
        <v>2.0</v>
      </c>
      <c r="K27" s="270">
        <f t="shared" ref="K27:K38" si="15">sum(H27:J27)</f>
        <v>6</v>
      </c>
      <c r="M27" s="37" t="s">
        <v>36</v>
      </c>
      <c r="N27" s="128">
        <v>4.0</v>
      </c>
      <c r="O27" s="128">
        <v>1.0</v>
      </c>
      <c r="P27" s="128">
        <v>9.0</v>
      </c>
      <c r="Q27" s="270">
        <f t="shared" ref="Q27:Q38" si="16">sum(N27:P27)</f>
        <v>14</v>
      </c>
      <c r="S27" s="37" t="s">
        <v>36</v>
      </c>
      <c r="T27" s="128">
        <v>13.0</v>
      </c>
      <c r="U27" s="128">
        <v>2.0</v>
      </c>
      <c r="V27" s="128">
        <v>15.0</v>
      </c>
      <c r="W27" s="270">
        <f t="shared" ref="W27:W38" si="17">sum(T27:V27)</f>
        <v>30</v>
      </c>
      <c r="Y27" s="37" t="s">
        <v>36</v>
      </c>
      <c r="Z27" s="128">
        <v>1.0</v>
      </c>
      <c r="AA27" s="128"/>
      <c r="AB27" s="128">
        <v>2.0</v>
      </c>
      <c r="AC27" s="270">
        <f t="shared" ref="AC27:AC38" si="18">sum(Z27:AB27)</f>
        <v>3</v>
      </c>
    </row>
    <row r="28">
      <c r="A28" s="37" t="s">
        <v>40</v>
      </c>
      <c r="B28" s="128">
        <v>26.0</v>
      </c>
      <c r="C28" s="128">
        <v>13.0</v>
      </c>
      <c r="D28" s="128">
        <v>79.0</v>
      </c>
      <c r="E28" s="270">
        <f t="shared" si="14"/>
        <v>118</v>
      </c>
      <c r="G28" s="37" t="s">
        <v>40</v>
      </c>
      <c r="H28" s="128">
        <v>1.0</v>
      </c>
      <c r="I28" s="128">
        <v>1.0</v>
      </c>
      <c r="J28" s="128">
        <v>2.0</v>
      </c>
      <c r="K28" s="270">
        <f t="shared" si="15"/>
        <v>4</v>
      </c>
      <c r="M28" s="37" t="s">
        <v>40</v>
      </c>
      <c r="N28" s="128">
        <v>3.0</v>
      </c>
      <c r="O28" s="128">
        <v>1.0</v>
      </c>
      <c r="P28" s="128">
        <v>5.0</v>
      </c>
      <c r="Q28" s="270">
        <f t="shared" si="16"/>
        <v>9</v>
      </c>
      <c r="S28" s="37" t="s">
        <v>40</v>
      </c>
      <c r="T28" s="128">
        <v>10.0</v>
      </c>
      <c r="U28" s="128">
        <v>1.0</v>
      </c>
      <c r="V28" s="128">
        <v>7.0</v>
      </c>
      <c r="W28" s="270">
        <f t="shared" si="17"/>
        <v>18</v>
      </c>
      <c r="Y28" s="37" t="s">
        <v>40</v>
      </c>
      <c r="Z28" s="128">
        <v>7.0</v>
      </c>
      <c r="AA28" s="128"/>
      <c r="AB28" s="128">
        <v>1.0</v>
      </c>
      <c r="AC28" s="270">
        <f t="shared" si="18"/>
        <v>8</v>
      </c>
    </row>
    <row r="29">
      <c r="A29" s="37" t="s">
        <v>41</v>
      </c>
      <c r="B29" s="128">
        <v>35.0</v>
      </c>
      <c r="C29" s="128">
        <v>17.0</v>
      </c>
      <c r="D29" s="128">
        <v>96.0</v>
      </c>
      <c r="E29" s="270">
        <f t="shared" si="14"/>
        <v>148</v>
      </c>
      <c r="G29" s="37" t="s">
        <v>41</v>
      </c>
      <c r="H29" s="128">
        <v>2.0</v>
      </c>
      <c r="I29" s="128">
        <v>1.0</v>
      </c>
      <c r="J29" s="128">
        <v>2.0</v>
      </c>
      <c r="K29" s="270">
        <f t="shared" si="15"/>
        <v>5</v>
      </c>
      <c r="M29" s="37" t="s">
        <v>41</v>
      </c>
      <c r="N29" s="128">
        <v>4.0</v>
      </c>
      <c r="O29" s="128">
        <v>1.0</v>
      </c>
      <c r="P29" s="128">
        <v>7.0</v>
      </c>
      <c r="Q29" s="270">
        <f t="shared" si="16"/>
        <v>12</v>
      </c>
      <c r="S29" s="37" t="s">
        <v>41</v>
      </c>
      <c r="T29" s="128">
        <v>10.0</v>
      </c>
      <c r="U29" s="128">
        <v>2.0</v>
      </c>
      <c r="V29" s="128">
        <v>7.0</v>
      </c>
      <c r="W29" s="270">
        <f t="shared" si="17"/>
        <v>19</v>
      </c>
      <c r="Y29" s="37" t="s">
        <v>41</v>
      </c>
      <c r="Z29" s="128">
        <v>1.0</v>
      </c>
      <c r="AA29" s="128"/>
      <c r="AB29" s="128"/>
      <c r="AC29" s="270">
        <f t="shared" si="18"/>
        <v>1</v>
      </c>
    </row>
    <row r="30">
      <c r="A30" s="37" t="s">
        <v>22</v>
      </c>
      <c r="B30" s="128">
        <v>42.0</v>
      </c>
      <c r="C30" s="128">
        <v>21.0</v>
      </c>
      <c r="D30" s="128">
        <v>120.0</v>
      </c>
      <c r="E30" s="270">
        <f t="shared" si="14"/>
        <v>183</v>
      </c>
      <c r="G30" s="37" t="s">
        <v>22</v>
      </c>
      <c r="H30" s="128">
        <v>1.0</v>
      </c>
      <c r="I30" s="128">
        <v>2.0</v>
      </c>
      <c r="J30" s="128">
        <v>3.0</v>
      </c>
      <c r="K30" s="270">
        <f t="shared" si="15"/>
        <v>6</v>
      </c>
      <c r="M30" s="37" t="s">
        <v>22</v>
      </c>
      <c r="N30" s="128">
        <v>5.0</v>
      </c>
      <c r="O30" s="128">
        <v>1.0</v>
      </c>
      <c r="P30" s="128">
        <v>9.0</v>
      </c>
      <c r="Q30" s="270">
        <f t="shared" si="16"/>
        <v>15</v>
      </c>
      <c r="S30" s="37" t="s">
        <v>22</v>
      </c>
      <c r="T30" s="128">
        <v>8.0</v>
      </c>
      <c r="U30" s="128">
        <v>1.0</v>
      </c>
      <c r="V30" s="128">
        <v>12.0</v>
      </c>
      <c r="W30" s="270">
        <f t="shared" si="17"/>
        <v>21</v>
      </c>
      <c r="Y30" s="37" t="s">
        <v>22</v>
      </c>
      <c r="Z30" s="128"/>
      <c r="AA30" s="128">
        <v>1.0</v>
      </c>
      <c r="AB30" s="128">
        <v>4.0</v>
      </c>
      <c r="AC30" s="270">
        <f t="shared" si="18"/>
        <v>5</v>
      </c>
    </row>
    <row r="31">
      <c r="A31" s="37" t="s">
        <v>52</v>
      </c>
      <c r="B31" s="128">
        <v>26.0</v>
      </c>
      <c r="C31" s="128">
        <v>11.0</v>
      </c>
      <c r="D31" s="128">
        <v>70.0</v>
      </c>
      <c r="E31" s="270">
        <f t="shared" si="14"/>
        <v>107</v>
      </c>
      <c r="G31" s="37" t="s">
        <v>52</v>
      </c>
      <c r="H31" s="128">
        <v>1.0</v>
      </c>
      <c r="I31" s="128">
        <v>1.0</v>
      </c>
      <c r="J31" s="128">
        <v>2.0</v>
      </c>
      <c r="K31" s="270">
        <f t="shared" si="15"/>
        <v>4</v>
      </c>
      <c r="M31" s="37" t="s">
        <v>52</v>
      </c>
      <c r="N31" s="128">
        <v>3.0</v>
      </c>
      <c r="O31" s="128">
        <v>1.0</v>
      </c>
      <c r="P31" s="128">
        <v>7.0</v>
      </c>
      <c r="Q31" s="270">
        <f t="shared" si="16"/>
        <v>11</v>
      </c>
      <c r="S31" s="37" t="s">
        <v>52</v>
      </c>
      <c r="T31" s="128">
        <v>7.0</v>
      </c>
      <c r="U31" s="128">
        <v>2.0</v>
      </c>
      <c r="V31" s="128">
        <v>7.0</v>
      </c>
      <c r="W31" s="270">
        <f t="shared" si="17"/>
        <v>16</v>
      </c>
      <c r="Y31" s="37" t="s">
        <v>52</v>
      </c>
      <c r="Z31" s="128">
        <v>1.0</v>
      </c>
      <c r="AA31" s="128"/>
      <c r="AB31" s="128">
        <v>1.0</v>
      </c>
      <c r="AC31" s="270">
        <f t="shared" si="18"/>
        <v>2</v>
      </c>
    </row>
    <row r="32">
      <c r="A32" s="37" t="s">
        <v>51</v>
      </c>
      <c r="B32" s="128">
        <v>31.0</v>
      </c>
      <c r="C32" s="128">
        <v>14.0</v>
      </c>
      <c r="D32" s="128">
        <v>82.0</v>
      </c>
      <c r="E32" s="270">
        <f t="shared" si="14"/>
        <v>127</v>
      </c>
      <c r="G32" s="37" t="s">
        <v>51</v>
      </c>
      <c r="H32" s="128">
        <v>1.0</v>
      </c>
      <c r="I32" s="128">
        <v>1.0</v>
      </c>
      <c r="J32" s="128">
        <v>3.0</v>
      </c>
      <c r="K32" s="270">
        <f t="shared" si="15"/>
        <v>5</v>
      </c>
      <c r="M32" s="37" t="s">
        <v>51</v>
      </c>
      <c r="N32" s="128">
        <v>4.0</v>
      </c>
      <c r="O32" s="128">
        <v>1.0</v>
      </c>
      <c r="P32" s="128">
        <v>8.0</v>
      </c>
      <c r="Q32" s="270">
        <f t="shared" si="16"/>
        <v>13</v>
      </c>
      <c r="S32" s="37" t="s">
        <v>51</v>
      </c>
      <c r="T32" s="128">
        <v>7.0</v>
      </c>
      <c r="U32" s="128">
        <v>0.0</v>
      </c>
      <c r="V32" s="128">
        <v>5.0</v>
      </c>
      <c r="W32" s="270">
        <f t="shared" si="17"/>
        <v>12</v>
      </c>
      <c r="Y32" s="37" t="s">
        <v>51</v>
      </c>
      <c r="Z32" s="128">
        <v>1.0</v>
      </c>
      <c r="AA32" s="128"/>
      <c r="AB32" s="128">
        <v>1.0</v>
      </c>
      <c r="AC32" s="270">
        <f t="shared" si="18"/>
        <v>2</v>
      </c>
    </row>
    <row r="33">
      <c r="A33" s="37" t="s">
        <v>47</v>
      </c>
      <c r="B33" s="128">
        <v>34.0</v>
      </c>
      <c r="C33" s="128">
        <v>16.0</v>
      </c>
      <c r="D33" s="128">
        <v>89.0</v>
      </c>
      <c r="E33" s="270">
        <f t="shared" si="14"/>
        <v>139</v>
      </c>
      <c r="G33" s="37" t="s">
        <v>47</v>
      </c>
      <c r="H33" s="128">
        <v>2.0</v>
      </c>
      <c r="I33" s="128">
        <v>1.0</v>
      </c>
      <c r="J33" s="128">
        <v>2.0</v>
      </c>
      <c r="K33" s="270">
        <f t="shared" si="15"/>
        <v>5</v>
      </c>
      <c r="M33" s="37" t="s">
        <v>47</v>
      </c>
      <c r="N33" s="128">
        <v>5.0</v>
      </c>
      <c r="O33" s="128">
        <v>1.0</v>
      </c>
      <c r="P33" s="128">
        <v>8.0</v>
      </c>
      <c r="Q33" s="270">
        <f t="shared" si="16"/>
        <v>14</v>
      </c>
      <c r="S33" s="37" t="s">
        <v>47</v>
      </c>
      <c r="T33" s="128">
        <v>5.0</v>
      </c>
      <c r="U33" s="128">
        <v>1.0</v>
      </c>
      <c r="V33" s="128">
        <v>9.0</v>
      </c>
      <c r="W33" s="270">
        <f t="shared" si="17"/>
        <v>15</v>
      </c>
      <c r="Y33" s="37" t="s">
        <v>47</v>
      </c>
      <c r="Z33" s="128">
        <v>2.0</v>
      </c>
      <c r="AA33" s="128"/>
      <c r="AB33" s="128">
        <v>4.0</v>
      </c>
      <c r="AC33" s="270">
        <f t="shared" si="18"/>
        <v>6</v>
      </c>
    </row>
    <row r="34">
      <c r="A34" s="37" t="s">
        <v>53</v>
      </c>
      <c r="B34" s="128">
        <v>45.0</v>
      </c>
      <c r="C34" s="128">
        <v>21.0</v>
      </c>
      <c r="D34" s="128">
        <v>120.0</v>
      </c>
      <c r="E34" s="270">
        <f t="shared" si="14"/>
        <v>186</v>
      </c>
      <c r="G34" s="37" t="s">
        <v>53</v>
      </c>
      <c r="H34" s="128">
        <v>2.0</v>
      </c>
      <c r="I34" s="128">
        <v>2.0</v>
      </c>
      <c r="J34" s="128">
        <v>4.0</v>
      </c>
      <c r="K34" s="270">
        <f t="shared" si="15"/>
        <v>8</v>
      </c>
      <c r="M34" s="37" t="s">
        <v>53</v>
      </c>
      <c r="N34" s="128">
        <v>5.0</v>
      </c>
      <c r="O34" s="128">
        <v>2.0</v>
      </c>
      <c r="P34" s="128">
        <v>11.0</v>
      </c>
      <c r="Q34" s="270">
        <f t="shared" si="16"/>
        <v>18</v>
      </c>
      <c r="S34" s="37" t="s">
        <v>53</v>
      </c>
      <c r="T34" s="128">
        <v>15.0</v>
      </c>
      <c r="U34" s="128">
        <v>2.0</v>
      </c>
      <c r="V34" s="128">
        <v>13.0</v>
      </c>
      <c r="W34" s="270">
        <f t="shared" si="17"/>
        <v>30</v>
      </c>
      <c r="Y34" s="37" t="s">
        <v>53</v>
      </c>
      <c r="Z34" s="128">
        <v>2.0</v>
      </c>
      <c r="AA34" s="128"/>
      <c r="AB34" s="128">
        <v>5.0</v>
      </c>
      <c r="AC34" s="270">
        <f t="shared" si="18"/>
        <v>7</v>
      </c>
    </row>
    <row r="35">
      <c r="A35" s="37" t="s">
        <v>55</v>
      </c>
      <c r="B35" s="128">
        <v>30.0</v>
      </c>
      <c r="C35" s="128">
        <v>14.0</v>
      </c>
      <c r="D35" s="128">
        <v>82.0</v>
      </c>
      <c r="E35" s="270">
        <f t="shared" si="14"/>
        <v>126</v>
      </c>
      <c r="G35" s="37" t="s">
        <v>55</v>
      </c>
      <c r="H35" s="128">
        <v>1.0</v>
      </c>
      <c r="I35" s="128">
        <v>1.0</v>
      </c>
      <c r="J35" s="128">
        <v>3.0</v>
      </c>
      <c r="K35" s="270">
        <f t="shared" si="15"/>
        <v>5</v>
      </c>
      <c r="M35" s="37" t="s">
        <v>55</v>
      </c>
      <c r="N35" s="128">
        <v>3.0</v>
      </c>
      <c r="O35" s="128">
        <v>1.0</v>
      </c>
      <c r="P35" s="128">
        <v>7.0</v>
      </c>
      <c r="Q35" s="270">
        <f t="shared" si="16"/>
        <v>11</v>
      </c>
      <c r="S35" s="37" t="s">
        <v>55</v>
      </c>
      <c r="T35" s="128">
        <v>13.0</v>
      </c>
      <c r="U35" s="128">
        <v>0.0</v>
      </c>
      <c r="V35" s="128">
        <v>7.0</v>
      </c>
      <c r="W35" s="270">
        <f t="shared" si="17"/>
        <v>20</v>
      </c>
      <c r="Y35" s="37" t="s">
        <v>55</v>
      </c>
      <c r="Z35" s="128">
        <v>2.0</v>
      </c>
      <c r="AA35" s="128"/>
      <c r="AB35" s="128">
        <v>1.0</v>
      </c>
      <c r="AC35" s="270">
        <f t="shared" si="18"/>
        <v>3</v>
      </c>
    </row>
    <row r="36">
      <c r="A36" s="37" t="s">
        <v>57</v>
      </c>
      <c r="B36" s="128">
        <v>36.0</v>
      </c>
      <c r="C36" s="128">
        <v>16.0</v>
      </c>
      <c r="D36" s="128">
        <v>97.0</v>
      </c>
      <c r="E36" s="270">
        <f t="shared" si="14"/>
        <v>149</v>
      </c>
      <c r="G36" s="37" t="s">
        <v>57</v>
      </c>
      <c r="H36" s="128">
        <v>2.0</v>
      </c>
      <c r="I36" s="128">
        <v>1.0</v>
      </c>
      <c r="J36" s="128">
        <v>2.0</v>
      </c>
      <c r="K36" s="270">
        <f t="shared" si="15"/>
        <v>5</v>
      </c>
      <c r="M36" s="37" t="s">
        <v>57</v>
      </c>
      <c r="N36" s="128">
        <v>4.0</v>
      </c>
      <c r="O36" s="128">
        <v>1.0</v>
      </c>
      <c r="P36" s="128">
        <v>8.0</v>
      </c>
      <c r="Q36" s="270">
        <f t="shared" si="16"/>
        <v>13</v>
      </c>
      <c r="S36" s="37" t="s">
        <v>57</v>
      </c>
      <c r="T36" s="128">
        <v>8.0</v>
      </c>
      <c r="U36" s="128">
        <v>4.0</v>
      </c>
      <c r="V36" s="128">
        <v>9.0</v>
      </c>
      <c r="W36" s="270">
        <f t="shared" si="17"/>
        <v>21</v>
      </c>
      <c r="Y36" s="37" t="s">
        <v>57</v>
      </c>
      <c r="Z36" s="128">
        <v>2.0</v>
      </c>
      <c r="AA36" s="128"/>
      <c r="AB36" s="128">
        <v>2.0</v>
      </c>
      <c r="AC36" s="270">
        <f t="shared" si="18"/>
        <v>4</v>
      </c>
    </row>
    <row r="37">
      <c r="A37" s="37" t="s">
        <v>58</v>
      </c>
      <c r="B37" s="128">
        <v>13.0</v>
      </c>
      <c r="C37" s="128">
        <v>6.0</v>
      </c>
      <c r="D37" s="128">
        <v>36.0</v>
      </c>
      <c r="E37" s="270">
        <f t="shared" si="14"/>
        <v>55</v>
      </c>
      <c r="G37" s="37" t="s">
        <v>58</v>
      </c>
      <c r="H37" s="128">
        <v>1.0</v>
      </c>
      <c r="I37" s="128">
        <v>0.0</v>
      </c>
      <c r="J37" s="128">
        <v>1.0</v>
      </c>
      <c r="K37" s="270">
        <f t="shared" si="15"/>
        <v>2</v>
      </c>
      <c r="M37" s="37" t="s">
        <v>58</v>
      </c>
      <c r="N37" s="128">
        <v>2.0</v>
      </c>
      <c r="O37" s="128">
        <v>0.0</v>
      </c>
      <c r="P37" s="128">
        <v>3.0</v>
      </c>
      <c r="Q37" s="270">
        <f t="shared" si="16"/>
        <v>5</v>
      </c>
      <c r="S37" s="37" t="s">
        <v>58</v>
      </c>
      <c r="T37" s="128">
        <v>2.0</v>
      </c>
      <c r="U37" s="128">
        <v>1.0</v>
      </c>
      <c r="V37" s="128">
        <v>2.0</v>
      </c>
      <c r="W37" s="270">
        <f t="shared" si="17"/>
        <v>5</v>
      </c>
      <c r="Y37" s="37" t="s">
        <v>58</v>
      </c>
      <c r="Z37" s="128">
        <v>1.0</v>
      </c>
      <c r="AA37" s="128"/>
      <c r="AB37" s="128"/>
      <c r="AC37" s="270">
        <f t="shared" si="18"/>
        <v>1</v>
      </c>
    </row>
    <row r="38">
      <c r="B38" s="270">
        <f t="shared" ref="B38:D38" si="19">sum(B27:B37)</f>
        <v>355</v>
      </c>
      <c r="C38" s="270">
        <f t="shared" si="19"/>
        <v>165</v>
      </c>
      <c r="D38" s="270">
        <f t="shared" si="19"/>
        <v>986</v>
      </c>
      <c r="E38" s="270">
        <f t="shared" si="14"/>
        <v>1506</v>
      </c>
      <c r="H38" s="270">
        <f t="shared" ref="H38:J38" si="20">sum(H27:H37)</f>
        <v>16</v>
      </c>
      <c r="I38" s="270">
        <f t="shared" si="20"/>
        <v>13</v>
      </c>
      <c r="J38" s="270">
        <f t="shared" si="20"/>
        <v>26</v>
      </c>
      <c r="K38" s="270">
        <f t="shared" si="15"/>
        <v>55</v>
      </c>
      <c r="N38" s="270">
        <f t="shared" ref="N38:P38" si="21">sum(N27:N37)</f>
        <v>42</v>
      </c>
      <c r="O38" s="270">
        <f t="shared" si="21"/>
        <v>11</v>
      </c>
      <c r="P38" s="270">
        <f t="shared" si="21"/>
        <v>82</v>
      </c>
      <c r="Q38" s="270">
        <f t="shared" si="16"/>
        <v>135</v>
      </c>
      <c r="T38" s="270">
        <f t="shared" ref="T38:V38" si="22">sum(T27:T37)</f>
        <v>98</v>
      </c>
      <c r="U38" s="270">
        <f t="shared" si="22"/>
        <v>16</v>
      </c>
      <c r="V38" s="270">
        <f t="shared" si="22"/>
        <v>93</v>
      </c>
      <c r="W38" s="270">
        <f t="shared" si="17"/>
        <v>207</v>
      </c>
      <c r="Z38" s="270">
        <f t="shared" ref="Z38:AB38" si="23">sum(Z27:Z37)</f>
        <v>20</v>
      </c>
      <c r="AA38" s="270">
        <f t="shared" si="23"/>
        <v>1</v>
      </c>
      <c r="AB38" s="270">
        <f t="shared" si="23"/>
        <v>21</v>
      </c>
      <c r="AC38" s="270">
        <f t="shared" si="18"/>
        <v>42</v>
      </c>
    </row>
    <row r="39">
      <c r="B39" s="69"/>
      <c r="C39" s="69"/>
      <c r="D39" s="69"/>
      <c r="E39" s="69"/>
      <c r="H39" s="69"/>
      <c r="I39" s="69"/>
      <c r="J39" s="69"/>
      <c r="K39" s="69"/>
    </row>
    <row r="40">
      <c r="B40" s="69"/>
      <c r="C40" s="69"/>
      <c r="D40" s="69"/>
      <c r="E40" s="69"/>
    </row>
    <row r="41">
      <c r="B41" s="69"/>
      <c r="C41" s="69"/>
      <c r="D41" s="69"/>
      <c r="E41" s="69"/>
      <c r="T41" s="37" t="s">
        <v>120</v>
      </c>
      <c r="U41" s="37" t="s">
        <v>160</v>
      </c>
      <c r="V41" s="37" t="s">
        <v>80</v>
      </c>
      <c r="W41" s="37" t="s">
        <v>77</v>
      </c>
      <c r="X41" s="37" t="s">
        <v>13</v>
      </c>
    </row>
    <row r="42">
      <c r="B42" s="69"/>
      <c r="C42" s="69"/>
      <c r="D42" s="69"/>
      <c r="E42" s="69"/>
    </row>
    <row r="43">
      <c r="B43" s="69"/>
      <c r="C43" s="69"/>
      <c r="D43" s="69"/>
      <c r="E43" s="69"/>
      <c r="S43" s="156" t="s">
        <v>22</v>
      </c>
      <c r="T43" s="37">
        <v>6.0</v>
      </c>
      <c r="U43" s="37">
        <v>2.0</v>
      </c>
      <c r="V43" s="37">
        <v>1.0</v>
      </c>
      <c r="X43" s="66">
        <f t="shared" ref="X43:X46" si="24">sum(T43:W43)</f>
        <v>9</v>
      </c>
      <c r="Y43" s="69">
        <f>AC30</f>
        <v>5</v>
      </c>
      <c r="Z43" s="69">
        <f t="shared" ref="Z43:Z46" si="25">X43-Y43</f>
        <v>4</v>
      </c>
    </row>
    <row r="44">
      <c r="B44" s="69"/>
      <c r="C44" s="69"/>
      <c r="D44" s="69"/>
      <c r="E44" s="69"/>
      <c r="S44" s="156" t="s">
        <v>36</v>
      </c>
      <c r="T44" s="37">
        <v>5.0</v>
      </c>
      <c r="U44" s="37">
        <v>2.0</v>
      </c>
      <c r="V44" s="37">
        <v>1.0</v>
      </c>
      <c r="X44" s="66">
        <f t="shared" si="24"/>
        <v>8</v>
      </c>
      <c r="Y44" s="69">
        <f t="shared" ref="Y44:Y46" si="26">AC27</f>
        <v>3</v>
      </c>
      <c r="Z44" s="69">
        <f t="shared" si="25"/>
        <v>5</v>
      </c>
    </row>
    <row r="45">
      <c r="B45" s="69"/>
      <c r="C45" s="69"/>
      <c r="D45" s="69"/>
      <c r="E45" s="69"/>
      <c r="S45" s="156" t="s">
        <v>40</v>
      </c>
      <c r="T45" s="37">
        <v>3.0</v>
      </c>
      <c r="U45" s="37">
        <v>2.0</v>
      </c>
      <c r="V45" s="37">
        <v>1.0</v>
      </c>
      <c r="X45" s="66">
        <f t="shared" si="24"/>
        <v>6</v>
      </c>
      <c r="Y45" s="69">
        <f t="shared" si="26"/>
        <v>8</v>
      </c>
      <c r="Z45" s="69">
        <f t="shared" si="25"/>
        <v>-2</v>
      </c>
    </row>
    <row r="46">
      <c r="B46" s="69"/>
      <c r="C46" s="69"/>
      <c r="D46" s="69"/>
      <c r="E46" s="69"/>
      <c r="S46" s="156" t="s">
        <v>41</v>
      </c>
      <c r="T46" s="37">
        <v>4.0</v>
      </c>
      <c r="U46" s="37">
        <v>2.0</v>
      </c>
      <c r="V46" s="37">
        <v>1.0</v>
      </c>
      <c r="X46" s="66">
        <f t="shared" si="24"/>
        <v>7</v>
      </c>
      <c r="Y46" s="69">
        <f t="shared" si="26"/>
        <v>1</v>
      </c>
      <c r="Z46" s="69">
        <f t="shared" si="25"/>
        <v>6</v>
      </c>
    </row>
    <row r="47">
      <c r="B47" s="69"/>
      <c r="C47" s="69"/>
      <c r="D47" s="69"/>
      <c r="E47" s="69"/>
      <c r="S47" s="161" t="s">
        <v>44</v>
      </c>
    </row>
    <row r="48">
      <c r="B48" s="69"/>
      <c r="C48" s="69"/>
      <c r="D48" s="69"/>
      <c r="E48" s="69"/>
      <c r="S48" s="156" t="s">
        <v>47</v>
      </c>
      <c r="T48" s="37">
        <v>5.0</v>
      </c>
      <c r="U48" s="37">
        <v>2.0</v>
      </c>
      <c r="V48" s="37">
        <v>1.0</v>
      </c>
      <c r="X48" s="66">
        <f t="shared" ref="X48:X51" si="27">sum(T48:W48)</f>
        <v>8</v>
      </c>
      <c r="Y48" s="69">
        <f>AC33</f>
        <v>6</v>
      </c>
      <c r="Z48" s="69">
        <f t="shared" ref="Z48:Z51" si="28">X48-Y48</f>
        <v>2</v>
      </c>
    </row>
    <row r="49">
      <c r="B49" s="69"/>
      <c r="C49" s="69"/>
      <c r="D49" s="69"/>
      <c r="E49" s="69"/>
      <c r="S49" s="156" t="s">
        <v>51</v>
      </c>
      <c r="T49" s="37">
        <v>5.0</v>
      </c>
      <c r="U49" s="37">
        <v>2.0</v>
      </c>
      <c r="V49" s="37">
        <v>1.0</v>
      </c>
      <c r="X49" s="66">
        <f t="shared" si="27"/>
        <v>8</v>
      </c>
      <c r="Y49" s="69">
        <f>AC32</f>
        <v>2</v>
      </c>
      <c r="Z49" s="69">
        <f t="shared" si="28"/>
        <v>6</v>
      </c>
    </row>
    <row r="50">
      <c r="B50" s="69"/>
      <c r="C50" s="69"/>
      <c r="D50" s="69"/>
      <c r="E50" s="69"/>
      <c r="S50" s="156" t="s">
        <v>52</v>
      </c>
      <c r="T50" s="37">
        <v>4.0</v>
      </c>
      <c r="U50" s="37">
        <v>1.0</v>
      </c>
      <c r="V50" s="37">
        <v>1.0</v>
      </c>
      <c r="X50" s="66">
        <f t="shared" si="27"/>
        <v>6</v>
      </c>
      <c r="Y50" s="69">
        <f>AC31</f>
        <v>2</v>
      </c>
      <c r="Z50" s="69">
        <f t="shared" si="28"/>
        <v>4</v>
      </c>
    </row>
    <row r="51">
      <c r="B51" s="69"/>
      <c r="C51" s="69"/>
      <c r="D51" s="69"/>
      <c r="E51" s="69"/>
      <c r="S51" s="156" t="s">
        <v>53</v>
      </c>
      <c r="T51" s="37">
        <v>7.0</v>
      </c>
      <c r="U51" s="37">
        <v>2.0</v>
      </c>
      <c r="V51" s="37">
        <v>2.0</v>
      </c>
      <c r="X51" s="66">
        <f t="shared" si="27"/>
        <v>11</v>
      </c>
      <c r="Y51" s="69">
        <f>AC34</f>
        <v>7</v>
      </c>
      <c r="Z51" s="69">
        <f t="shared" si="28"/>
        <v>4</v>
      </c>
    </row>
    <row r="52">
      <c r="B52" s="69"/>
      <c r="C52" s="69"/>
      <c r="D52" s="69"/>
      <c r="E52" s="69"/>
      <c r="S52" s="161" t="s">
        <v>54</v>
      </c>
    </row>
    <row r="53">
      <c r="B53" s="69"/>
      <c r="C53" s="69"/>
      <c r="D53" s="69"/>
      <c r="E53" s="69"/>
      <c r="S53" s="156" t="s">
        <v>55</v>
      </c>
      <c r="T53" s="37">
        <v>4.0</v>
      </c>
      <c r="U53" s="37">
        <v>2.0</v>
      </c>
      <c r="V53" s="37">
        <v>1.0</v>
      </c>
      <c r="X53" s="66">
        <f t="shared" ref="X53:X55" si="29">sum(T53:W53)</f>
        <v>7</v>
      </c>
      <c r="Y53" s="69">
        <f t="shared" ref="Y53:Y55" si="30">AC35</f>
        <v>3</v>
      </c>
      <c r="Z53" s="69">
        <f t="shared" ref="Z53:Z55" si="31">X53-Y53</f>
        <v>4</v>
      </c>
    </row>
    <row r="54">
      <c r="B54" s="23" t="s">
        <v>199</v>
      </c>
      <c r="S54" s="156" t="s">
        <v>57</v>
      </c>
      <c r="T54" s="66">
        <f>5</f>
        <v>5</v>
      </c>
      <c r="U54" s="37">
        <v>2.0</v>
      </c>
      <c r="V54" s="37">
        <v>1.0</v>
      </c>
      <c r="X54" s="66">
        <f t="shared" si="29"/>
        <v>8</v>
      </c>
      <c r="Y54" s="69">
        <f t="shared" si="30"/>
        <v>4</v>
      </c>
      <c r="Z54" s="69">
        <f t="shared" si="31"/>
        <v>4</v>
      </c>
    </row>
    <row r="55">
      <c r="B55" s="23" t="s">
        <v>204</v>
      </c>
      <c r="C55" s="23" t="s">
        <v>187</v>
      </c>
      <c r="D55" s="23" t="s">
        <v>188</v>
      </c>
      <c r="E55" s="23" t="s">
        <v>26</v>
      </c>
      <c r="S55" s="156" t="s">
        <v>58</v>
      </c>
      <c r="T55" s="37">
        <v>2.0</v>
      </c>
      <c r="U55" s="37">
        <v>0.0</v>
      </c>
      <c r="V55" s="37">
        <v>1.0</v>
      </c>
      <c r="X55" s="66">
        <f t="shared" si="29"/>
        <v>3</v>
      </c>
      <c r="Y55" s="69">
        <f t="shared" si="30"/>
        <v>1</v>
      </c>
      <c r="Z55" s="69">
        <f t="shared" si="31"/>
        <v>2</v>
      </c>
    </row>
    <row r="56">
      <c r="A56" s="37" t="s">
        <v>36</v>
      </c>
      <c r="B56" s="128">
        <v>32.0</v>
      </c>
      <c r="C56" s="128">
        <v>37.0</v>
      </c>
      <c r="D56" s="128">
        <v>60.0</v>
      </c>
      <c r="E56" s="270">
        <f t="shared" ref="E56:E67" si="32">sum(B56:D56)</f>
        <v>129</v>
      </c>
      <c r="S56" s="161" t="s">
        <v>59</v>
      </c>
    </row>
    <row r="57">
      <c r="A57" s="37" t="s">
        <v>40</v>
      </c>
      <c r="B57" s="128">
        <v>21.0</v>
      </c>
      <c r="C57" s="128">
        <v>28.0</v>
      </c>
      <c r="D57" s="128">
        <v>42.0</v>
      </c>
      <c r="E57" s="270">
        <f t="shared" si="32"/>
        <v>91</v>
      </c>
    </row>
    <row r="58">
      <c r="A58" s="37" t="s">
        <v>41</v>
      </c>
      <c r="B58" s="128">
        <v>29.0</v>
      </c>
      <c r="C58" s="128">
        <v>34.0</v>
      </c>
      <c r="D58" s="128">
        <v>56.0</v>
      </c>
      <c r="E58" s="270">
        <f t="shared" si="32"/>
        <v>119</v>
      </c>
    </row>
    <row r="59">
      <c r="A59" s="37" t="s">
        <v>22</v>
      </c>
      <c r="B59" s="128">
        <v>36.0</v>
      </c>
      <c r="C59" s="128">
        <v>42.0</v>
      </c>
      <c r="D59" s="128">
        <v>68.0</v>
      </c>
      <c r="E59" s="270">
        <f t="shared" si="32"/>
        <v>146</v>
      </c>
    </row>
    <row r="60">
      <c r="A60" s="37" t="s">
        <v>52</v>
      </c>
      <c r="B60" s="128">
        <v>19.0</v>
      </c>
      <c r="C60" s="128">
        <v>24.0</v>
      </c>
      <c r="D60" s="128">
        <v>36.0</v>
      </c>
      <c r="E60" s="270">
        <f t="shared" si="32"/>
        <v>79</v>
      </c>
    </row>
    <row r="61">
      <c r="A61" s="37" t="s">
        <v>51</v>
      </c>
      <c r="B61" s="128">
        <v>26.0</v>
      </c>
      <c r="C61" s="128">
        <v>29.0</v>
      </c>
      <c r="D61" s="128">
        <v>48.0</v>
      </c>
      <c r="E61" s="270">
        <f t="shared" si="32"/>
        <v>103</v>
      </c>
    </row>
    <row r="62">
      <c r="A62" s="37" t="s">
        <v>47</v>
      </c>
      <c r="B62" s="128">
        <v>26.0</v>
      </c>
      <c r="C62" s="128">
        <v>30.0</v>
      </c>
      <c r="D62" s="128">
        <v>47.0</v>
      </c>
      <c r="E62" s="270">
        <f t="shared" si="32"/>
        <v>103</v>
      </c>
    </row>
    <row r="63">
      <c r="A63" s="37" t="s">
        <v>53</v>
      </c>
      <c r="B63" s="128">
        <v>36.0</v>
      </c>
      <c r="C63" s="128">
        <v>46.0</v>
      </c>
      <c r="D63" s="128">
        <v>72.0</v>
      </c>
      <c r="E63" s="270">
        <f t="shared" si="32"/>
        <v>154</v>
      </c>
    </row>
    <row r="64">
      <c r="A64" s="37" t="s">
        <v>55</v>
      </c>
      <c r="B64" s="128">
        <v>24.0</v>
      </c>
      <c r="C64" s="128">
        <v>31.0</v>
      </c>
      <c r="D64" s="128">
        <v>48.0</v>
      </c>
      <c r="E64" s="270">
        <f t="shared" si="32"/>
        <v>103</v>
      </c>
    </row>
    <row r="65">
      <c r="A65" s="37" t="s">
        <v>57</v>
      </c>
      <c r="B65" s="128">
        <v>30.0</v>
      </c>
      <c r="C65" s="128">
        <v>34.0</v>
      </c>
      <c r="D65" s="128">
        <v>54.0</v>
      </c>
      <c r="E65" s="270">
        <f t="shared" si="32"/>
        <v>118</v>
      </c>
    </row>
    <row r="66">
      <c r="A66" s="37" t="s">
        <v>58</v>
      </c>
      <c r="B66" s="128">
        <v>11.0</v>
      </c>
      <c r="C66" s="128">
        <v>13.0</v>
      </c>
      <c r="D66" s="128">
        <v>23.0</v>
      </c>
      <c r="E66" s="270">
        <f t="shared" si="32"/>
        <v>47</v>
      </c>
    </row>
    <row r="67">
      <c r="B67" s="270">
        <f t="shared" ref="B67:D67" si="33">sum(B56:B66)</f>
        <v>290</v>
      </c>
      <c r="C67" s="270">
        <f t="shared" si="33"/>
        <v>348</v>
      </c>
      <c r="D67" s="270">
        <f t="shared" si="33"/>
        <v>554</v>
      </c>
      <c r="E67" s="270">
        <f t="shared" si="32"/>
        <v>1192</v>
      </c>
    </row>
    <row r="68">
      <c r="B68" s="69"/>
      <c r="C68" s="69"/>
      <c r="D68" s="69"/>
      <c r="E68" s="69"/>
    </row>
    <row r="69">
      <c r="B69" s="23" t="s">
        <v>204</v>
      </c>
      <c r="C69" s="23" t="s">
        <v>187</v>
      </c>
      <c r="D69" s="23" t="s">
        <v>188</v>
      </c>
      <c r="E69" s="23" t="s">
        <v>26</v>
      </c>
    </row>
    <row r="70">
      <c r="A70" s="37" t="s">
        <v>36</v>
      </c>
      <c r="B70" s="128">
        <v>28.0</v>
      </c>
      <c r="C70" s="128">
        <v>32.0</v>
      </c>
      <c r="D70" s="128">
        <v>58.0</v>
      </c>
      <c r="E70" s="270">
        <f t="shared" ref="E70:E81" si="34">sum(B70:D70)</f>
        <v>118</v>
      </c>
    </row>
    <row r="71">
      <c r="A71" s="37" t="s">
        <v>40</v>
      </c>
      <c r="B71" s="128">
        <v>19.0</v>
      </c>
      <c r="C71" s="128">
        <v>24.0</v>
      </c>
      <c r="D71" s="128">
        <v>40.0</v>
      </c>
      <c r="E71" s="270">
        <f t="shared" si="34"/>
        <v>83</v>
      </c>
    </row>
    <row r="72">
      <c r="A72" s="37" t="s">
        <v>41</v>
      </c>
      <c r="B72" s="128">
        <v>27.0</v>
      </c>
      <c r="C72" s="128">
        <v>30.0</v>
      </c>
      <c r="D72" s="128">
        <v>52.0</v>
      </c>
      <c r="E72" s="270">
        <f t="shared" si="34"/>
        <v>109</v>
      </c>
    </row>
    <row r="73">
      <c r="A73" s="37" t="s">
        <v>22</v>
      </c>
      <c r="B73" s="128">
        <v>32.0</v>
      </c>
      <c r="C73" s="128">
        <v>38.0</v>
      </c>
      <c r="D73" s="128">
        <v>63.0</v>
      </c>
      <c r="E73" s="270">
        <f t="shared" si="34"/>
        <v>133</v>
      </c>
    </row>
    <row r="74">
      <c r="A74" s="37" t="s">
        <v>52</v>
      </c>
      <c r="B74" s="128">
        <v>17.0</v>
      </c>
      <c r="C74" s="128">
        <v>21.0</v>
      </c>
      <c r="D74" s="128">
        <v>34.0</v>
      </c>
      <c r="E74" s="270">
        <f t="shared" si="34"/>
        <v>72</v>
      </c>
    </row>
    <row r="75">
      <c r="A75" s="37" t="s">
        <v>51</v>
      </c>
      <c r="B75" s="128">
        <v>23.0</v>
      </c>
      <c r="C75" s="128">
        <v>26.0</v>
      </c>
      <c r="D75" s="128">
        <v>45.0</v>
      </c>
      <c r="E75" s="270">
        <f t="shared" si="34"/>
        <v>94</v>
      </c>
    </row>
    <row r="76">
      <c r="A76" s="37" t="s">
        <v>47</v>
      </c>
      <c r="B76" s="128">
        <v>24.0</v>
      </c>
      <c r="C76" s="128">
        <v>26.0</v>
      </c>
      <c r="D76" s="128">
        <v>44.0</v>
      </c>
      <c r="E76" s="270">
        <f t="shared" si="34"/>
        <v>94</v>
      </c>
    </row>
    <row r="77">
      <c r="A77" s="37" t="s">
        <v>53</v>
      </c>
      <c r="B77" s="128">
        <v>32.0</v>
      </c>
      <c r="C77" s="128">
        <v>42.0</v>
      </c>
      <c r="D77" s="128">
        <v>66.0</v>
      </c>
      <c r="E77" s="270">
        <f t="shared" si="34"/>
        <v>140</v>
      </c>
    </row>
    <row r="78">
      <c r="A78" s="37" t="s">
        <v>55</v>
      </c>
      <c r="B78" s="128">
        <v>22.0</v>
      </c>
      <c r="C78" s="128">
        <v>27.0</v>
      </c>
      <c r="D78" s="128">
        <v>45.0</v>
      </c>
      <c r="E78" s="270">
        <f t="shared" si="34"/>
        <v>94</v>
      </c>
    </row>
    <row r="79">
      <c r="A79" s="37" t="s">
        <v>57</v>
      </c>
      <c r="B79" s="128">
        <v>26.0</v>
      </c>
      <c r="C79" s="128">
        <v>31.0</v>
      </c>
      <c r="D79" s="128">
        <v>51.0</v>
      </c>
      <c r="E79" s="270">
        <f t="shared" si="34"/>
        <v>108</v>
      </c>
    </row>
    <row r="80">
      <c r="A80" s="37" t="s">
        <v>58</v>
      </c>
      <c r="B80" s="128">
        <v>10.0</v>
      </c>
      <c r="C80" s="128">
        <v>11.0</v>
      </c>
      <c r="D80" s="128">
        <v>22.0</v>
      </c>
      <c r="E80" s="270">
        <f t="shared" si="34"/>
        <v>43</v>
      </c>
    </row>
    <row r="81">
      <c r="B81" s="270">
        <f t="shared" ref="B81:D81" si="35">sum(B70:B80)</f>
        <v>260</v>
      </c>
      <c r="C81" s="270">
        <f t="shared" si="35"/>
        <v>308</v>
      </c>
      <c r="D81" s="270">
        <f t="shared" si="35"/>
        <v>520</v>
      </c>
      <c r="E81" s="270">
        <f t="shared" si="34"/>
        <v>1088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8" width="10.38"/>
    <col customWidth="1" min="9" max="9" width="11.0"/>
    <col customWidth="1" min="10" max="18" width="10.38"/>
    <col customWidth="1" min="22" max="26" width="14.0"/>
    <col customWidth="1" min="27" max="27" width="10.38"/>
    <col customWidth="1" min="28" max="36" width="14.0"/>
    <col customWidth="1" min="37" max="37" width="33.75"/>
    <col customWidth="1" min="38" max="38" width="19.88"/>
  </cols>
  <sheetData>
    <row r="2">
      <c r="A2" s="196"/>
      <c r="B2" s="323" t="s">
        <v>199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2"/>
      <c r="S2" s="237"/>
      <c r="T2" s="237"/>
    </row>
    <row r="3">
      <c r="A3" s="39"/>
      <c r="B3" s="164" t="s">
        <v>208</v>
      </c>
      <c r="C3" s="30"/>
      <c r="D3" s="30"/>
      <c r="E3" s="30"/>
      <c r="F3" s="164" t="s">
        <v>209</v>
      </c>
      <c r="G3" s="30"/>
      <c r="H3" s="30"/>
      <c r="I3" s="30"/>
      <c r="J3" s="164" t="s">
        <v>210</v>
      </c>
      <c r="K3" s="30"/>
      <c r="L3" s="30"/>
      <c r="M3" s="30"/>
      <c r="N3" s="36"/>
      <c r="O3" s="164" t="s">
        <v>13</v>
      </c>
      <c r="P3" s="30"/>
      <c r="Q3" s="30"/>
      <c r="R3" s="42"/>
      <c r="S3" s="44"/>
      <c r="T3" s="44"/>
    </row>
    <row r="4">
      <c r="A4" s="43"/>
      <c r="B4" s="179" t="s">
        <v>24</v>
      </c>
      <c r="C4" s="179" t="s">
        <v>25</v>
      </c>
      <c r="D4" s="179" t="s">
        <v>193</v>
      </c>
      <c r="E4" s="179" t="s">
        <v>26</v>
      </c>
      <c r="F4" s="179" t="s">
        <v>24</v>
      </c>
      <c r="G4" s="179" t="s">
        <v>25</v>
      </c>
      <c r="H4" s="179" t="s">
        <v>193</v>
      </c>
      <c r="I4" s="179" t="s">
        <v>26</v>
      </c>
      <c r="J4" s="179" t="s">
        <v>24</v>
      </c>
      <c r="K4" s="179" t="s">
        <v>25</v>
      </c>
      <c r="L4" s="179" t="s">
        <v>193</v>
      </c>
      <c r="M4" s="179" t="s">
        <v>26</v>
      </c>
      <c r="N4" s="211"/>
      <c r="O4" s="179" t="s">
        <v>24</v>
      </c>
      <c r="P4" s="179" t="s">
        <v>25</v>
      </c>
      <c r="Q4" s="179" t="s">
        <v>193</v>
      </c>
      <c r="R4" s="181" t="s">
        <v>26</v>
      </c>
      <c r="S4" s="241" t="s">
        <v>211</v>
      </c>
      <c r="T4" s="241" t="s">
        <v>31</v>
      </c>
      <c r="U4" s="23" t="s">
        <v>212</v>
      </c>
      <c r="V4" s="23" t="s">
        <v>3</v>
      </c>
      <c r="W4" s="27" t="s">
        <v>213</v>
      </c>
      <c r="X4" s="27" t="s">
        <v>214</v>
      </c>
      <c r="Y4" s="27" t="s">
        <v>215</v>
      </c>
      <c r="Z4" s="27" t="s">
        <v>214</v>
      </c>
      <c r="AA4" s="27" t="s">
        <v>216</v>
      </c>
      <c r="AB4" s="23" t="s">
        <v>217</v>
      </c>
      <c r="AC4" s="23" t="s">
        <v>218</v>
      </c>
      <c r="AD4" s="23" t="s">
        <v>219</v>
      </c>
      <c r="AE4" s="23"/>
      <c r="AF4" s="23" t="s">
        <v>220</v>
      </c>
      <c r="AG4" s="23" t="s">
        <v>221</v>
      </c>
      <c r="AH4" s="23" t="s">
        <v>222</v>
      </c>
    </row>
    <row r="5">
      <c r="A5" s="156" t="s">
        <v>22</v>
      </c>
      <c r="B5" s="324">
        <v>34.0</v>
      </c>
      <c r="C5" s="290">
        <v>2.0</v>
      </c>
      <c r="D5" s="291">
        <v>76.0</v>
      </c>
      <c r="E5" s="292">
        <f t="shared" ref="E5:E8" si="2">SUM(B5:D5)</f>
        <v>112</v>
      </c>
      <c r="F5" s="324">
        <v>23.0</v>
      </c>
      <c r="G5" s="290">
        <v>0.0</v>
      </c>
      <c r="H5" s="291">
        <v>85.0</v>
      </c>
      <c r="I5" s="292">
        <f t="shared" ref="I5:I8" si="3">SUM(F5:H5)</f>
        <v>108</v>
      </c>
      <c r="J5" s="324">
        <v>106.0</v>
      </c>
      <c r="K5" s="290">
        <v>34.0</v>
      </c>
      <c r="L5" s="291">
        <v>198.0</v>
      </c>
      <c r="M5" s="292">
        <f t="shared" ref="M5:M8" si="4">SUM(J5:L5)</f>
        <v>338</v>
      </c>
      <c r="N5" s="36"/>
      <c r="O5" s="99">
        <f t="shared" ref="O5:Q5" si="1">J5+F5+B5</f>
        <v>163</v>
      </c>
      <c r="P5" s="99">
        <f t="shared" si="1"/>
        <v>36</v>
      </c>
      <c r="Q5" s="99">
        <f t="shared" si="1"/>
        <v>359</v>
      </c>
      <c r="R5" s="325">
        <f t="shared" ref="R5:R8" si="6">SUM(O5:Q5)</f>
        <v>558</v>
      </c>
      <c r="S5" s="326">
        <v>336.0</v>
      </c>
      <c r="T5" s="326">
        <f t="shared" ref="T5:T8" si="7">M5-S5</f>
        <v>2</v>
      </c>
      <c r="U5" s="327" t="s">
        <v>223</v>
      </c>
      <c r="V5" s="37" t="s">
        <v>42</v>
      </c>
      <c r="W5" s="37">
        <v>342.0</v>
      </c>
      <c r="X5" s="289">
        <f t="shared" ref="X5:X18" si="8">M5-W5</f>
        <v>-4</v>
      </c>
      <c r="Y5" s="37">
        <v>140.0</v>
      </c>
      <c r="Z5" s="289">
        <f t="shared" ref="Z5:Z18" si="9">J5+K5-Y5</f>
        <v>0</v>
      </c>
      <c r="AA5" s="37">
        <v>78.0</v>
      </c>
      <c r="AB5" s="37">
        <f>Y5+7-AA5</f>
        <v>69</v>
      </c>
      <c r="AC5" s="37">
        <v>130.0</v>
      </c>
      <c r="AD5" s="66">
        <f t="shared" ref="AD5:AD8" si="10">J5+K5-AC5</f>
        <v>10</v>
      </c>
      <c r="AE5" s="318">
        <f t="shared" ref="AE5:AE8" si="11">AD5*250</f>
        <v>2500</v>
      </c>
      <c r="AF5" s="37" t="s">
        <v>148</v>
      </c>
      <c r="AG5" s="37" t="s">
        <v>224</v>
      </c>
      <c r="AH5" s="37" t="s">
        <v>24</v>
      </c>
    </row>
    <row r="6">
      <c r="A6" s="156" t="s">
        <v>36</v>
      </c>
      <c r="B6" s="324">
        <v>35.0</v>
      </c>
      <c r="C6" s="290">
        <v>4.0</v>
      </c>
      <c r="D6" s="291">
        <v>2.0</v>
      </c>
      <c r="E6" s="292">
        <f t="shared" si="2"/>
        <v>41</v>
      </c>
      <c r="F6" s="324">
        <v>9.0</v>
      </c>
      <c r="G6" s="290">
        <v>1.0</v>
      </c>
      <c r="H6" s="291">
        <v>3.0</v>
      </c>
      <c r="I6" s="292">
        <f t="shared" si="3"/>
        <v>13</v>
      </c>
      <c r="J6" s="324">
        <v>74.0</v>
      </c>
      <c r="K6" s="290">
        <v>7.0</v>
      </c>
      <c r="L6" s="291">
        <v>45.0</v>
      </c>
      <c r="M6" s="292">
        <f t="shared" si="4"/>
        <v>126</v>
      </c>
      <c r="N6" s="36"/>
      <c r="O6" s="99">
        <f t="shared" ref="O6:Q6" si="5">J6+F6+B6</f>
        <v>118</v>
      </c>
      <c r="P6" s="99">
        <f t="shared" si="5"/>
        <v>12</v>
      </c>
      <c r="Q6" s="99">
        <f t="shared" si="5"/>
        <v>50</v>
      </c>
      <c r="R6" s="325">
        <f t="shared" si="6"/>
        <v>180</v>
      </c>
      <c r="S6" s="326">
        <v>127.0</v>
      </c>
      <c r="T6" s="326">
        <f t="shared" si="7"/>
        <v>-1</v>
      </c>
      <c r="U6" s="327" t="s">
        <v>223</v>
      </c>
      <c r="V6" s="37" t="s">
        <v>42</v>
      </c>
      <c r="W6" s="37">
        <v>126.0</v>
      </c>
      <c r="X6" s="37">
        <f t="shared" si="8"/>
        <v>0</v>
      </c>
      <c r="Y6" s="37">
        <v>81.0</v>
      </c>
      <c r="Z6" s="37">
        <f t="shared" si="9"/>
        <v>0</v>
      </c>
      <c r="AA6" s="37">
        <v>87.0</v>
      </c>
      <c r="AB6" s="37">
        <f t="shared" ref="AB6:AB8" si="13">Y6-AA6</f>
        <v>-6</v>
      </c>
      <c r="AC6" s="37">
        <v>80.0</v>
      </c>
      <c r="AD6" s="66">
        <f t="shared" si="10"/>
        <v>1</v>
      </c>
      <c r="AE6" s="318">
        <f t="shared" si="11"/>
        <v>250</v>
      </c>
      <c r="AF6" s="37" t="s">
        <v>147</v>
      </c>
      <c r="AG6" s="37" t="s">
        <v>95</v>
      </c>
      <c r="AH6" s="37" t="s">
        <v>24</v>
      </c>
    </row>
    <row r="7">
      <c r="A7" s="156" t="s">
        <v>40</v>
      </c>
      <c r="B7" s="324">
        <v>27.0</v>
      </c>
      <c r="C7" s="290">
        <v>0.0</v>
      </c>
      <c r="D7" s="291">
        <v>0.0</v>
      </c>
      <c r="E7" s="292">
        <f t="shared" si="2"/>
        <v>27</v>
      </c>
      <c r="F7" s="324">
        <v>7.0</v>
      </c>
      <c r="G7" s="290">
        <v>2.0</v>
      </c>
      <c r="H7" s="291">
        <v>0.0</v>
      </c>
      <c r="I7" s="292">
        <f t="shared" si="3"/>
        <v>9</v>
      </c>
      <c r="J7" s="324">
        <v>59.0</v>
      </c>
      <c r="K7" s="290">
        <v>1.0</v>
      </c>
      <c r="L7" s="291">
        <v>0.0</v>
      </c>
      <c r="M7" s="292">
        <f t="shared" si="4"/>
        <v>60</v>
      </c>
      <c r="N7" s="36"/>
      <c r="O7" s="99">
        <f t="shared" ref="O7:Q7" si="12">J7+F7+B7</f>
        <v>93</v>
      </c>
      <c r="P7" s="99">
        <f t="shared" si="12"/>
        <v>3</v>
      </c>
      <c r="Q7" s="99">
        <f t="shared" si="12"/>
        <v>0</v>
      </c>
      <c r="R7" s="325">
        <f t="shared" si="6"/>
        <v>96</v>
      </c>
      <c r="S7" s="326">
        <v>51.0</v>
      </c>
      <c r="T7" s="326">
        <f t="shared" si="7"/>
        <v>9</v>
      </c>
      <c r="U7" s="327" t="s">
        <v>223</v>
      </c>
      <c r="V7" s="37" t="s">
        <v>42</v>
      </c>
      <c r="W7" s="37">
        <v>60.0</v>
      </c>
      <c r="X7" s="37">
        <f t="shared" si="8"/>
        <v>0</v>
      </c>
      <c r="Y7" s="37">
        <v>60.0</v>
      </c>
      <c r="Z7" s="37">
        <f t="shared" si="9"/>
        <v>0</v>
      </c>
      <c r="AA7" s="37">
        <v>44.0</v>
      </c>
      <c r="AB7" s="37">
        <f t="shared" si="13"/>
        <v>16</v>
      </c>
      <c r="AC7" s="37">
        <v>54.0</v>
      </c>
      <c r="AD7" s="66">
        <f t="shared" si="10"/>
        <v>6</v>
      </c>
      <c r="AE7" s="318">
        <f t="shared" si="11"/>
        <v>1500</v>
      </c>
      <c r="AF7" s="37" t="s">
        <v>227</v>
      </c>
      <c r="AG7" s="37" t="s">
        <v>228</v>
      </c>
      <c r="AH7" s="37" t="s">
        <v>193</v>
      </c>
    </row>
    <row r="8">
      <c r="A8" s="156" t="s">
        <v>41</v>
      </c>
      <c r="B8" s="324">
        <v>31.0</v>
      </c>
      <c r="C8" s="290">
        <v>1.0</v>
      </c>
      <c r="D8" s="291">
        <v>0.0</v>
      </c>
      <c r="E8" s="292">
        <f t="shared" si="2"/>
        <v>32</v>
      </c>
      <c r="F8" s="324">
        <v>20.0</v>
      </c>
      <c r="G8" s="290">
        <v>0.0</v>
      </c>
      <c r="H8" s="291">
        <v>0.0</v>
      </c>
      <c r="I8" s="292">
        <f t="shared" si="3"/>
        <v>20</v>
      </c>
      <c r="J8" s="324">
        <v>97.0</v>
      </c>
      <c r="K8" s="290">
        <v>0.0</v>
      </c>
      <c r="L8" s="291">
        <v>0.0</v>
      </c>
      <c r="M8" s="292">
        <f t="shared" si="4"/>
        <v>97</v>
      </c>
      <c r="N8" s="36"/>
      <c r="O8" s="99">
        <f t="shared" ref="O8:Q8" si="14">J8+F8+B8</f>
        <v>148</v>
      </c>
      <c r="P8" s="99">
        <f t="shared" si="14"/>
        <v>1</v>
      </c>
      <c r="Q8" s="99">
        <f t="shared" si="14"/>
        <v>0</v>
      </c>
      <c r="R8" s="325">
        <f t="shared" si="6"/>
        <v>149</v>
      </c>
      <c r="S8" s="326">
        <v>75.0</v>
      </c>
      <c r="T8" s="326">
        <f t="shared" si="7"/>
        <v>22</v>
      </c>
      <c r="U8" s="327" t="s">
        <v>223</v>
      </c>
      <c r="V8" s="37" t="s">
        <v>42</v>
      </c>
      <c r="W8" s="37">
        <v>98.0</v>
      </c>
      <c r="X8" s="37">
        <f t="shared" si="8"/>
        <v>-1</v>
      </c>
      <c r="Y8" s="37">
        <v>98.0</v>
      </c>
      <c r="Z8" s="37">
        <f t="shared" si="9"/>
        <v>-1</v>
      </c>
      <c r="AA8" s="37">
        <v>68.0</v>
      </c>
      <c r="AB8" s="37">
        <f t="shared" si="13"/>
        <v>30</v>
      </c>
      <c r="AC8" s="37">
        <v>83.0</v>
      </c>
      <c r="AD8" s="66">
        <f t="shared" si="10"/>
        <v>14</v>
      </c>
      <c r="AE8" s="318">
        <f t="shared" si="11"/>
        <v>3500</v>
      </c>
      <c r="AF8" s="37" t="s">
        <v>230</v>
      </c>
      <c r="AG8" s="37" t="s">
        <v>231</v>
      </c>
      <c r="AH8" s="37" t="s">
        <v>24</v>
      </c>
    </row>
    <row r="9">
      <c r="A9" s="161" t="s">
        <v>44</v>
      </c>
      <c r="B9" s="306">
        <f t="shared" ref="B9:C9" si="15">sum(B5:B8)</f>
        <v>127</v>
      </c>
      <c r="C9" s="306">
        <f t="shared" si="15"/>
        <v>7</v>
      </c>
      <c r="D9" s="306">
        <f>SUM(D5:D8)</f>
        <v>78</v>
      </c>
      <c r="E9" s="306">
        <f t="shared" ref="E9:G9" si="16">sum(E5:E8)</f>
        <v>212</v>
      </c>
      <c r="F9" s="306">
        <f t="shared" si="16"/>
        <v>59</v>
      </c>
      <c r="G9" s="306">
        <f t="shared" si="16"/>
        <v>3</v>
      </c>
      <c r="H9" s="306">
        <f>SUM(H5:H8)</f>
        <v>88</v>
      </c>
      <c r="I9" s="306">
        <f t="shared" ref="I9:K9" si="17">sum(I5:I8)</f>
        <v>150</v>
      </c>
      <c r="J9" s="306">
        <f t="shared" si="17"/>
        <v>336</v>
      </c>
      <c r="K9" s="306">
        <f t="shared" si="17"/>
        <v>42</v>
      </c>
      <c r="L9" s="306">
        <f>SUM(L5:L8)</f>
        <v>243</v>
      </c>
      <c r="M9" s="306">
        <f>sum(M5:M8)</f>
        <v>621</v>
      </c>
      <c r="N9" s="36"/>
      <c r="O9" s="306">
        <f t="shared" ref="O9:P9" si="18">sum(O5:O8)</f>
        <v>522</v>
      </c>
      <c r="P9" s="306">
        <f t="shared" si="18"/>
        <v>52</v>
      </c>
      <c r="Q9" s="306">
        <f>SUM(Q5:Q8)</f>
        <v>409</v>
      </c>
      <c r="R9" s="310">
        <f t="shared" ref="R9:T9" si="19">sum(R5:R8)</f>
        <v>983</v>
      </c>
      <c r="S9" s="329">
        <f t="shared" si="19"/>
        <v>589</v>
      </c>
      <c r="T9" s="329">
        <f t="shared" si="19"/>
        <v>32</v>
      </c>
      <c r="U9" s="330"/>
      <c r="W9" s="66">
        <f>SUM(W5:W8)</f>
        <v>626</v>
      </c>
      <c r="X9" s="37">
        <f t="shared" si="8"/>
        <v>-5</v>
      </c>
      <c r="Y9" s="66">
        <f>SUM(Y5:Y8)</f>
        <v>379</v>
      </c>
      <c r="Z9" s="37">
        <f t="shared" si="9"/>
        <v>-1</v>
      </c>
      <c r="AA9" s="131">
        <f t="shared" ref="AA9:AD9" si="20">sum(AA5:AA8)</f>
        <v>277</v>
      </c>
      <c r="AB9" s="131">
        <f t="shared" si="20"/>
        <v>109</v>
      </c>
      <c r="AC9" s="131">
        <f t="shared" si="20"/>
        <v>347</v>
      </c>
      <c r="AD9" s="131">
        <f t="shared" si="20"/>
        <v>31</v>
      </c>
      <c r="AE9" s="318"/>
      <c r="AF9" s="37" t="s">
        <v>145</v>
      </c>
      <c r="AG9" s="37" t="s">
        <v>233</v>
      </c>
      <c r="AH9" s="37" t="s">
        <v>24</v>
      </c>
    </row>
    <row r="10">
      <c r="A10" s="156" t="s">
        <v>47</v>
      </c>
      <c r="B10" s="331">
        <v>23.0</v>
      </c>
      <c r="C10" s="331">
        <v>1.0</v>
      </c>
      <c r="D10" s="99">
        <v>1.0</v>
      </c>
      <c r="E10" s="292">
        <f t="shared" ref="E10:E13" si="22">SUM(B10:D10)</f>
        <v>25</v>
      </c>
      <c r="F10" s="331">
        <v>17.0</v>
      </c>
      <c r="G10" s="331"/>
      <c r="H10" s="99"/>
      <c r="I10" s="292">
        <f t="shared" ref="I10:I13" si="23">SUM(F10:H10)</f>
        <v>17</v>
      </c>
      <c r="J10" s="331">
        <v>102.0</v>
      </c>
      <c r="K10" s="331">
        <v>1.0</v>
      </c>
      <c r="L10" s="99"/>
      <c r="M10" s="292">
        <f t="shared" ref="M10:M13" si="24">SUM(J10:L10)</f>
        <v>103</v>
      </c>
      <c r="N10" s="36"/>
      <c r="O10" s="99">
        <f t="shared" ref="O10:Q10" si="21">J10+F10+B10</f>
        <v>142</v>
      </c>
      <c r="P10" s="99">
        <f t="shared" si="21"/>
        <v>2</v>
      </c>
      <c r="Q10" s="99">
        <f t="shared" si="21"/>
        <v>1</v>
      </c>
      <c r="R10" s="325">
        <f t="shared" ref="R10:R13" si="26">SUM(O10:Q10)</f>
        <v>145</v>
      </c>
      <c r="S10" s="326">
        <v>75.0</v>
      </c>
      <c r="T10" s="326">
        <f t="shared" ref="T10:T13" si="27">M10-S10</f>
        <v>28</v>
      </c>
      <c r="U10" s="327" t="s">
        <v>235</v>
      </c>
      <c r="V10" s="37" t="s">
        <v>56</v>
      </c>
      <c r="W10" s="37">
        <v>103.0</v>
      </c>
      <c r="X10" s="37">
        <f t="shared" si="8"/>
        <v>0</v>
      </c>
      <c r="Y10" s="37">
        <v>103.0</v>
      </c>
      <c r="Z10" s="37">
        <f t="shared" si="9"/>
        <v>0</v>
      </c>
      <c r="AA10" s="37">
        <v>76.0</v>
      </c>
      <c r="AB10" s="37">
        <f t="shared" ref="AB10:AB13" si="28">Y10-AA10</f>
        <v>27</v>
      </c>
      <c r="AC10" s="37">
        <v>88.0</v>
      </c>
      <c r="AD10" s="66">
        <f t="shared" ref="AD10:AD13" si="29">J10+K10-AC10</f>
        <v>15</v>
      </c>
      <c r="AE10" s="318">
        <f t="shared" ref="AE10:AE13" si="30">AD10*250</f>
        <v>3750</v>
      </c>
      <c r="AF10" s="37" t="s">
        <v>236</v>
      </c>
      <c r="AG10" s="37" t="s">
        <v>237</v>
      </c>
      <c r="AH10" s="37" t="s">
        <v>193</v>
      </c>
    </row>
    <row r="11">
      <c r="A11" s="156" t="s">
        <v>51</v>
      </c>
      <c r="B11" s="331">
        <v>25.0</v>
      </c>
      <c r="C11" s="331">
        <v>4.0</v>
      </c>
      <c r="D11" s="99">
        <v>12.0</v>
      </c>
      <c r="E11" s="292">
        <f t="shared" si="22"/>
        <v>41</v>
      </c>
      <c r="F11" s="331">
        <v>11.0</v>
      </c>
      <c r="G11" s="331">
        <v>1.0</v>
      </c>
      <c r="H11" s="99">
        <v>1.0</v>
      </c>
      <c r="I11" s="292">
        <f t="shared" si="23"/>
        <v>13</v>
      </c>
      <c r="J11" s="331">
        <v>82.0</v>
      </c>
      <c r="K11" s="331">
        <v>3.0</v>
      </c>
      <c r="L11" s="99">
        <v>133.0</v>
      </c>
      <c r="M11" s="292">
        <f t="shared" si="24"/>
        <v>218</v>
      </c>
      <c r="N11" s="36"/>
      <c r="O11" s="99">
        <f t="shared" ref="O11:P11" si="25">J11+F11+B11</f>
        <v>118</v>
      </c>
      <c r="P11" s="99">
        <f t="shared" si="25"/>
        <v>8</v>
      </c>
      <c r="Q11" s="99">
        <f>L11+H11+D20</f>
        <v>134</v>
      </c>
      <c r="R11" s="325">
        <f t="shared" si="26"/>
        <v>260</v>
      </c>
      <c r="S11" s="326">
        <v>177.0</v>
      </c>
      <c r="T11" s="326">
        <f t="shared" si="27"/>
        <v>41</v>
      </c>
      <c r="U11" s="327" t="s">
        <v>223</v>
      </c>
      <c r="V11" s="37" t="s">
        <v>56</v>
      </c>
      <c r="W11" s="37">
        <v>206.0</v>
      </c>
      <c r="X11" s="289">
        <f t="shared" si="8"/>
        <v>12</v>
      </c>
      <c r="Y11" s="37">
        <v>85.0</v>
      </c>
      <c r="Z11" s="37">
        <f t="shared" si="9"/>
        <v>0</v>
      </c>
      <c r="AA11" s="37">
        <v>75.0</v>
      </c>
      <c r="AB11" s="37">
        <f t="shared" si="28"/>
        <v>10</v>
      </c>
      <c r="AC11" s="37">
        <v>70.0</v>
      </c>
      <c r="AD11" s="66">
        <f t="shared" si="29"/>
        <v>15</v>
      </c>
      <c r="AE11" s="318">
        <f t="shared" si="30"/>
        <v>3750</v>
      </c>
      <c r="AF11" s="37" t="s">
        <v>146</v>
      </c>
      <c r="AG11" s="37" t="s">
        <v>238</v>
      </c>
      <c r="AH11" s="37" t="s">
        <v>25</v>
      </c>
    </row>
    <row r="12">
      <c r="A12" s="156" t="s">
        <v>52</v>
      </c>
      <c r="B12" s="331">
        <v>31.0</v>
      </c>
      <c r="C12" s="331"/>
      <c r="D12" s="99"/>
      <c r="E12" s="292">
        <f t="shared" si="22"/>
        <v>31</v>
      </c>
      <c r="F12" s="331">
        <v>14.0</v>
      </c>
      <c r="G12" s="331">
        <v>1.0</v>
      </c>
      <c r="H12" s="99"/>
      <c r="I12" s="292">
        <f t="shared" si="23"/>
        <v>15</v>
      </c>
      <c r="J12" s="331">
        <v>62.0</v>
      </c>
      <c r="K12" s="331"/>
      <c r="L12" s="99"/>
      <c r="M12" s="292">
        <f t="shared" si="24"/>
        <v>62</v>
      </c>
      <c r="N12" s="36"/>
      <c r="O12" s="99">
        <f t="shared" ref="O12:Q12" si="31">J12+F12+B12</f>
        <v>107</v>
      </c>
      <c r="P12" s="99">
        <f t="shared" si="31"/>
        <v>1</v>
      </c>
      <c r="Q12" s="99">
        <f t="shared" si="31"/>
        <v>0</v>
      </c>
      <c r="R12" s="325">
        <f t="shared" si="26"/>
        <v>108</v>
      </c>
      <c r="S12" s="326">
        <v>57.0</v>
      </c>
      <c r="T12" s="326">
        <f t="shared" si="27"/>
        <v>5</v>
      </c>
      <c r="U12" s="327" t="s">
        <v>235</v>
      </c>
      <c r="V12" s="37" t="s">
        <v>56</v>
      </c>
      <c r="W12" s="37">
        <v>62.0</v>
      </c>
      <c r="X12" s="37">
        <f t="shared" si="8"/>
        <v>0</v>
      </c>
      <c r="Y12" s="37">
        <v>62.0</v>
      </c>
      <c r="Z12" s="37">
        <f t="shared" si="9"/>
        <v>0</v>
      </c>
      <c r="AA12" s="37">
        <v>50.0</v>
      </c>
      <c r="AB12" s="37">
        <f t="shared" si="28"/>
        <v>12</v>
      </c>
      <c r="AC12" s="37">
        <v>49.0</v>
      </c>
      <c r="AD12" s="66">
        <f t="shared" si="29"/>
        <v>13</v>
      </c>
      <c r="AE12" s="318">
        <f t="shared" si="30"/>
        <v>3250</v>
      </c>
      <c r="AF12" s="37" t="s">
        <v>167</v>
      </c>
      <c r="AG12" s="37" t="s">
        <v>239</v>
      </c>
      <c r="AH12" s="37" t="s">
        <v>24</v>
      </c>
    </row>
    <row r="13">
      <c r="A13" s="156" t="s">
        <v>53</v>
      </c>
      <c r="B13" s="331">
        <v>39.0</v>
      </c>
      <c r="C13" s="331"/>
      <c r="D13" s="99"/>
      <c r="E13" s="292">
        <f t="shared" si="22"/>
        <v>39</v>
      </c>
      <c r="F13" s="331">
        <v>17.0</v>
      </c>
      <c r="G13" s="331"/>
      <c r="H13" s="99"/>
      <c r="I13" s="292">
        <f t="shared" si="23"/>
        <v>17</v>
      </c>
      <c r="J13" s="331">
        <v>104.0</v>
      </c>
      <c r="K13" s="331">
        <v>1.0</v>
      </c>
      <c r="L13" s="99"/>
      <c r="M13" s="292">
        <f t="shared" si="24"/>
        <v>105</v>
      </c>
      <c r="N13" s="36"/>
      <c r="O13" s="99">
        <f t="shared" ref="O13:P13" si="32">J13+F13+B13</f>
        <v>160</v>
      </c>
      <c r="P13" s="99">
        <f t="shared" si="32"/>
        <v>1</v>
      </c>
      <c r="Q13" s="99"/>
      <c r="R13" s="325">
        <f t="shared" si="26"/>
        <v>161</v>
      </c>
      <c r="S13" s="326">
        <v>101.0</v>
      </c>
      <c r="T13" s="326">
        <f t="shared" si="27"/>
        <v>4</v>
      </c>
      <c r="U13" s="327" t="s">
        <v>235</v>
      </c>
      <c r="V13" s="37" t="s">
        <v>56</v>
      </c>
      <c r="W13" s="37">
        <v>105.0</v>
      </c>
      <c r="X13" s="37">
        <f t="shared" si="8"/>
        <v>0</v>
      </c>
      <c r="Y13" s="37">
        <v>105.0</v>
      </c>
      <c r="Z13" s="37">
        <f t="shared" si="9"/>
        <v>0</v>
      </c>
      <c r="AA13" s="37">
        <v>98.0</v>
      </c>
      <c r="AB13" s="37">
        <f t="shared" si="28"/>
        <v>7</v>
      </c>
      <c r="AC13" s="37">
        <v>92.0</v>
      </c>
      <c r="AD13" s="66">
        <f t="shared" si="29"/>
        <v>13</v>
      </c>
      <c r="AE13" s="318">
        <f t="shared" si="30"/>
        <v>3250</v>
      </c>
      <c r="AF13" s="37" t="s">
        <v>167</v>
      </c>
      <c r="AG13" s="37" t="s">
        <v>241</v>
      </c>
      <c r="AH13" s="37" t="s">
        <v>193</v>
      </c>
    </row>
    <row r="14">
      <c r="A14" s="161" t="s">
        <v>54</v>
      </c>
      <c r="B14" s="306">
        <f t="shared" ref="B14:C14" si="33">sum(B10:B13)</f>
        <v>118</v>
      </c>
      <c r="C14" s="306">
        <f t="shared" si="33"/>
        <v>5</v>
      </c>
      <c r="D14" s="306">
        <f>SUM(D10:D13)</f>
        <v>13</v>
      </c>
      <c r="E14" s="306">
        <f t="shared" ref="E14:G14" si="34">sum(E10:E13)</f>
        <v>136</v>
      </c>
      <c r="F14" s="306">
        <f t="shared" si="34"/>
        <v>59</v>
      </c>
      <c r="G14" s="306">
        <f t="shared" si="34"/>
        <v>2</v>
      </c>
      <c r="H14" s="306">
        <f>SUM(H10:H13)</f>
        <v>1</v>
      </c>
      <c r="I14" s="306">
        <f t="shared" ref="I14:K14" si="35">sum(I10:I13)</f>
        <v>62</v>
      </c>
      <c r="J14" s="306">
        <f t="shared" si="35"/>
        <v>350</v>
      </c>
      <c r="K14" s="306">
        <f t="shared" si="35"/>
        <v>5</v>
      </c>
      <c r="L14" s="306">
        <f>SUM(L10:L13)</f>
        <v>133</v>
      </c>
      <c r="M14" s="306">
        <f>sum(M10:M13)</f>
        <v>488</v>
      </c>
      <c r="N14" s="36"/>
      <c r="O14" s="306">
        <f t="shared" ref="O14:P14" si="36">sum(O10:O13)</f>
        <v>527</v>
      </c>
      <c r="P14" s="306">
        <f t="shared" si="36"/>
        <v>12</v>
      </c>
      <c r="Q14" s="306">
        <f>SUM(Q10:Q13)</f>
        <v>135</v>
      </c>
      <c r="R14" s="310">
        <f t="shared" ref="R14:T14" si="37">sum(R10:R13)</f>
        <v>674</v>
      </c>
      <c r="S14" s="329">
        <f t="shared" si="37"/>
        <v>410</v>
      </c>
      <c r="T14" s="329">
        <f t="shared" si="37"/>
        <v>78</v>
      </c>
      <c r="U14" s="330"/>
      <c r="W14" s="66">
        <f>sum(W10:W13)</f>
        <v>476</v>
      </c>
      <c r="X14" s="37">
        <f t="shared" si="8"/>
        <v>12</v>
      </c>
      <c r="Y14" s="66">
        <f>sum(Y10:Y13)</f>
        <v>355</v>
      </c>
      <c r="Z14" s="37">
        <f t="shared" si="9"/>
        <v>0</v>
      </c>
      <c r="AA14" s="131">
        <f t="shared" ref="AA14:AD14" si="38">sum(AA10:AA13)</f>
        <v>299</v>
      </c>
      <c r="AB14" s="131">
        <f t="shared" si="38"/>
        <v>56</v>
      </c>
      <c r="AC14" s="131">
        <f t="shared" si="38"/>
        <v>299</v>
      </c>
      <c r="AD14" s="131">
        <f t="shared" si="38"/>
        <v>56</v>
      </c>
      <c r="AE14" s="318"/>
      <c r="AF14" s="37" t="s">
        <v>143</v>
      </c>
      <c r="AG14" s="37" t="s">
        <v>244</v>
      </c>
      <c r="AH14" s="37" t="s">
        <v>24</v>
      </c>
    </row>
    <row r="15">
      <c r="A15" s="156" t="s">
        <v>55</v>
      </c>
      <c r="B15" s="331">
        <v>25.0</v>
      </c>
      <c r="C15" s="331">
        <v>11.0</v>
      </c>
      <c r="D15" s="99">
        <v>22.0</v>
      </c>
      <c r="E15" s="292">
        <f t="shared" ref="E15:E17" si="40">SUM(B15:D15)</f>
        <v>58</v>
      </c>
      <c r="F15" s="331">
        <v>6.0</v>
      </c>
      <c r="G15" s="331">
        <v>11.0</v>
      </c>
      <c r="H15" s="99">
        <v>60.0</v>
      </c>
      <c r="I15" s="292">
        <f t="shared" ref="I15:I17" si="41">SUM(F15:H15)</f>
        <v>77</v>
      </c>
      <c r="J15" s="331">
        <v>65.0</v>
      </c>
      <c r="K15" s="331">
        <v>13.0</v>
      </c>
      <c r="L15" s="99">
        <v>98.0</v>
      </c>
      <c r="M15" s="292">
        <f t="shared" ref="M15:M17" si="42">SUM(J15:L15)</f>
        <v>176</v>
      </c>
      <c r="N15" s="36"/>
      <c r="O15" s="99">
        <f t="shared" ref="O15:P15" si="39">J15+F15+B15</f>
        <v>96</v>
      </c>
      <c r="P15" s="99">
        <f t="shared" si="39"/>
        <v>35</v>
      </c>
      <c r="Q15" s="99">
        <f>L15+H15+O31</f>
        <v>172</v>
      </c>
      <c r="R15" s="325">
        <f t="shared" ref="R15:R17" si="44">SUM(O15:Q15)</f>
        <v>303</v>
      </c>
      <c r="S15" s="326">
        <v>208.0</v>
      </c>
      <c r="T15" s="326">
        <f t="shared" ref="T15:T17" si="45">M15-S15</f>
        <v>-32</v>
      </c>
      <c r="U15" s="327" t="s">
        <v>223</v>
      </c>
      <c r="V15" s="37" t="s">
        <v>81</v>
      </c>
      <c r="W15" s="37">
        <v>175.0</v>
      </c>
      <c r="X15" s="37">
        <f t="shared" si="8"/>
        <v>1</v>
      </c>
      <c r="Y15" s="37">
        <v>78.0</v>
      </c>
      <c r="Z15" s="289">
        <f t="shared" si="9"/>
        <v>0</v>
      </c>
      <c r="AA15" s="37">
        <v>82.0</v>
      </c>
      <c r="AB15" s="37">
        <f t="shared" ref="AB15:AB17" si="46">Y15-AA15</f>
        <v>-4</v>
      </c>
      <c r="AC15" s="37">
        <v>60.0</v>
      </c>
      <c r="AD15" s="66">
        <f t="shared" ref="AD15:AD17" si="47">J15+K15-AC15</f>
        <v>18</v>
      </c>
      <c r="AE15" s="318">
        <f t="shared" ref="AE15:AE17" si="48">AD15*250</f>
        <v>4500</v>
      </c>
      <c r="AF15" s="37" t="s">
        <v>142</v>
      </c>
      <c r="AG15" s="37" t="s">
        <v>245</v>
      </c>
      <c r="AH15" s="37" t="s">
        <v>24</v>
      </c>
    </row>
    <row r="16">
      <c r="A16" s="156" t="s">
        <v>57</v>
      </c>
      <c r="B16" s="331">
        <v>28.0</v>
      </c>
      <c r="C16" s="331">
        <v>0.0</v>
      </c>
      <c r="D16" s="99"/>
      <c r="E16" s="292">
        <f t="shared" si="40"/>
        <v>28</v>
      </c>
      <c r="F16" s="331">
        <v>9.0</v>
      </c>
      <c r="G16" s="331">
        <v>0.0</v>
      </c>
      <c r="H16" s="99">
        <v>0.0</v>
      </c>
      <c r="I16" s="292">
        <f t="shared" si="41"/>
        <v>9</v>
      </c>
      <c r="J16" s="331">
        <v>76.0</v>
      </c>
      <c r="K16" s="331">
        <v>0.0</v>
      </c>
      <c r="L16" s="99"/>
      <c r="M16" s="292">
        <f t="shared" si="42"/>
        <v>76</v>
      </c>
      <c r="N16" s="36"/>
      <c r="O16" s="99">
        <f t="shared" ref="O16:Q16" si="43">J16+F16+B16</f>
        <v>113</v>
      </c>
      <c r="P16" s="99">
        <f t="shared" si="43"/>
        <v>0</v>
      </c>
      <c r="Q16" s="99">
        <f t="shared" si="43"/>
        <v>0</v>
      </c>
      <c r="R16" s="325">
        <f t="shared" si="44"/>
        <v>113</v>
      </c>
      <c r="S16" s="326">
        <v>75.0</v>
      </c>
      <c r="T16" s="326">
        <f t="shared" si="45"/>
        <v>1</v>
      </c>
      <c r="U16" s="327" t="s">
        <v>223</v>
      </c>
      <c r="V16" s="37" t="s">
        <v>81</v>
      </c>
      <c r="W16" s="37">
        <v>76.0</v>
      </c>
      <c r="X16" s="37">
        <f t="shared" si="8"/>
        <v>0</v>
      </c>
      <c r="Y16" s="37">
        <v>76.0</v>
      </c>
      <c r="Z16" s="37">
        <f t="shared" si="9"/>
        <v>0</v>
      </c>
      <c r="AA16" s="37">
        <v>70.0</v>
      </c>
      <c r="AB16" s="37">
        <f t="shared" si="46"/>
        <v>6</v>
      </c>
      <c r="AC16" s="37">
        <v>70.0</v>
      </c>
      <c r="AD16" s="66">
        <f t="shared" si="47"/>
        <v>6</v>
      </c>
      <c r="AE16" s="318">
        <f t="shared" si="48"/>
        <v>1500</v>
      </c>
      <c r="AF16" s="37" t="s">
        <v>141</v>
      </c>
      <c r="AG16" s="37" t="s">
        <v>247</v>
      </c>
      <c r="AH16" s="37" t="s">
        <v>24</v>
      </c>
    </row>
    <row r="17">
      <c r="A17" s="156" t="s">
        <v>58</v>
      </c>
      <c r="B17" s="331">
        <v>9.0</v>
      </c>
      <c r="C17" s="331"/>
      <c r="D17" s="99">
        <v>2.0</v>
      </c>
      <c r="E17" s="292">
        <f t="shared" si="40"/>
        <v>11</v>
      </c>
      <c r="F17" s="331">
        <v>4.0</v>
      </c>
      <c r="G17" s="331"/>
      <c r="H17" s="99"/>
      <c r="I17" s="292">
        <f t="shared" si="41"/>
        <v>4</v>
      </c>
      <c r="J17" s="331">
        <v>33.0</v>
      </c>
      <c r="K17" s="331"/>
      <c r="L17" s="99">
        <v>1.0</v>
      </c>
      <c r="M17" s="292">
        <f t="shared" si="42"/>
        <v>34</v>
      </c>
      <c r="N17" s="36"/>
      <c r="O17" s="99">
        <f t="shared" ref="O17:Q17" si="49">J17+F17+B17</f>
        <v>46</v>
      </c>
      <c r="P17" s="99">
        <f t="shared" si="49"/>
        <v>0</v>
      </c>
      <c r="Q17" s="99">
        <f t="shared" si="49"/>
        <v>3</v>
      </c>
      <c r="R17" s="325">
        <f t="shared" si="44"/>
        <v>49</v>
      </c>
      <c r="S17" s="326">
        <v>24.0</v>
      </c>
      <c r="T17" s="326">
        <f t="shared" si="45"/>
        <v>10</v>
      </c>
      <c r="U17" s="327" t="s">
        <v>223</v>
      </c>
      <c r="V17" s="37" t="s">
        <v>81</v>
      </c>
      <c r="W17" s="37">
        <v>34.0</v>
      </c>
      <c r="X17" s="37">
        <f t="shared" si="8"/>
        <v>0</v>
      </c>
      <c r="Y17" s="37">
        <v>33.0</v>
      </c>
      <c r="Z17" s="37">
        <f t="shared" si="9"/>
        <v>0</v>
      </c>
      <c r="AA17" s="37">
        <v>19.0</v>
      </c>
      <c r="AB17" s="37">
        <f t="shared" si="46"/>
        <v>14</v>
      </c>
      <c r="AC17" s="37">
        <v>25.0</v>
      </c>
      <c r="AD17" s="66">
        <f t="shared" si="47"/>
        <v>8</v>
      </c>
      <c r="AE17" s="318">
        <f t="shared" si="48"/>
        <v>2000</v>
      </c>
      <c r="AS17" s="37" t="s">
        <v>250</v>
      </c>
    </row>
    <row r="18">
      <c r="A18" s="161" t="s">
        <v>59</v>
      </c>
      <c r="B18" s="306">
        <f t="shared" ref="B18:M18" si="50">sum(B15:B17)</f>
        <v>62</v>
      </c>
      <c r="C18" s="306">
        <f t="shared" si="50"/>
        <v>11</v>
      </c>
      <c r="D18" s="306">
        <f t="shared" si="50"/>
        <v>24</v>
      </c>
      <c r="E18" s="306">
        <f t="shared" si="50"/>
        <v>97</v>
      </c>
      <c r="F18" s="306">
        <f t="shared" si="50"/>
        <v>19</v>
      </c>
      <c r="G18" s="306">
        <f t="shared" si="50"/>
        <v>11</v>
      </c>
      <c r="H18" s="306">
        <f t="shared" si="50"/>
        <v>60</v>
      </c>
      <c r="I18" s="306">
        <f t="shared" si="50"/>
        <v>90</v>
      </c>
      <c r="J18" s="306">
        <f t="shared" si="50"/>
        <v>174</v>
      </c>
      <c r="K18" s="306">
        <f t="shared" si="50"/>
        <v>13</v>
      </c>
      <c r="L18" s="306">
        <f t="shared" si="50"/>
        <v>99</v>
      </c>
      <c r="M18" s="306">
        <f t="shared" si="50"/>
        <v>286</v>
      </c>
      <c r="N18" s="36"/>
      <c r="O18" s="306">
        <f t="shared" ref="O18:T18" si="51">sum(O15:O17)</f>
        <v>255</v>
      </c>
      <c r="P18" s="306">
        <f t="shared" si="51"/>
        <v>35</v>
      </c>
      <c r="Q18" s="306">
        <f t="shared" si="51"/>
        <v>175</v>
      </c>
      <c r="R18" s="310">
        <f t="shared" si="51"/>
        <v>465</v>
      </c>
      <c r="S18" s="329">
        <f t="shared" si="51"/>
        <v>307</v>
      </c>
      <c r="T18" s="329">
        <f t="shared" si="51"/>
        <v>-21</v>
      </c>
      <c r="W18" s="66">
        <f>sum(W15:W17)</f>
        <v>285</v>
      </c>
      <c r="X18" s="37">
        <f t="shared" si="8"/>
        <v>1</v>
      </c>
      <c r="Y18" s="66">
        <f>sum(Y15:Y17)</f>
        <v>187</v>
      </c>
      <c r="Z18" s="37">
        <f t="shared" si="9"/>
        <v>0</v>
      </c>
      <c r="AA18" s="131">
        <f t="shared" ref="AA18:AD18" si="52">sum(AA15:AA17)</f>
        <v>171</v>
      </c>
      <c r="AB18" s="131">
        <f t="shared" si="52"/>
        <v>16</v>
      </c>
      <c r="AC18" s="131">
        <f t="shared" si="52"/>
        <v>155</v>
      </c>
      <c r="AD18" s="131">
        <f t="shared" si="52"/>
        <v>32</v>
      </c>
    </row>
    <row r="19">
      <c r="A19" s="43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11"/>
      <c r="S19" s="312"/>
      <c r="T19" s="312"/>
    </row>
    <row r="20">
      <c r="A20" s="39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11"/>
      <c r="S20" s="312"/>
      <c r="T20" s="312"/>
    </row>
    <row r="21">
      <c r="A21" s="165" t="s">
        <v>13</v>
      </c>
      <c r="B21" s="313">
        <f t="shared" ref="B21:M21" si="53">B18+B14+B9</f>
        <v>307</v>
      </c>
      <c r="C21" s="313">
        <f t="shared" si="53"/>
        <v>23</v>
      </c>
      <c r="D21" s="313">
        <f t="shared" si="53"/>
        <v>115</v>
      </c>
      <c r="E21" s="313">
        <f t="shared" si="53"/>
        <v>445</v>
      </c>
      <c r="F21" s="313">
        <f t="shared" si="53"/>
        <v>137</v>
      </c>
      <c r="G21" s="313">
        <f t="shared" si="53"/>
        <v>16</v>
      </c>
      <c r="H21" s="313">
        <f t="shared" si="53"/>
        <v>149</v>
      </c>
      <c r="I21" s="313">
        <f t="shared" si="53"/>
        <v>302</v>
      </c>
      <c r="J21" s="313">
        <f t="shared" si="53"/>
        <v>860</v>
      </c>
      <c r="K21" s="313">
        <f t="shared" si="53"/>
        <v>60</v>
      </c>
      <c r="L21" s="313">
        <f t="shared" si="53"/>
        <v>475</v>
      </c>
      <c r="M21" s="313">
        <f t="shared" si="53"/>
        <v>1395</v>
      </c>
      <c r="N21" s="212"/>
      <c r="O21" s="313">
        <f t="shared" ref="O21:T21" si="54">O18+O14+O9</f>
        <v>1304</v>
      </c>
      <c r="P21" s="313">
        <f t="shared" si="54"/>
        <v>99</v>
      </c>
      <c r="Q21" s="313">
        <f t="shared" si="54"/>
        <v>719</v>
      </c>
      <c r="R21" s="314">
        <f t="shared" si="54"/>
        <v>2122</v>
      </c>
      <c r="S21" s="315">
        <f t="shared" si="54"/>
        <v>1306</v>
      </c>
      <c r="T21" s="315">
        <f t="shared" si="54"/>
        <v>89</v>
      </c>
      <c r="W21" s="66">
        <f>W18+W14+W9</f>
        <v>1387</v>
      </c>
      <c r="X21" s="128">
        <f>M21-W21</f>
        <v>8</v>
      </c>
      <c r="Y21" s="66">
        <f>Y18+Y14+Y9</f>
        <v>921</v>
      </c>
      <c r="Z21" s="128">
        <f>J21+K21-Y21</f>
        <v>-1</v>
      </c>
      <c r="AA21" s="131">
        <f t="shared" ref="AA21:AD21" si="55">AA18+AA14+AA9</f>
        <v>747</v>
      </c>
      <c r="AB21" s="131">
        <f t="shared" si="55"/>
        <v>181</v>
      </c>
      <c r="AC21" s="131">
        <f t="shared" si="55"/>
        <v>801</v>
      </c>
      <c r="AD21" s="131">
        <f t="shared" si="55"/>
        <v>119</v>
      </c>
    </row>
    <row r="23">
      <c r="J23" s="37">
        <v>801.0</v>
      </c>
      <c r="Q23" s="37" t="s">
        <v>251</v>
      </c>
      <c r="S23" s="332">
        <v>1415.0</v>
      </c>
      <c r="W23" s="66">
        <f>W21-Y21</f>
        <v>466</v>
      </c>
    </row>
    <row r="27">
      <c r="A27" s="196"/>
      <c r="B27" s="323" t="s">
        <v>252</v>
      </c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2"/>
      <c r="N27" s="237"/>
      <c r="O27" s="237"/>
    </row>
    <row r="28">
      <c r="A28" s="39"/>
      <c r="B28" s="333" t="s">
        <v>208</v>
      </c>
      <c r="C28" s="164"/>
      <c r="D28" s="164"/>
      <c r="E28" s="164" t="s">
        <v>209</v>
      </c>
      <c r="F28" s="30"/>
      <c r="G28" s="30"/>
      <c r="H28" s="164" t="s">
        <v>107</v>
      </c>
      <c r="I28" s="30"/>
      <c r="J28" s="30"/>
      <c r="K28" s="164" t="s">
        <v>13</v>
      </c>
      <c r="L28" s="30"/>
      <c r="M28" s="42"/>
      <c r="N28" s="44"/>
      <c r="O28" s="44"/>
    </row>
    <row r="29">
      <c r="A29" s="43"/>
      <c r="B29" s="179" t="s">
        <v>24</v>
      </c>
      <c r="C29" s="179" t="s">
        <v>25</v>
      </c>
      <c r="D29" s="179" t="s">
        <v>26</v>
      </c>
      <c r="E29" s="179" t="s">
        <v>24</v>
      </c>
      <c r="F29" s="179" t="s">
        <v>25</v>
      </c>
      <c r="G29" s="179" t="s">
        <v>26</v>
      </c>
      <c r="H29" s="179" t="s">
        <v>24</v>
      </c>
      <c r="I29" s="179" t="s">
        <v>25</v>
      </c>
      <c r="J29" s="179" t="s">
        <v>26</v>
      </c>
      <c r="K29" s="179" t="s">
        <v>24</v>
      </c>
      <c r="L29" s="179" t="s">
        <v>25</v>
      </c>
      <c r="M29" s="181" t="s">
        <v>26</v>
      </c>
      <c r="N29" s="241" t="s">
        <v>253</v>
      </c>
      <c r="O29" s="241" t="s">
        <v>31</v>
      </c>
      <c r="P29" s="43"/>
      <c r="Q29" s="27" t="s">
        <v>213</v>
      </c>
      <c r="R29" s="23" t="s">
        <v>214</v>
      </c>
      <c r="T29" s="23"/>
      <c r="U29" s="23" t="s">
        <v>212</v>
      </c>
      <c r="V29" s="23" t="s">
        <v>3</v>
      </c>
    </row>
    <row r="30">
      <c r="A30" s="156" t="s">
        <v>22</v>
      </c>
      <c r="B30" s="294"/>
      <c r="C30" s="291">
        <v>1.0</v>
      </c>
      <c r="D30" s="292">
        <f t="shared" ref="D30:D33" si="57">SUM(A30:C30)</f>
        <v>1</v>
      </c>
      <c r="E30" s="294">
        <v>2.0</v>
      </c>
      <c r="F30" s="291"/>
      <c r="G30" s="292">
        <f t="shared" ref="G30:G33" si="58">E30+F30</f>
        <v>2</v>
      </c>
      <c r="H30" s="294">
        <v>22.0</v>
      </c>
      <c r="I30" s="291">
        <v>30.0</v>
      </c>
      <c r="J30" s="292">
        <f t="shared" ref="J30:J33" si="59">H30+I30</f>
        <v>52</v>
      </c>
      <c r="K30" s="291">
        <f t="shared" ref="K30:L30" si="56">H30+E30+B30</f>
        <v>24</v>
      </c>
      <c r="L30" s="291">
        <f t="shared" si="56"/>
        <v>31</v>
      </c>
      <c r="M30" s="325">
        <f t="shared" ref="M30:M33" si="61">sum(K30:L30)</f>
        <v>55</v>
      </c>
      <c r="N30" s="326">
        <v>32.0</v>
      </c>
      <c r="O30" s="326">
        <f t="shared" ref="O30:O33" si="62">N30-M30</f>
        <v>-23</v>
      </c>
      <c r="P30" s="334" t="s">
        <v>22</v>
      </c>
      <c r="Q30" s="37">
        <v>52.0</v>
      </c>
      <c r="R30" s="66">
        <f t="shared" ref="R30:R38" si="63">J30-Q30</f>
        <v>0</v>
      </c>
      <c r="U30" s="327" t="s">
        <v>223</v>
      </c>
      <c r="V30" s="37" t="s">
        <v>46</v>
      </c>
    </row>
    <row r="31">
      <c r="A31" s="156" t="s">
        <v>36</v>
      </c>
      <c r="B31" s="294"/>
      <c r="C31" s="291"/>
      <c r="D31" s="292">
        <f t="shared" si="57"/>
        <v>0</v>
      </c>
      <c r="E31" s="294"/>
      <c r="F31" s="291"/>
      <c r="G31" s="292">
        <f t="shared" si="58"/>
        <v>0</v>
      </c>
      <c r="H31" s="294">
        <v>10.0</v>
      </c>
      <c r="I31" s="291"/>
      <c r="J31" s="292">
        <f t="shared" si="59"/>
        <v>10</v>
      </c>
      <c r="K31" s="291">
        <f t="shared" ref="K31:L31" si="60">H31+E31+B31</f>
        <v>10</v>
      </c>
      <c r="L31" s="291">
        <f t="shared" si="60"/>
        <v>0</v>
      </c>
      <c r="M31" s="325">
        <f t="shared" si="61"/>
        <v>10</v>
      </c>
      <c r="N31" s="326">
        <v>24.0</v>
      </c>
      <c r="O31" s="326">
        <f t="shared" si="62"/>
        <v>14</v>
      </c>
      <c r="P31" s="334" t="s">
        <v>36</v>
      </c>
      <c r="Q31" s="37">
        <v>10.0</v>
      </c>
      <c r="R31" s="66">
        <f t="shared" si="63"/>
        <v>0</v>
      </c>
      <c r="U31" s="327" t="s">
        <v>223</v>
      </c>
      <c r="V31" s="37" t="s">
        <v>46</v>
      </c>
    </row>
    <row r="32">
      <c r="A32" s="156" t="s">
        <v>40</v>
      </c>
      <c r="B32" s="294">
        <v>1.0</v>
      </c>
      <c r="C32" s="291"/>
      <c r="D32" s="292">
        <f t="shared" si="57"/>
        <v>1</v>
      </c>
      <c r="E32" s="294"/>
      <c r="F32" s="291"/>
      <c r="G32" s="292">
        <f t="shared" si="58"/>
        <v>0</v>
      </c>
      <c r="H32" s="294">
        <v>11.0</v>
      </c>
      <c r="I32" s="291"/>
      <c r="J32" s="292">
        <f t="shared" si="59"/>
        <v>11</v>
      </c>
      <c r="K32" s="291">
        <f t="shared" ref="K32:L32" si="64">H32+E32+B32</f>
        <v>12</v>
      </c>
      <c r="L32" s="291">
        <f t="shared" si="64"/>
        <v>0</v>
      </c>
      <c r="M32" s="325">
        <f t="shared" si="61"/>
        <v>12</v>
      </c>
      <c r="N32" s="326">
        <v>17.0</v>
      </c>
      <c r="O32" s="326">
        <f t="shared" si="62"/>
        <v>5</v>
      </c>
      <c r="P32" s="334" t="s">
        <v>40</v>
      </c>
      <c r="Q32" s="37">
        <v>11.0</v>
      </c>
      <c r="R32" s="66">
        <f t="shared" si="63"/>
        <v>0</v>
      </c>
      <c r="U32" s="327" t="s">
        <v>223</v>
      </c>
      <c r="V32" s="37" t="s">
        <v>46</v>
      </c>
    </row>
    <row r="33">
      <c r="A33" s="156" t="s">
        <v>41</v>
      </c>
      <c r="B33" s="294">
        <v>1.0</v>
      </c>
      <c r="C33" s="291"/>
      <c r="D33" s="292">
        <f t="shared" si="57"/>
        <v>1</v>
      </c>
      <c r="E33" s="294"/>
      <c r="F33" s="291"/>
      <c r="G33" s="292">
        <f t="shared" si="58"/>
        <v>0</v>
      </c>
      <c r="H33" s="294">
        <v>23.0</v>
      </c>
      <c r="I33" s="291"/>
      <c r="J33" s="292">
        <f t="shared" si="59"/>
        <v>23</v>
      </c>
      <c r="K33" s="291">
        <f t="shared" ref="K33:L33" si="65">H33+E33+B33</f>
        <v>24</v>
      </c>
      <c r="L33" s="291">
        <f t="shared" si="65"/>
        <v>0</v>
      </c>
      <c r="M33" s="325">
        <f t="shared" si="61"/>
        <v>24</v>
      </c>
      <c r="N33" s="326">
        <v>21.0</v>
      </c>
      <c r="O33" s="326">
        <f t="shared" si="62"/>
        <v>-3</v>
      </c>
      <c r="P33" s="334" t="s">
        <v>41</v>
      </c>
      <c r="Q33" s="37">
        <v>23.0</v>
      </c>
      <c r="R33" s="66">
        <f t="shared" si="63"/>
        <v>0</v>
      </c>
      <c r="U33" s="327" t="s">
        <v>223</v>
      </c>
      <c r="V33" s="37" t="s">
        <v>46</v>
      </c>
    </row>
    <row r="34">
      <c r="A34" s="161" t="s">
        <v>44</v>
      </c>
      <c r="B34" s="306">
        <f t="shared" ref="B34:K34" si="66">sum(B30:B33)</f>
        <v>2</v>
      </c>
      <c r="C34" s="306">
        <f t="shared" si="66"/>
        <v>1</v>
      </c>
      <c r="D34" s="306">
        <f t="shared" si="66"/>
        <v>3</v>
      </c>
      <c r="E34" s="306">
        <f t="shared" si="66"/>
        <v>2</v>
      </c>
      <c r="F34" s="306">
        <f t="shared" si="66"/>
        <v>0</v>
      </c>
      <c r="G34" s="306">
        <f t="shared" si="66"/>
        <v>2</v>
      </c>
      <c r="H34" s="306">
        <f t="shared" si="66"/>
        <v>66</v>
      </c>
      <c r="I34" s="306">
        <f t="shared" si="66"/>
        <v>30</v>
      </c>
      <c r="J34" s="306">
        <f t="shared" si="66"/>
        <v>96</v>
      </c>
      <c r="K34" s="306">
        <f t="shared" si="66"/>
        <v>70</v>
      </c>
      <c r="L34" s="306">
        <f>SUM(L30:L33)</f>
        <v>31</v>
      </c>
      <c r="M34" s="310">
        <f t="shared" ref="M34:O34" si="67">sum(M30:M33)</f>
        <v>101</v>
      </c>
      <c r="N34" s="329">
        <f t="shared" si="67"/>
        <v>94</v>
      </c>
      <c r="O34" s="329">
        <f t="shared" si="67"/>
        <v>-7</v>
      </c>
      <c r="P34" s="161" t="s">
        <v>44</v>
      </c>
      <c r="Q34" s="66">
        <f>SUM(Q30:Q33)</f>
        <v>96</v>
      </c>
      <c r="R34" s="66">
        <f t="shared" si="63"/>
        <v>0</v>
      </c>
      <c r="U34" s="330"/>
    </row>
    <row r="35">
      <c r="A35" s="156" t="s">
        <v>47</v>
      </c>
      <c r="B35" s="99">
        <v>3.0</v>
      </c>
      <c r="C35" s="99"/>
      <c r="D35" s="292">
        <f t="shared" ref="D35:D38" si="69">SUM(A35:C35)</f>
        <v>3</v>
      </c>
      <c r="E35" s="99">
        <v>1.0</v>
      </c>
      <c r="F35" s="99"/>
      <c r="G35" s="292">
        <f t="shared" ref="G35:G38" si="70">E35+F35</f>
        <v>1</v>
      </c>
      <c r="H35" s="99">
        <v>16.0</v>
      </c>
      <c r="I35" s="99"/>
      <c r="J35" s="292">
        <f t="shared" ref="J35:J38" si="71">H35+I35</f>
        <v>16</v>
      </c>
      <c r="K35" s="291">
        <f t="shared" ref="K35:L35" si="68">H35+E35+B35</f>
        <v>20</v>
      </c>
      <c r="L35" s="291">
        <f t="shared" si="68"/>
        <v>0</v>
      </c>
      <c r="M35" s="325">
        <f t="shared" ref="M35:M38" si="73">sum(K35:L35)</f>
        <v>20</v>
      </c>
      <c r="N35" s="326">
        <v>18.0</v>
      </c>
      <c r="O35" s="326">
        <f t="shared" ref="O35:O38" si="74">N35-M35</f>
        <v>-2</v>
      </c>
      <c r="P35" s="334" t="s">
        <v>47</v>
      </c>
      <c r="Q35" s="37">
        <v>15.0</v>
      </c>
      <c r="R35" s="320">
        <f t="shared" si="63"/>
        <v>1</v>
      </c>
      <c r="U35" s="330"/>
    </row>
    <row r="36">
      <c r="A36" s="156" t="s">
        <v>51</v>
      </c>
      <c r="B36" s="99">
        <v>5.0</v>
      </c>
      <c r="C36" s="99"/>
      <c r="D36" s="292">
        <f t="shared" si="69"/>
        <v>5</v>
      </c>
      <c r="E36" s="99"/>
      <c r="F36" s="99"/>
      <c r="G36" s="292">
        <f t="shared" si="70"/>
        <v>0</v>
      </c>
      <c r="H36" s="99">
        <v>18.0</v>
      </c>
      <c r="I36" s="99"/>
      <c r="J36" s="292">
        <f t="shared" si="71"/>
        <v>18</v>
      </c>
      <c r="K36" s="291">
        <f t="shared" ref="K36:L36" si="72">H36+E36+B36</f>
        <v>23</v>
      </c>
      <c r="L36" s="291">
        <f t="shared" si="72"/>
        <v>0</v>
      </c>
      <c r="M36" s="325">
        <f t="shared" si="73"/>
        <v>23</v>
      </c>
      <c r="N36" s="326">
        <v>20.0</v>
      </c>
      <c r="O36" s="326">
        <f t="shared" si="74"/>
        <v>-3</v>
      </c>
      <c r="P36" s="334" t="s">
        <v>51</v>
      </c>
      <c r="Q36" s="37">
        <v>17.0</v>
      </c>
      <c r="R36" s="320">
        <f t="shared" si="63"/>
        <v>1</v>
      </c>
      <c r="U36" s="330"/>
    </row>
    <row r="37">
      <c r="A37" s="156" t="s">
        <v>52</v>
      </c>
      <c r="B37" s="99">
        <v>1.0</v>
      </c>
      <c r="C37" s="99"/>
      <c r="D37" s="292">
        <f t="shared" si="69"/>
        <v>1</v>
      </c>
      <c r="E37" s="99">
        <v>1.0</v>
      </c>
      <c r="F37" s="99"/>
      <c r="G37" s="292">
        <f t="shared" si="70"/>
        <v>1</v>
      </c>
      <c r="H37" s="99">
        <v>12.0</v>
      </c>
      <c r="I37" s="99"/>
      <c r="J37" s="292">
        <f t="shared" si="71"/>
        <v>12</v>
      </c>
      <c r="K37" s="291">
        <v>14.0</v>
      </c>
      <c r="L37" s="291">
        <f>I37+F37+C37</f>
        <v>0</v>
      </c>
      <c r="M37" s="325">
        <f t="shared" si="73"/>
        <v>14</v>
      </c>
      <c r="N37" s="326">
        <v>13.0</v>
      </c>
      <c r="O37" s="326">
        <f t="shared" si="74"/>
        <v>-1</v>
      </c>
      <c r="P37" s="334" t="s">
        <v>52</v>
      </c>
      <c r="Q37" s="37">
        <v>12.0</v>
      </c>
      <c r="R37" s="66">
        <f t="shared" si="63"/>
        <v>0</v>
      </c>
      <c r="U37" s="330"/>
    </row>
    <row r="38">
      <c r="A38" s="156" t="s">
        <v>53</v>
      </c>
      <c r="B38" s="99">
        <v>1.0</v>
      </c>
      <c r="C38" s="99"/>
      <c r="D38" s="292">
        <f t="shared" si="69"/>
        <v>1</v>
      </c>
      <c r="E38" s="99">
        <v>1.0</v>
      </c>
      <c r="F38" s="99"/>
      <c r="G38" s="292">
        <f t="shared" si="70"/>
        <v>1</v>
      </c>
      <c r="H38" s="99">
        <v>10.0</v>
      </c>
      <c r="I38" s="99"/>
      <c r="J38" s="292">
        <f t="shared" si="71"/>
        <v>10</v>
      </c>
      <c r="K38" s="291">
        <f t="shared" ref="K38:L38" si="75">H38+E38+B38</f>
        <v>12</v>
      </c>
      <c r="L38" s="291">
        <f t="shared" si="75"/>
        <v>0</v>
      </c>
      <c r="M38" s="325">
        <f t="shared" si="73"/>
        <v>12</v>
      </c>
      <c r="N38" s="326">
        <v>25.0</v>
      </c>
      <c r="O38" s="326">
        <f t="shared" si="74"/>
        <v>13</v>
      </c>
      <c r="P38" s="334" t="s">
        <v>53</v>
      </c>
      <c r="Q38" s="37">
        <v>11.0</v>
      </c>
      <c r="R38" s="320">
        <f t="shared" si="63"/>
        <v>-1</v>
      </c>
      <c r="U38" s="330"/>
    </row>
    <row r="39">
      <c r="A39" s="161" t="s">
        <v>54</v>
      </c>
      <c r="B39" s="306">
        <f t="shared" ref="B39:K39" si="76">sum(B35:B38)</f>
        <v>10</v>
      </c>
      <c r="C39" s="306">
        <f t="shared" si="76"/>
        <v>0</v>
      </c>
      <c r="D39" s="306">
        <f t="shared" si="76"/>
        <v>10</v>
      </c>
      <c r="E39" s="306">
        <f t="shared" si="76"/>
        <v>3</v>
      </c>
      <c r="F39" s="306">
        <f t="shared" si="76"/>
        <v>0</v>
      </c>
      <c r="G39" s="306">
        <f t="shared" si="76"/>
        <v>3</v>
      </c>
      <c r="H39" s="306">
        <f t="shared" si="76"/>
        <v>56</v>
      </c>
      <c r="I39" s="306">
        <f t="shared" si="76"/>
        <v>0</v>
      </c>
      <c r="J39" s="306">
        <f t="shared" si="76"/>
        <v>56</v>
      </c>
      <c r="K39" s="306">
        <f t="shared" si="76"/>
        <v>69</v>
      </c>
      <c r="L39" s="306">
        <f>SUM(L35:L38)</f>
        <v>0</v>
      </c>
      <c r="M39" s="310">
        <f t="shared" ref="M39:O39" si="77">sum(M35:M38)</f>
        <v>69</v>
      </c>
      <c r="N39" s="329">
        <f t="shared" si="77"/>
        <v>76</v>
      </c>
      <c r="O39" s="329">
        <f t="shared" si="77"/>
        <v>7</v>
      </c>
      <c r="P39" s="161" t="s">
        <v>54</v>
      </c>
      <c r="Q39" s="66">
        <f>sum(Q35:Q38)</f>
        <v>55</v>
      </c>
      <c r="R39" s="37">
        <v>0.0</v>
      </c>
      <c r="U39" s="330"/>
    </row>
    <row r="40">
      <c r="A40" s="156" t="s">
        <v>55</v>
      </c>
      <c r="B40" s="99"/>
      <c r="C40" s="99"/>
      <c r="D40" s="292">
        <f t="shared" ref="D40:D42" si="79">SUM(A40:C40)</f>
        <v>0</v>
      </c>
      <c r="E40" s="99">
        <v>1.0</v>
      </c>
      <c r="F40" s="99">
        <v>1.0</v>
      </c>
      <c r="G40" s="292">
        <f t="shared" ref="G40:G42" si="80">E40+F40</f>
        <v>2</v>
      </c>
      <c r="H40" s="99">
        <v>10.0</v>
      </c>
      <c r="I40" s="99"/>
      <c r="J40" s="292">
        <f t="shared" ref="J40:J42" si="81">H40+I40</f>
        <v>10</v>
      </c>
      <c r="K40" s="291">
        <f t="shared" ref="K40:L40" si="78">H40+E40+B40</f>
        <v>11</v>
      </c>
      <c r="L40" s="291">
        <f t="shared" si="78"/>
        <v>1</v>
      </c>
      <c r="M40" s="325">
        <f t="shared" ref="M40:M42" si="83">sum(K40:L40)</f>
        <v>12</v>
      </c>
      <c r="N40" s="326">
        <v>18.0</v>
      </c>
      <c r="O40" s="326">
        <f t="shared" ref="O40:O42" si="84">N40-M40</f>
        <v>6</v>
      </c>
      <c r="P40" s="334" t="s">
        <v>55</v>
      </c>
      <c r="Q40" s="37">
        <v>10.0</v>
      </c>
      <c r="R40" s="66">
        <f t="shared" ref="R40:R43" si="85">J40-Q40</f>
        <v>0</v>
      </c>
      <c r="T40" s="335"/>
      <c r="U40" s="327" t="s">
        <v>223</v>
      </c>
      <c r="V40" s="37" t="s">
        <v>81</v>
      </c>
    </row>
    <row r="41">
      <c r="A41" s="156" t="s">
        <v>57</v>
      </c>
      <c r="B41" s="99">
        <v>2.0</v>
      </c>
      <c r="C41" s="99"/>
      <c r="D41" s="292">
        <f t="shared" si="79"/>
        <v>2</v>
      </c>
      <c r="E41" s="99"/>
      <c r="F41" s="99"/>
      <c r="G41" s="292">
        <f t="shared" si="80"/>
        <v>0</v>
      </c>
      <c r="H41" s="99">
        <v>15.0</v>
      </c>
      <c r="I41" s="99"/>
      <c r="J41" s="292">
        <f t="shared" si="81"/>
        <v>15</v>
      </c>
      <c r="K41" s="291">
        <f t="shared" ref="K41:L41" si="82">H41+E41+B41</f>
        <v>17</v>
      </c>
      <c r="L41" s="291">
        <f t="shared" si="82"/>
        <v>0</v>
      </c>
      <c r="M41" s="325">
        <f t="shared" si="83"/>
        <v>17</v>
      </c>
      <c r="N41" s="326">
        <v>25.0</v>
      </c>
      <c r="O41" s="326">
        <f t="shared" si="84"/>
        <v>8</v>
      </c>
      <c r="P41" s="334" t="s">
        <v>57</v>
      </c>
      <c r="Q41" s="37">
        <v>15.0</v>
      </c>
      <c r="R41" s="66">
        <f t="shared" si="85"/>
        <v>0</v>
      </c>
      <c r="T41" s="335"/>
      <c r="U41" s="327" t="s">
        <v>223</v>
      </c>
      <c r="V41" s="37" t="s">
        <v>81</v>
      </c>
    </row>
    <row r="42">
      <c r="A42" s="156" t="s">
        <v>58</v>
      </c>
      <c r="B42" s="99">
        <v>1.0</v>
      </c>
      <c r="C42" s="99"/>
      <c r="D42" s="292">
        <f t="shared" si="79"/>
        <v>1</v>
      </c>
      <c r="E42" s="99">
        <v>1.0</v>
      </c>
      <c r="F42" s="99"/>
      <c r="G42" s="292">
        <f t="shared" si="80"/>
        <v>1</v>
      </c>
      <c r="H42" s="99">
        <v>4.0</v>
      </c>
      <c r="I42" s="99">
        <v>0.0</v>
      </c>
      <c r="J42" s="292">
        <f t="shared" si="81"/>
        <v>4</v>
      </c>
      <c r="K42" s="291">
        <f t="shared" ref="K42:L42" si="86">H42+E42+B42</f>
        <v>6</v>
      </c>
      <c r="L42" s="291">
        <f t="shared" si="86"/>
        <v>0</v>
      </c>
      <c r="M42" s="325">
        <f t="shared" si="83"/>
        <v>6</v>
      </c>
      <c r="N42" s="326">
        <v>8.0</v>
      </c>
      <c r="O42" s="326">
        <f t="shared" si="84"/>
        <v>2</v>
      </c>
      <c r="P42" s="334" t="s">
        <v>58</v>
      </c>
      <c r="Q42" s="37">
        <v>4.0</v>
      </c>
      <c r="R42" s="66">
        <f t="shared" si="85"/>
        <v>0</v>
      </c>
      <c r="T42" s="335"/>
      <c r="U42" s="327" t="s">
        <v>223</v>
      </c>
      <c r="V42" s="37" t="s">
        <v>81</v>
      </c>
    </row>
    <row r="43">
      <c r="A43" s="161" t="s">
        <v>59</v>
      </c>
      <c r="B43" s="306">
        <f t="shared" ref="B43:O43" si="87">sum(B40:B42)</f>
        <v>3</v>
      </c>
      <c r="C43" s="306">
        <f t="shared" si="87"/>
        <v>0</v>
      </c>
      <c r="D43" s="306">
        <f t="shared" si="87"/>
        <v>3</v>
      </c>
      <c r="E43" s="306">
        <f t="shared" si="87"/>
        <v>2</v>
      </c>
      <c r="F43" s="306">
        <f t="shared" si="87"/>
        <v>1</v>
      </c>
      <c r="G43" s="306">
        <f t="shared" si="87"/>
        <v>3</v>
      </c>
      <c r="H43" s="306">
        <f t="shared" si="87"/>
        <v>29</v>
      </c>
      <c r="I43" s="306">
        <f t="shared" si="87"/>
        <v>0</v>
      </c>
      <c r="J43" s="306">
        <f t="shared" si="87"/>
        <v>29</v>
      </c>
      <c r="K43" s="306">
        <f t="shared" si="87"/>
        <v>34</v>
      </c>
      <c r="L43" s="306">
        <f t="shared" si="87"/>
        <v>1</v>
      </c>
      <c r="M43" s="310">
        <f t="shared" si="87"/>
        <v>35</v>
      </c>
      <c r="N43" s="329">
        <f t="shared" si="87"/>
        <v>51</v>
      </c>
      <c r="O43" s="329">
        <f t="shared" si="87"/>
        <v>16</v>
      </c>
      <c r="P43" s="161" t="s">
        <v>59</v>
      </c>
      <c r="Q43" s="66">
        <f>sum(Q40:Q42)</f>
        <v>29</v>
      </c>
      <c r="R43" s="66">
        <f t="shared" si="85"/>
        <v>0</v>
      </c>
    </row>
    <row r="44">
      <c r="A44" s="43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11"/>
      <c r="N44" s="312"/>
      <c r="O44" s="312"/>
    </row>
    <row r="45">
      <c r="A45" s="39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11"/>
      <c r="N45" s="312"/>
      <c r="O45" s="312"/>
    </row>
    <row r="46">
      <c r="A46" s="165" t="s">
        <v>13</v>
      </c>
      <c r="B46" s="313">
        <f t="shared" ref="B46:O46" si="88">B43+B39+B34</f>
        <v>15</v>
      </c>
      <c r="C46" s="313">
        <f t="shared" si="88"/>
        <v>1</v>
      </c>
      <c r="D46" s="313">
        <f t="shared" si="88"/>
        <v>16</v>
      </c>
      <c r="E46" s="313">
        <f t="shared" si="88"/>
        <v>7</v>
      </c>
      <c r="F46" s="313">
        <f t="shared" si="88"/>
        <v>1</v>
      </c>
      <c r="G46" s="313">
        <f t="shared" si="88"/>
        <v>8</v>
      </c>
      <c r="H46" s="313">
        <f t="shared" si="88"/>
        <v>151</v>
      </c>
      <c r="I46" s="313">
        <f t="shared" si="88"/>
        <v>30</v>
      </c>
      <c r="J46" s="313">
        <f t="shared" si="88"/>
        <v>181</v>
      </c>
      <c r="K46" s="313">
        <f t="shared" si="88"/>
        <v>173</v>
      </c>
      <c r="L46" s="313">
        <f t="shared" si="88"/>
        <v>32</v>
      </c>
      <c r="M46" s="314">
        <f t="shared" si="88"/>
        <v>205</v>
      </c>
      <c r="N46" s="315">
        <f t="shared" si="88"/>
        <v>221</v>
      </c>
      <c r="O46" s="315">
        <f t="shared" si="88"/>
        <v>16</v>
      </c>
      <c r="Q46" s="66">
        <f>Q43+Q39+Q34</f>
        <v>180</v>
      </c>
      <c r="R46" s="69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drawing r:id="rId4"/>
  <legacyDrawing r:id="rId5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8" width="10.38"/>
    <col customWidth="1" min="9" max="9" width="11.0"/>
    <col customWidth="1" min="10" max="18" width="10.38"/>
    <col customWidth="1" min="20" max="28" width="14.0"/>
    <col customWidth="1" min="29" max="29" width="33.75"/>
    <col customWidth="1" min="30" max="30" width="19.88"/>
  </cols>
  <sheetData>
    <row r="2">
      <c r="A2" s="196"/>
      <c r="B2" s="323" t="s">
        <v>199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2"/>
    </row>
    <row r="3">
      <c r="A3" s="39"/>
      <c r="B3" s="164" t="s">
        <v>225</v>
      </c>
      <c r="C3" s="30"/>
      <c r="D3" s="30"/>
      <c r="E3" s="30"/>
      <c r="F3" s="164" t="s">
        <v>226</v>
      </c>
      <c r="G3" s="30"/>
      <c r="H3" s="30"/>
      <c r="I3" s="30"/>
      <c r="J3" s="164" t="s">
        <v>111</v>
      </c>
      <c r="K3" s="30"/>
      <c r="L3" s="30"/>
      <c r="M3" s="30"/>
      <c r="N3" s="36"/>
      <c r="O3" s="164" t="s">
        <v>13</v>
      </c>
      <c r="P3" s="30"/>
      <c r="Q3" s="30"/>
      <c r="R3" s="42"/>
    </row>
    <row r="4">
      <c r="A4" s="43"/>
      <c r="B4" s="179" t="s">
        <v>24</v>
      </c>
      <c r="C4" s="179" t="s">
        <v>25</v>
      </c>
      <c r="D4" s="179" t="s">
        <v>193</v>
      </c>
      <c r="E4" s="179" t="s">
        <v>26</v>
      </c>
      <c r="F4" s="179" t="s">
        <v>24</v>
      </c>
      <c r="G4" s="179" t="s">
        <v>25</v>
      </c>
      <c r="H4" s="179" t="s">
        <v>193</v>
      </c>
      <c r="I4" s="179" t="s">
        <v>26</v>
      </c>
      <c r="J4" s="179" t="s">
        <v>24</v>
      </c>
      <c r="K4" s="179" t="s">
        <v>25</v>
      </c>
      <c r="L4" s="179" t="s">
        <v>193</v>
      </c>
      <c r="M4" s="179" t="s">
        <v>26</v>
      </c>
      <c r="N4" s="211"/>
      <c r="O4" s="179" t="s">
        <v>24</v>
      </c>
      <c r="P4" s="179" t="s">
        <v>25</v>
      </c>
      <c r="Q4" s="179" t="s">
        <v>193</v>
      </c>
      <c r="R4" s="181" t="s">
        <v>26</v>
      </c>
      <c r="S4" s="37" t="s">
        <v>212</v>
      </c>
      <c r="T4" s="23" t="s">
        <v>3</v>
      </c>
      <c r="U4" s="23" t="s">
        <v>229</v>
      </c>
      <c r="V4" s="23"/>
      <c r="W4" s="179" t="s">
        <v>24</v>
      </c>
      <c r="X4" s="179" t="s">
        <v>25</v>
      </c>
      <c r="Y4" s="179" t="s">
        <v>193</v>
      </c>
      <c r="Z4" s="181" t="s">
        <v>26</v>
      </c>
      <c r="AA4" s="23"/>
      <c r="AB4" s="23" t="s">
        <v>220</v>
      </c>
      <c r="AC4" s="23" t="s">
        <v>221</v>
      </c>
      <c r="AD4" s="23" t="s">
        <v>222</v>
      </c>
    </row>
    <row r="5">
      <c r="A5" s="156" t="s">
        <v>22</v>
      </c>
      <c r="B5" s="294">
        <v>49.0</v>
      </c>
      <c r="C5" s="291">
        <v>1.0</v>
      </c>
      <c r="D5" s="291">
        <v>128.0</v>
      </c>
      <c r="E5" s="292">
        <f t="shared" ref="E5:E8" si="2">SUM(B5:D5)</f>
        <v>178</v>
      </c>
      <c r="F5" s="294">
        <v>46.0</v>
      </c>
      <c r="G5" s="291">
        <v>0.0</v>
      </c>
      <c r="H5" s="291">
        <v>124.0</v>
      </c>
      <c r="I5" s="292">
        <f t="shared" ref="I5:I8" si="3">SUM(F5:H5)</f>
        <v>170</v>
      </c>
      <c r="J5" s="294">
        <v>41.0</v>
      </c>
      <c r="K5" s="291">
        <v>0.0</v>
      </c>
      <c r="L5" s="291">
        <v>213.0</v>
      </c>
      <c r="M5" s="292">
        <f t="shared" ref="M5:M8" si="4">SUM(J5:L5)</f>
        <v>254</v>
      </c>
      <c r="N5" s="36" t="str">
        <f t="shared" ref="N5:N8" si="5">if(M5&gt;U5,"Over RR","")</f>
        <v/>
      </c>
      <c r="O5" s="99">
        <f t="shared" ref="O5:Q5" si="1">J5+F5+B5</f>
        <v>136</v>
      </c>
      <c r="P5" s="99">
        <f t="shared" si="1"/>
        <v>1</v>
      </c>
      <c r="Q5" s="99">
        <f t="shared" si="1"/>
        <v>465</v>
      </c>
      <c r="R5" s="325">
        <f t="shared" ref="R5:R8" si="7">SUM(O5:Q5)</f>
        <v>602</v>
      </c>
      <c r="S5" s="37" t="s">
        <v>232</v>
      </c>
      <c r="T5" s="37" t="s">
        <v>119</v>
      </c>
      <c r="U5" s="37">
        <v>265.0</v>
      </c>
      <c r="V5" s="37"/>
      <c r="W5" s="37">
        <v>41.0</v>
      </c>
      <c r="X5" s="37">
        <v>0.0</v>
      </c>
      <c r="Y5" s="37">
        <v>213.0</v>
      </c>
      <c r="Z5" s="37">
        <f t="shared" ref="Z5:Z8" si="8">sum(W5:Y5)</f>
        <v>254</v>
      </c>
      <c r="AA5" s="37">
        <f t="shared" ref="AA5:AA18" si="9">M5-Z5</f>
        <v>0</v>
      </c>
      <c r="AB5" s="37" t="s">
        <v>148</v>
      </c>
      <c r="AC5" s="37" t="s">
        <v>224</v>
      </c>
      <c r="AD5" s="37" t="s">
        <v>24</v>
      </c>
    </row>
    <row r="6">
      <c r="A6" s="156" t="s">
        <v>36</v>
      </c>
      <c r="B6" s="294">
        <v>33.0</v>
      </c>
      <c r="C6" s="291">
        <v>4.0</v>
      </c>
      <c r="D6" s="291">
        <v>18.0</v>
      </c>
      <c r="E6" s="292">
        <f t="shared" si="2"/>
        <v>55</v>
      </c>
      <c r="F6" s="294">
        <v>39.0</v>
      </c>
      <c r="G6" s="291">
        <v>4.0</v>
      </c>
      <c r="H6" s="291">
        <v>43.0</v>
      </c>
      <c r="I6" s="292">
        <f t="shared" si="3"/>
        <v>86</v>
      </c>
      <c r="J6" s="294">
        <v>29.0</v>
      </c>
      <c r="K6" s="291">
        <v>0.0</v>
      </c>
      <c r="L6" s="291">
        <v>34.0</v>
      </c>
      <c r="M6" s="292">
        <f t="shared" si="4"/>
        <v>63</v>
      </c>
      <c r="N6" s="36" t="str">
        <f t="shared" si="5"/>
        <v>Over RR</v>
      </c>
      <c r="O6" s="99">
        <f t="shared" ref="O6:Q6" si="6">J6+F6+B6</f>
        <v>101</v>
      </c>
      <c r="P6" s="99">
        <f t="shared" si="6"/>
        <v>8</v>
      </c>
      <c r="Q6" s="99">
        <f t="shared" si="6"/>
        <v>95</v>
      </c>
      <c r="R6" s="325">
        <f t="shared" si="7"/>
        <v>204</v>
      </c>
      <c r="S6" s="37" t="s">
        <v>232</v>
      </c>
      <c r="T6" s="37" t="s">
        <v>119</v>
      </c>
      <c r="U6" s="37">
        <v>53.0</v>
      </c>
      <c r="V6" s="37"/>
      <c r="W6" s="37">
        <v>29.0</v>
      </c>
      <c r="X6" s="37">
        <v>0.0</v>
      </c>
      <c r="Y6" s="37">
        <v>34.0</v>
      </c>
      <c r="Z6" s="37">
        <f t="shared" si="8"/>
        <v>63</v>
      </c>
      <c r="AA6" s="37">
        <f t="shared" si="9"/>
        <v>0</v>
      </c>
      <c r="AB6" s="37" t="s">
        <v>147</v>
      </c>
      <c r="AC6" s="37" t="s">
        <v>95</v>
      </c>
      <c r="AD6" s="37" t="s">
        <v>24</v>
      </c>
    </row>
    <row r="7">
      <c r="A7" s="156" t="s">
        <v>40</v>
      </c>
      <c r="B7" s="294">
        <v>42.0</v>
      </c>
      <c r="C7" s="291">
        <v>1.0</v>
      </c>
      <c r="D7" s="291">
        <v>0.0</v>
      </c>
      <c r="E7" s="292">
        <f t="shared" si="2"/>
        <v>43</v>
      </c>
      <c r="F7" s="294">
        <v>43.0</v>
      </c>
      <c r="G7" s="291">
        <v>0.0</v>
      </c>
      <c r="H7" s="291">
        <v>0.0</v>
      </c>
      <c r="I7" s="292">
        <f t="shared" si="3"/>
        <v>43</v>
      </c>
      <c r="J7" s="294">
        <v>27.0</v>
      </c>
      <c r="K7" s="291">
        <v>0.0</v>
      </c>
      <c r="L7" s="291">
        <v>0.0</v>
      </c>
      <c r="M7" s="292">
        <f t="shared" si="4"/>
        <v>27</v>
      </c>
      <c r="N7" s="36" t="str">
        <f t="shared" si="5"/>
        <v>Over RR</v>
      </c>
      <c r="O7" s="99">
        <f t="shared" ref="O7:Q7" si="10">J7+F7+B7</f>
        <v>112</v>
      </c>
      <c r="P7" s="99">
        <f t="shared" si="10"/>
        <v>1</v>
      </c>
      <c r="Q7" s="99">
        <f t="shared" si="10"/>
        <v>0</v>
      </c>
      <c r="R7" s="325">
        <f t="shared" si="7"/>
        <v>113</v>
      </c>
      <c r="S7" s="37" t="s">
        <v>232</v>
      </c>
      <c r="T7" s="37" t="s">
        <v>119</v>
      </c>
      <c r="U7" s="37">
        <v>12.0</v>
      </c>
      <c r="V7" s="37"/>
      <c r="W7" s="37">
        <v>27.0</v>
      </c>
      <c r="X7" s="37">
        <v>0.0</v>
      </c>
      <c r="Y7" s="37">
        <v>0.0</v>
      </c>
      <c r="Z7" s="37">
        <f t="shared" si="8"/>
        <v>27</v>
      </c>
      <c r="AA7" s="37">
        <f t="shared" si="9"/>
        <v>0</v>
      </c>
      <c r="AB7" s="37" t="s">
        <v>227</v>
      </c>
      <c r="AC7" s="37" t="s">
        <v>228</v>
      </c>
      <c r="AD7" s="37" t="s">
        <v>193</v>
      </c>
    </row>
    <row r="8">
      <c r="A8" s="156" t="s">
        <v>41</v>
      </c>
      <c r="B8" s="294">
        <v>38.0</v>
      </c>
      <c r="C8" s="291">
        <v>0.0</v>
      </c>
      <c r="D8" s="291">
        <v>0.0</v>
      </c>
      <c r="E8" s="292">
        <f t="shared" si="2"/>
        <v>38</v>
      </c>
      <c r="F8" s="294">
        <v>29.0</v>
      </c>
      <c r="G8" s="291">
        <v>0.0</v>
      </c>
      <c r="H8" s="291">
        <v>0.0</v>
      </c>
      <c r="I8" s="292">
        <f t="shared" si="3"/>
        <v>29</v>
      </c>
      <c r="J8" s="294">
        <v>31.0</v>
      </c>
      <c r="K8" s="291">
        <v>0.0</v>
      </c>
      <c r="L8" s="291">
        <v>0.0</v>
      </c>
      <c r="M8" s="292">
        <f t="shared" si="4"/>
        <v>31</v>
      </c>
      <c r="N8" s="36" t="str">
        <f t="shared" si="5"/>
        <v>Over RR</v>
      </c>
      <c r="O8" s="99">
        <f t="shared" ref="O8:Q8" si="11">J8+F8+B8</f>
        <v>98</v>
      </c>
      <c r="P8" s="99">
        <f t="shared" si="11"/>
        <v>0</v>
      </c>
      <c r="Q8" s="99">
        <f t="shared" si="11"/>
        <v>0</v>
      </c>
      <c r="R8" s="325">
        <f t="shared" si="7"/>
        <v>98</v>
      </c>
      <c r="S8" s="37" t="s">
        <v>232</v>
      </c>
      <c r="T8" s="37" t="s">
        <v>119</v>
      </c>
      <c r="U8" s="37">
        <v>12.0</v>
      </c>
      <c r="V8" s="37"/>
      <c r="W8" s="37">
        <v>31.0</v>
      </c>
      <c r="X8" s="37">
        <v>0.0</v>
      </c>
      <c r="Y8" s="37">
        <v>0.0</v>
      </c>
      <c r="Z8" s="37">
        <f t="shared" si="8"/>
        <v>31</v>
      </c>
      <c r="AA8" s="37">
        <f t="shared" si="9"/>
        <v>0</v>
      </c>
      <c r="AB8" s="37" t="s">
        <v>230</v>
      </c>
      <c r="AC8" s="37" t="s">
        <v>231</v>
      </c>
      <c r="AD8" s="37" t="s">
        <v>24</v>
      </c>
    </row>
    <row r="9">
      <c r="A9" s="161" t="s">
        <v>44</v>
      </c>
      <c r="B9" s="306">
        <f t="shared" ref="B9:C9" si="12">sum(B5:B8)</f>
        <v>162</v>
      </c>
      <c r="C9" s="306">
        <f t="shared" si="12"/>
        <v>6</v>
      </c>
      <c r="D9" s="306">
        <f>SUM(D5:D8)</f>
        <v>146</v>
      </c>
      <c r="E9" s="306">
        <f t="shared" ref="E9:G9" si="13">sum(E5:E8)</f>
        <v>314</v>
      </c>
      <c r="F9" s="306">
        <f t="shared" si="13"/>
        <v>157</v>
      </c>
      <c r="G9" s="306">
        <f t="shared" si="13"/>
        <v>4</v>
      </c>
      <c r="H9" s="306">
        <f>SUM(H5:H8)</f>
        <v>167</v>
      </c>
      <c r="I9" s="306">
        <f t="shared" ref="I9:K9" si="14">sum(I5:I8)</f>
        <v>328</v>
      </c>
      <c r="J9" s="306">
        <f t="shared" si="14"/>
        <v>128</v>
      </c>
      <c r="K9" s="306">
        <f t="shared" si="14"/>
        <v>0</v>
      </c>
      <c r="L9" s="306">
        <f>SUM(L5:L8)</f>
        <v>247</v>
      </c>
      <c r="M9" s="306">
        <f>sum(M5:M8)</f>
        <v>375</v>
      </c>
      <c r="N9" s="36"/>
      <c r="O9" s="306">
        <f t="shared" ref="O9:P9" si="15">sum(O5:O8)</f>
        <v>447</v>
      </c>
      <c r="P9" s="306">
        <f t="shared" si="15"/>
        <v>10</v>
      </c>
      <c r="Q9" s="306">
        <f>SUM(Q5:Q8)</f>
        <v>560</v>
      </c>
      <c r="R9" s="310">
        <f>sum(R5:R8)</f>
        <v>1017</v>
      </c>
      <c r="T9" s="37"/>
      <c r="U9" s="23">
        <f>sum(U5:U8)</f>
        <v>342</v>
      </c>
      <c r="V9" s="23"/>
      <c r="W9" s="23">
        <f t="shared" ref="W9:Z9" si="16">sum(W5:W8)</f>
        <v>128</v>
      </c>
      <c r="X9" s="23">
        <f t="shared" si="16"/>
        <v>0</v>
      </c>
      <c r="Y9" s="23">
        <f t="shared" si="16"/>
        <v>247</v>
      </c>
      <c r="Z9" s="23">
        <f t="shared" si="16"/>
        <v>375</v>
      </c>
      <c r="AA9" s="37">
        <f t="shared" si="9"/>
        <v>0</v>
      </c>
      <c r="AB9" s="37" t="s">
        <v>145</v>
      </c>
      <c r="AC9" s="37" t="s">
        <v>233</v>
      </c>
      <c r="AD9" s="37" t="s">
        <v>24</v>
      </c>
    </row>
    <row r="10">
      <c r="A10" s="156" t="s">
        <v>47</v>
      </c>
      <c r="B10" s="99">
        <v>32.0</v>
      </c>
      <c r="C10" s="99">
        <v>5.0</v>
      </c>
      <c r="D10" s="99">
        <v>0.0</v>
      </c>
      <c r="E10" s="292">
        <f t="shared" ref="E10:E13" si="18">SUM(B10:D10)</f>
        <v>37</v>
      </c>
      <c r="F10" s="99">
        <v>45.0</v>
      </c>
      <c r="G10" s="99"/>
      <c r="H10" s="99"/>
      <c r="I10" s="292">
        <f t="shared" ref="I10:I13" si="19">SUM(F10:H10)</f>
        <v>45</v>
      </c>
      <c r="J10" s="99">
        <v>26.0</v>
      </c>
      <c r="K10" s="99"/>
      <c r="L10" s="99">
        <v>0.0</v>
      </c>
      <c r="M10" s="292">
        <f t="shared" ref="M10:M13" si="20">SUM(J10:L10)</f>
        <v>26</v>
      </c>
      <c r="N10" s="36" t="str">
        <f t="shared" ref="N10:N13" si="21">if(M10&gt;U10,"Over RR","")</f>
        <v>Over RR</v>
      </c>
      <c r="O10" s="99">
        <f t="shared" ref="O10:Q10" si="17">J10+F10+B10</f>
        <v>103</v>
      </c>
      <c r="P10" s="99">
        <f t="shared" si="17"/>
        <v>5</v>
      </c>
      <c r="Q10" s="99">
        <f t="shared" si="17"/>
        <v>0</v>
      </c>
      <c r="R10" s="325">
        <f t="shared" ref="R10:R13" si="23">SUM(O10:Q10)</f>
        <v>108</v>
      </c>
      <c r="S10" s="37" t="s">
        <v>232</v>
      </c>
      <c r="T10" s="37" t="s">
        <v>240</v>
      </c>
      <c r="U10" s="37">
        <v>13.0</v>
      </c>
      <c r="V10" s="37"/>
      <c r="W10" s="37">
        <v>26.0</v>
      </c>
      <c r="X10" s="37">
        <v>0.0</v>
      </c>
      <c r="Y10" s="37">
        <v>0.0</v>
      </c>
      <c r="Z10" s="37">
        <f t="shared" ref="Z10:Z13" si="24">sum(W10:Y10)</f>
        <v>26</v>
      </c>
      <c r="AA10" s="37">
        <f t="shared" si="9"/>
        <v>0</v>
      </c>
      <c r="AB10" s="37" t="s">
        <v>236</v>
      </c>
      <c r="AC10" s="37" t="s">
        <v>237</v>
      </c>
      <c r="AD10" s="37" t="s">
        <v>193</v>
      </c>
    </row>
    <row r="11">
      <c r="A11" s="156" t="s">
        <v>51</v>
      </c>
      <c r="B11" s="99">
        <v>39.0</v>
      </c>
      <c r="C11" s="99">
        <v>1.0</v>
      </c>
      <c r="D11" s="99">
        <v>77.0</v>
      </c>
      <c r="E11" s="292">
        <f t="shared" si="18"/>
        <v>117</v>
      </c>
      <c r="F11" s="99">
        <v>31.0</v>
      </c>
      <c r="G11" s="99">
        <v>5.0</v>
      </c>
      <c r="H11" s="99">
        <v>31.0</v>
      </c>
      <c r="I11" s="292">
        <f t="shared" si="19"/>
        <v>67</v>
      </c>
      <c r="J11" s="99">
        <v>40.0</v>
      </c>
      <c r="K11" s="99">
        <v>1.0</v>
      </c>
      <c r="L11" s="99">
        <v>38.0</v>
      </c>
      <c r="M11" s="292">
        <f t="shared" si="20"/>
        <v>79</v>
      </c>
      <c r="N11" s="36" t="str">
        <f t="shared" si="21"/>
        <v/>
      </c>
      <c r="O11" s="99">
        <f t="shared" ref="O11:Q11" si="22">J11+F11+B11</f>
        <v>110</v>
      </c>
      <c r="P11" s="99">
        <f t="shared" si="22"/>
        <v>7</v>
      </c>
      <c r="Q11" s="99">
        <f t="shared" si="22"/>
        <v>146</v>
      </c>
      <c r="R11" s="325">
        <f t="shared" si="23"/>
        <v>263</v>
      </c>
      <c r="S11" s="37" t="s">
        <v>242</v>
      </c>
      <c r="T11" s="37" t="s">
        <v>104</v>
      </c>
      <c r="U11" s="37">
        <v>107.0</v>
      </c>
      <c r="V11" s="37"/>
      <c r="W11" s="37">
        <v>40.0</v>
      </c>
      <c r="X11" s="37">
        <v>1.0</v>
      </c>
      <c r="Y11" s="37">
        <v>38.0</v>
      </c>
      <c r="Z11" s="37">
        <f t="shared" si="24"/>
        <v>79</v>
      </c>
      <c r="AA11" s="37">
        <f t="shared" si="9"/>
        <v>0</v>
      </c>
      <c r="AB11" s="37" t="s">
        <v>146</v>
      </c>
      <c r="AC11" s="37" t="s">
        <v>238</v>
      </c>
      <c r="AD11" s="37" t="s">
        <v>25</v>
      </c>
    </row>
    <row r="12">
      <c r="A12" s="156" t="s">
        <v>52</v>
      </c>
      <c r="B12" s="99">
        <v>34.0</v>
      </c>
      <c r="C12" s="99">
        <v>1.0</v>
      </c>
      <c r="D12" s="99">
        <v>0.0</v>
      </c>
      <c r="E12" s="292">
        <f t="shared" si="18"/>
        <v>35</v>
      </c>
      <c r="F12" s="99">
        <v>35.0</v>
      </c>
      <c r="G12" s="99"/>
      <c r="H12" s="99"/>
      <c r="I12" s="292">
        <f t="shared" si="19"/>
        <v>35</v>
      </c>
      <c r="J12" s="99">
        <v>31.0</v>
      </c>
      <c r="K12" s="99"/>
      <c r="L12" s="99">
        <v>0.0</v>
      </c>
      <c r="M12" s="292">
        <f t="shared" si="20"/>
        <v>31</v>
      </c>
      <c r="N12" s="36" t="str">
        <f t="shared" si="21"/>
        <v/>
      </c>
      <c r="O12" s="99">
        <f t="shared" ref="O12:Q12" si="25">J12+F12+B12</f>
        <v>100</v>
      </c>
      <c r="P12" s="99">
        <f t="shared" si="25"/>
        <v>1</v>
      </c>
      <c r="Q12" s="99">
        <f t="shared" si="25"/>
        <v>0</v>
      </c>
      <c r="R12" s="325">
        <f t="shared" si="23"/>
        <v>101</v>
      </c>
      <c r="S12" s="37" t="s">
        <v>242</v>
      </c>
      <c r="T12" s="37" t="s">
        <v>104</v>
      </c>
      <c r="U12" s="37">
        <v>33.0</v>
      </c>
      <c r="V12" s="37"/>
      <c r="W12" s="37">
        <v>31.0</v>
      </c>
      <c r="X12" s="37">
        <v>0.0</v>
      </c>
      <c r="Y12" s="37">
        <v>0.0</v>
      </c>
      <c r="Z12" s="37">
        <f t="shared" si="24"/>
        <v>31</v>
      </c>
      <c r="AA12" s="37">
        <f t="shared" si="9"/>
        <v>0</v>
      </c>
      <c r="AB12" s="37" t="s">
        <v>167</v>
      </c>
      <c r="AC12" s="37" t="s">
        <v>239</v>
      </c>
      <c r="AD12" s="37" t="s">
        <v>24</v>
      </c>
    </row>
    <row r="13">
      <c r="A13" s="156" t="s">
        <v>53</v>
      </c>
      <c r="B13" s="99">
        <v>63.0</v>
      </c>
      <c r="C13" s="99">
        <v>1.0</v>
      </c>
      <c r="D13" s="99">
        <v>0.0</v>
      </c>
      <c r="E13" s="292">
        <f t="shared" si="18"/>
        <v>64</v>
      </c>
      <c r="F13" s="99">
        <v>71.0</v>
      </c>
      <c r="G13" s="99"/>
      <c r="H13" s="99"/>
      <c r="I13" s="292">
        <f t="shared" si="19"/>
        <v>71</v>
      </c>
      <c r="J13" s="99">
        <v>34.0</v>
      </c>
      <c r="K13" s="99"/>
      <c r="L13" s="99">
        <v>0.0</v>
      </c>
      <c r="M13" s="292">
        <f t="shared" si="20"/>
        <v>34</v>
      </c>
      <c r="N13" s="36" t="str">
        <f t="shared" si="21"/>
        <v>Over RR</v>
      </c>
      <c r="O13" s="99">
        <f t="shared" ref="O13:Q13" si="26">J13+F13+B13</f>
        <v>168</v>
      </c>
      <c r="P13" s="99">
        <f t="shared" si="26"/>
        <v>1</v>
      </c>
      <c r="Q13" s="99">
        <f t="shared" si="26"/>
        <v>0</v>
      </c>
      <c r="R13" s="325">
        <f t="shared" si="23"/>
        <v>169</v>
      </c>
      <c r="S13" s="37" t="s">
        <v>243</v>
      </c>
      <c r="T13" s="37" t="s">
        <v>104</v>
      </c>
      <c r="U13" s="37">
        <v>23.0</v>
      </c>
      <c r="V13" s="37"/>
      <c r="W13" s="37">
        <v>34.0</v>
      </c>
      <c r="X13" s="37">
        <v>0.0</v>
      </c>
      <c r="Y13" s="37">
        <v>0.0</v>
      </c>
      <c r="Z13" s="37">
        <f t="shared" si="24"/>
        <v>34</v>
      </c>
      <c r="AA13" s="37">
        <f t="shared" si="9"/>
        <v>0</v>
      </c>
      <c r="AB13" s="37" t="s">
        <v>167</v>
      </c>
      <c r="AC13" s="37" t="s">
        <v>241</v>
      </c>
      <c r="AD13" s="37" t="s">
        <v>193</v>
      </c>
    </row>
    <row r="14">
      <c r="A14" s="161" t="s">
        <v>54</v>
      </c>
      <c r="B14" s="306">
        <f t="shared" ref="B14:C14" si="27">sum(B10:B13)</f>
        <v>168</v>
      </c>
      <c r="C14" s="306">
        <f t="shared" si="27"/>
        <v>8</v>
      </c>
      <c r="D14" s="306">
        <f>SUM(D10:D13)</f>
        <v>77</v>
      </c>
      <c r="E14" s="306">
        <f t="shared" ref="E14:G14" si="28">sum(E10:E13)</f>
        <v>253</v>
      </c>
      <c r="F14" s="306">
        <f t="shared" si="28"/>
        <v>182</v>
      </c>
      <c r="G14" s="306">
        <f t="shared" si="28"/>
        <v>5</v>
      </c>
      <c r="H14" s="306">
        <f>SUM(H10:H13)</f>
        <v>31</v>
      </c>
      <c r="I14" s="306">
        <f t="shared" ref="I14:K14" si="29">sum(I10:I13)</f>
        <v>218</v>
      </c>
      <c r="J14" s="306">
        <f t="shared" si="29"/>
        <v>131</v>
      </c>
      <c r="K14" s="306">
        <f t="shared" si="29"/>
        <v>1</v>
      </c>
      <c r="L14" s="306">
        <f>SUM(L10:L13)</f>
        <v>38</v>
      </c>
      <c r="M14" s="306">
        <f>sum(M10:M13)</f>
        <v>170</v>
      </c>
      <c r="N14" s="36"/>
      <c r="O14" s="306">
        <f t="shared" ref="O14:P14" si="30">sum(O10:O13)</f>
        <v>481</v>
      </c>
      <c r="P14" s="306">
        <f t="shared" si="30"/>
        <v>14</v>
      </c>
      <c r="Q14" s="306">
        <f>SUM(Q10:Q13)</f>
        <v>146</v>
      </c>
      <c r="R14" s="310">
        <f>sum(R10:R13)</f>
        <v>641</v>
      </c>
      <c r="T14" s="37"/>
      <c r="U14" s="23">
        <f>sum(U10:U13)</f>
        <v>176</v>
      </c>
      <c r="V14" s="23"/>
      <c r="W14" s="23">
        <f t="shared" ref="W14:Z14" si="31">sum(W10:W13)</f>
        <v>131</v>
      </c>
      <c r="X14" s="23">
        <f t="shared" si="31"/>
        <v>1</v>
      </c>
      <c r="Y14" s="23">
        <f t="shared" si="31"/>
        <v>38</v>
      </c>
      <c r="Z14" s="23">
        <f t="shared" si="31"/>
        <v>170</v>
      </c>
      <c r="AA14" s="37">
        <f t="shared" si="9"/>
        <v>0</v>
      </c>
      <c r="AB14" s="37" t="s">
        <v>143</v>
      </c>
      <c r="AC14" s="37" t="s">
        <v>244</v>
      </c>
      <c r="AD14" s="37" t="s">
        <v>24</v>
      </c>
    </row>
    <row r="15">
      <c r="A15" s="156" t="s">
        <v>55</v>
      </c>
      <c r="B15" s="99">
        <v>37.0</v>
      </c>
      <c r="C15" s="99">
        <v>23.0</v>
      </c>
      <c r="D15" s="99">
        <v>51.0</v>
      </c>
      <c r="E15" s="292">
        <f t="shared" ref="E15:E17" si="33">SUM(B15:D15)</f>
        <v>111</v>
      </c>
      <c r="F15" s="99">
        <v>33.0</v>
      </c>
      <c r="G15" s="99">
        <v>10.0</v>
      </c>
      <c r="H15" s="99">
        <v>24.0</v>
      </c>
      <c r="I15" s="292">
        <f t="shared" ref="I15:I17" si="34">SUM(F15:H15)</f>
        <v>67</v>
      </c>
      <c r="J15" s="99">
        <v>29.0</v>
      </c>
      <c r="K15" s="99">
        <v>8.0</v>
      </c>
      <c r="L15" s="99">
        <v>81.0</v>
      </c>
      <c r="M15" s="292">
        <f t="shared" ref="M15:M17" si="35">SUM(J15:L15)</f>
        <v>118</v>
      </c>
      <c r="N15" s="36" t="str">
        <f t="shared" ref="N15:N17" si="36">if(M15&gt;U15,"Over RR","")</f>
        <v/>
      </c>
      <c r="O15" s="99">
        <f t="shared" ref="O15:Q15" si="32">J15+F15+B15</f>
        <v>99</v>
      </c>
      <c r="P15" s="99">
        <f t="shared" si="32"/>
        <v>41</v>
      </c>
      <c r="Q15" s="99">
        <f t="shared" si="32"/>
        <v>156</v>
      </c>
      <c r="R15" s="325">
        <f t="shared" ref="R15:R17" si="38">SUM(O15:Q15)</f>
        <v>296</v>
      </c>
      <c r="S15" s="37" t="s">
        <v>232</v>
      </c>
      <c r="T15" s="37" t="s">
        <v>246</v>
      </c>
      <c r="U15" s="37">
        <v>132.0</v>
      </c>
      <c r="V15" s="37"/>
      <c r="W15" s="37">
        <v>29.0</v>
      </c>
      <c r="X15" s="37">
        <v>8.0</v>
      </c>
      <c r="Y15" s="37">
        <v>78.0</v>
      </c>
      <c r="Z15" s="37">
        <f t="shared" ref="Z15:Z17" si="39">sum(W15:Y15)</f>
        <v>115</v>
      </c>
      <c r="AA15" s="37">
        <f t="shared" si="9"/>
        <v>3</v>
      </c>
      <c r="AB15" s="37" t="s">
        <v>142</v>
      </c>
      <c r="AC15" s="37" t="s">
        <v>245</v>
      </c>
      <c r="AD15" s="37" t="s">
        <v>24</v>
      </c>
    </row>
    <row r="16">
      <c r="A16" s="156" t="s">
        <v>57</v>
      </c>
      <c r="B16" s="99">
        <v>37.0</v>
      </c>
      <c r="C16" s="99">
        <v>3.0</v>
      </c>
      <c r="D16" s="99">
        <v>0.0</v>
      </c>
      <c r="E16" s="292">
        <f t="shared" si="33"/>
        <v>40</v>
      </c>
      <c r="F16" s="99">
        <v>43.0</v>
      </c>
      <c r="G16" s="99"/>
      <c r="H16" s="99">
        <v>0.0</v>
      </c>
      <c r="I16" s="292">
        <f t="shared" si="34"/>
        <v>43</v>
      </c>
      <c r="J16" s="99">
        <v>29.0</v>
      </c>
      <c r="K16" s="99"/>
      <c r="L16" s="99">
        <v>0.0</v>
      </c>
      <c r="M16" s="292">
        <f t="shared" si="35"/>
        <v>29</v>
      </c>
      <c r="N16" s="36" t="str">
        <f t="shared" si="36"/>
        <v>Over RR</v>
      </c>
      <c r="O16" s="99">
        <f t="shared" ref="O16:Q16" si="37">J16+F16+B16</f>
        <v>109</v>
      </c>
      <c r="P16" s="99">
        <f t="shared" si="37"/>
        <v>3</v>
      </c>
      <c r="Q16" s="99">
        <f t="shared" si="37"/>
        <v>0</v>
      </c>
      <c r="R16" s="325">
        <f t="shared" si="38"/>
        <v>112</v>
      </c>
      <c r="S16" s="37" t="s">
        <v>248</v>
      </c>
      <c r="T16" s="37" t="s">
        <v>249</v>
      </c>
      <c r="U16" s="37">
        <v>12.0</v>
      </c>
      <c r="V16" s="37"/>
      <c r="W16" s="37">
        <v>29.0</v>
      </c>
      <c r="X16" s="37">
        <v>0.0</v>
      </c>
      <c r="Y16" s="37">
        <v>0.0</v>
      </c>
      <c r="Z16" s="37">
        <f t="shared" si="39"/>
        <v>29</v>
      </c>
      <c r="AA16" s="37">
        <f t="shared" si="9"/>
        <v>0</v>
      </c>
      <c r="AB16" s="37" t="s">
        <v>141</v>
      </c>
      <c r="AC16" s="37" t="s">
        <v>247</v>
      </c>
      <c r="AD16" s="37" t="s">
        <v>24</v>
      </c>
    </row>
    <row r="17">
      <c r="A17" s="156" t="s">
        <v>58</v>
      </c>
      <c r="B17" s="99">
        <v>19.0</v>
      </c>
      <c r="C17" s="99">
        <v>1.0</v>
      </c>
      <c r="D17" s="99">
        <v>0.0</v>
      </c>
      <c r="E17" s="292">
        <f t="shared" si="33"/>
        <v>20</v>
      </c>
      <c r="F17" s="99">
        <v>20.0</v>
      </c>
      <c r="G17" s="99"/>
      <c r="H17" s="99">
        <v>0.0</v>
      </c>
      <c r="I17" s="292">
        <f t="shared" si="34"/>
        <v>20</v>
      </c>
      <c r="J17" s="99">
        <v>10.0</v>
      </c>
      <c r="K17" s="99"/>
      <c r="L17" s="99">
        <v>3.0</v>
      </c>
      <c r="M17" s="292">
        <f t="shared" si="35"/>
        <v>13</v>
      </c>
      <c r="N17" s="36" t="str">
        <f t="shared" si="36"/>
        <v>Over RR</v>
      </c>
      <c r="O17" s="99">
        <f t="shared" ref="O17:Q17" si="40">J17+F17+B17</f>
        <v>49</v>
      </c>
      <c r="P17" s="99">
        <f t="shared" si="40"/>
        <v>1</v>
      </c>
      <c r="Q17" s="99">
        <f t="shared" si="40"/>
        <v>3</v>
      </c>
      <c r="R17" s="325">
        <f t="shared" si="38"/>
        <v>53</v>
      </c>
      <c r="S17" s="37" t="s">
        <v>248</v>
      </c>
      <c r="T17" s="37" t="s">
        <v>104</v>
      </c>
      <c r="U17" s="37">
        <v>8.0</v>
      </c>
      <c r="V17" s="37"/>
      <c r="W17" s="37">
        <v>10.0</v>
      </c>
      <c r="X17" s="37">
        <v>0.0</v>
      </c>
      <c r="Y17" s="37">
        <v>3.0</v>
      </c>
      <c r="Z17" s="37">
        <f t="shared" si="39"/>
        <v>13</v>
      </c>
      <c r="AA17" s="37">
        <f t="shared" si="9"/>
        <v>0</v>
      </c>
    </row>
    <row r="18">
      <c r="A18" s="161" t="s">
        <v>59</v>
      </c>
      <c r="B18" s="306">
        <f t="shared" ref="B18:M18" si="41">sum(B15:B17)</f>
        <v>93</v>
      </c>
      <c r="C18" s="306">
        <f t="shared" si="41"/>
        <v>27</v>
      </c>
      <c r="D18" s="306">
        <f t="shared" si="41"/>
        <v>51</v>
      </c>
      <c r="E18" s="306">
        <f t="shared" si="41"/>
        <v>171</v>
      </c>
      <c r="F18" s="306">
        <f t="shared" si="41"/>
        <v>96</v>
      </c>
      <c r="G18" s="306">
        <f t="shared" si="41"/>
        <v>10</v>
      </c>
      <c r="H18" s="306">
        <f t="shared" si="41"/>
        <v>24</v>
      </c>
      <c r="I18" s="306">
        <f t="shared" si="41"/>
        <v>130</v>
      </c>
      <c r="J18" s="306">
        <f t="shared" si="41"/>
        <v>68</v>
      </c>
      <c r="K18" s="306">
        <f t="shared" si="41"/>
        <v>8</v>
      </c>
      <c r="L18" s="306">
        <f t="shared" si="41"/>
        <v>84</v>
      </c>
      <c r="M18" s="306">
        <f t="shared" si="41"/>
        <v>160</v>
      </c>
      <c r="N18" s="36"/>
      <c r="O18" s="306">
        <f t="shared" ref="O18:R18" si="42">sum(O15:O17)</f>
        <v>257</v>
      </c>
      <c r="P18" s="306">
        <f t="shared" si="42"/>
        <v>45</v>
      </c>
      <c r="Q18" s="306">
        <f t="shared" si="42"/>
        <v>159</v>
      </c>
      <c r="R18" s="310">
        <f t="shared" si="42"/>
        <v>461</v>
      </c>
      <c r="U18" s="131">
        <f>sum(U15:U17)</f>
        <v>152</v>
      </c>
      <c r="V18" s="131"/>
      <c r="W18" s="131">
        <f t="shared" ref="W18:Z18" si="43">sum(W15:W17)</f>
        <v>68</v>
      </c>
      <c r="X18" s="131">
        <f t="shared" si="43"/>
        <v>8</v>
      </c>
      <c r="Y18" s="131">
        <f t="shared" si="43"/>
        <v>81</v>
      </c>
      <c r="Z18" s="131">
        <f t="shared" si="43"/>
        <v>157</v>
      </c>
      <c r="AA18" s="37">
        <f t="shared" si="9"/>
        <v>3</v>
      </c>
    </row>
    <row r="19">
      <c r="A19" s="43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11"/>
    </row>
    <row r="20">
      <c r="A20" s="39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11"/>
    </row>
    <row r="21">
      <c r="A21" s="165" t="s">
        <v>13</v>
      </c>
      <c r="B21" s="313">
        <f t="shared" ref="B21:M21" si="44">B18+B14+B9</f>
        <v>423</v>
      </c>
      <c r="C21" s="313">
        <f t="shared" si="44"/>
        <v>41</v>
      </c>
      <c r="D21" s="313">
        <f t="shared" si="44"/>
        <v>274</v>
      </c>
      <c r="E21" s="313">
        <f t="shared" si="44"/>
        <v>738</v>
      </c>
      <c r="F21" s="313">
        <f t="shared" si="44"/>
        <v>435</v>
      </c>
      <c r="G21" s="313">
        <f t="shared" si="44"/>
        <v>19</v>
      </c>
      <c r="H21" s="313">
        <f t="shared" si="44"/>
        <v>222</v>
      </c>
      <c r="I21" s="313">
        <f t="shared" si="44"/>
        <v>676</v>
      </c>
      <c r="J21" s="313">
        <f t="shared" si="44"/>
        <v>327</v>
      </c>
      <c r="K21" s="313">
        <f t="shared" si="44"/>
        <v>9</v>
      </c>
      <c r="L21" s="313">
        <f t="shared" si="44"/>
        <v>369</v>
      </c>
      <c r="M21" s="313">
        <f t="shared" si="44"/>
        <v>705</v>
      </c>
      <c r="N21" s="212"/>
      <c r="O21" s="313">
        <f t="shared" ref="O21:R21" si="45">O18+O14+O9</f>
        <v>1185</v>
      </c>
      <c r="P21" s="313">
        <f t="shared" si="45"/>
        <v>69</v>
      </c>
      <c r="Q21" s="313">
        <f t="shared" si="45"/>
        <v>865</v>
      </c>
      <c r="R21" s="314">
        <f t="shared" si="45"/>
        <v>2119</v>
      </c>
      <c r="U21" s="131">
        <f>U18+U14+U9</f>
        <v>670</v>
      </c>
      <c r="V21" s="131"/>
      <c r="W21" s="131">
        <f t="shared" ref="W21:Z21" si="46">W18+W14+W9</f>
        <v>327</v>
      </c>
      <c r="X21" s="131">
        <f t="shared" si="46"/>
        <v>9</v>
      </c>
      <c r="Y21" s="131">
        <f t="shared" si="46"/>
        <v>366</v>
      </c>
      <c r="Z21" s="131">
        <f t="shared" si="46"/>
        <v>702</v>
      </c>
      <c r="AA21" s="128">
        <f>M21-Z21</f>
        <v>3</v>
      </c>
    </row>
    <row r="22">
      <c r="V22" s="239"/>
      <c r="W22" s="239"/>
      <c r="X22" s="239"/>
      <c r="Y22" s="239"/>
      <c r="Z22" s="239">
        <f>Z21/M21</f>
        <v>0.9957446809</v>
      </c>
    </row>
  </sheetData>
  <mergeCells count="5">
    <mergeCell ref="B2:R2"/>
    <mergeCell ref="B3:E3"/>
    <mergeCell ref="F3:I3"/>
    <mergeCell ref="J3:M3"/>
    <mergeCell ref="O3:R3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196" t="s">
        <v>199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2"/>
    </row>
    <row r="3">
      <c r="B3" s="39"/>
      <c r="C3" s="164" t="s">
        <v>20</v>
      </c>
      <c r="D3" s="30"/>
      <c r="E3" s="30"/>
      <c r="F3" s="164" t="s">
        <v>68</v>
      </c>
      <c r="G3" s="30"/>
      <c r="H3" s="30"/>
      <c r="I3" s="164" t="s">
        <v>153</v>
      </c>
      <c r="J3" s="30"/>
      <c r="K3" s="30"/>
      <c r="L3" s="36"/>
      <c r="M3" s="164" t="s">
        <v>13</v>
      </c>
      <c r="N3" s="30"/>
      <c r="O3" s="42"/>
    </row>
    <row r="4">
      <c r="B4" s="43"/>
      <c r="C4" s="228" t="s">
        <v>24</v>
      </c>
      <c r="D4" s="228" t="s">
        <v>193</v>
      </c>
      <c r="E4" s="228" t="s">
        <v>26</v>
      </c>
      <c r="F4" s="228" t="s">
        <v>24</v>
      </c>
      <c r="G4" s="228" t="s">
        <v>193</v>
      </c>
      <c r="H4" s="228" t="s">
        <v>26</v>
      </c>
      <c r="I4" s="228" t="s">
        <v>24</v>
      </c>
      <c r="J4" s="228" t="s">
        <v>193</v>
      </c>
      <c r="K4" s="228" t="s">
        <v>26</v>
      </c>
      <c r="L4" s="36"/>
      <c r="M4" s="228" t="s">
        <v>24</v>
      </c>
      <c r="N4" s="228" t="s">
        <v>193</v>
      </c>
      <c r="O4" s="328" t="s">
        <v>26</v>
      </c>
    </row>
    <row r="5">
      <c r="B5" s="156" t="s">
        <v>22</v>
      </c>
      <c r="C5" s="99">
        <v>46.0</v>
      </c>
      <c r="D5" s="99">
        <v>225.0</v>
      </c>
      <c r="E5" s="292">
        <f t="shared" ref="E5:E8" si="1">SUM(C5:D5)</f>
        <v>271</v>
      </c>
      <c r="F5" s="99">
        <v>14.0</v>
      </c>
      <c r="G5" s="99">
        <v>142.0</v>
      </c>
      <c r="H5" s="292">
        <f t="shared" ref="H5:H8" si="2">SUM(F5:G5)</f>
        <v>156</v>
      </c>
      <c r="I5" s="99">
        <v>68.0</v>
      </c>
      <c r="J5" s="99">
        <v>313.0</v>
      </c>
      <c r="K5" s="292">
        <f t="shared" ref="K5:K8" si="3">SUM(I5:J5)</f>
        <v>381</v>
      </c>
      <c r="L5" s="36"/>
      <c r="M5" s="99">
        <v>128.0</v>
      </c>
      <c r="N5" s="99">
        <v>680.0</v>
      </c>
      <c r="O5" s="325">
        <f t="shared" ref="O5:O8" si="4">SUM(M5:N5)</f>
        <v>808</v>
      </c>
    </row>
    <row r="6">
      <c r="B6" s="156" t="s">
        <v>36</v>
      </c>
      <c r="C6" s="99">
        <v>30.0</v>
      </c>
      <c r="D6" s="99">
        <v>2.0</v>
      </c>
      <c r="E6" s="292">
        <f t="shared" si="1"/>
        <v>32</v>
      </c>
      <c r="F6" s="99">
        <v>11.0</v>
      </c>
      <c r="G6" s="99" t="s">
        <v>234</v>
      </c>
      <c r="H6" s="292">
        <f t="shared" si="2"/>
        <v>11</v>
      </c>
      <c r="I6" s="99">
        <v>90.0</v>
      </c>
      <c r="J6" s="99">
        <v>45.0</v>
      </c>
      <c r="K6" s="292">
        <f t="shared" si="3"/>
        <v>135</v>
      </c>
      <c r="L6" s="36"/>
      <c r="M6" s="99">
        <v>131.0</v>
      </c>
      <c r="N6" s="99">
        <v>47.0</v>
      </c>
      <c r="O6" s="325">
        <f t="shared" si="4"/>
        <v>178</v>
      </c>
    </row>
    <row r="7">
      <c r="B7" s="156" t="s">
        <v>40</v>
      </c>
      <c r="C7" s="99">
        <v>31.0</v>
      </c>
      <c r="D7" s="99" t="s">
        <v>234</v>
      </c>
      <c r="E7" s="292">
        <f t="shared" si="1"/>
        <v>31</v>
      </c>
      <c r="F7" s="99">
        <v>8.0</v>
      </c>
      <c r="G7" s="99" t="s">
        <v>234</v>
      </c>
      <c r="H7" s="292">
        <f t="shared" si="2"/>
        <v>8</v>
      </c>
      <c r="I7" s="99">
        <v>73.0</v>
      </c>
      <c r="J7" s="99" t="s">
        <v>234</v>
      </c>
      <c r="K7" s="292">
        <f t="shared" si="3"/>
        <v>73</v>
      </c>
      <c r="L7" s="36"/>
      <c r="M7" s="99">
        <v>112.0</v>
      </c>
      <c r="N7" s="99" t="s">
        <v>234</v>
      </c>
      <c r="O7" s="325">
        <f t="shared" si="4"/>
        <v>112</v>
      </c>
    </row>
    <row r="8">
      <c r="B8" s="156" t="s">
        <v>41</v>
      </c>
      <c r="C8" s="99">
        <v>43.0</v>
      </c>
      <c r="D8" s="99">
        <v>2.0</v>
      </c>
      <c r="E8" s="292">
        <f t="shared" si="1"/>
        <v>45</v>
      </c>
      <c r="F8" s="99">
        <v>9.0</v>
      </c>
      <c r="G8" s="99">
        <v>3.0</v>
      </c>
      <c r="H8" s="292">
        <f t="shared" si="2"/>
        <v>12</v>
      </c>
      <c r="I8" s="99">
        <v>101.0</v>
      </c>
      <c r="J8" s="99">
        <v>2.0</v>
      </c>
      <c r="K8" s="292">
        <f t="shared" si="3"/>
        <v>103</v>
      </c>
      <c r="L8" s="36"/>
      <c r="M8" s="99">
        <v>153.0</v>
      </c>
      <c r="N8" s="99">
        <v>7.0</v>
      </c>
      <c r="O8" s="325">
        <f t="shared" si="4"/>
        <v>160</v>
      </c>
    </row>
    <row r="9">
      <c r="B9" s="161" t="s">
        <v>44</v>
      </c>
      <c r="C9" s="306">
        <f>sum(C5:C8)</f>
        <v>150</v>
      </c>
      <c r="D9" s="306">
        <f>SUM(D5:D8)</f>
        <v>229</v>
      </c>
      <c r="E9" s="306">
        <f t="shared" ref="E9:F9" si="5">sum(E5:E8)</f>
        <v>379</v>
      </c>
      <c r="F9" s="306">
        <f t="shared" si="5"/>
        <v>42</v>
      </c>
      <c r="G9" s="306">
        <f>SUM(G5:G8)</f>
        <v>145</v>
      </c>
      <c r="H9" s="306">
        <f t="shared" ref="H9:I9" si="6">sum(H5:H8)</f>
        <v>187</v>
      </c>
      <c r="I9" s="306">
        <f t="shared" si="6"/>
        <v>332</v>
      </c>
      <c r="J9" s="306">
        <f>SUM(J5:J8)</f>
        <v>360</v>
      </c>
      <c r="K9" s="306">
        <f>sum(K5:K8)</f>
        <v>692</v>
      </c>
      <c r="L9" s="36"/>
      <c r="M9" s="306">
        <f>sum(M5:M8)</f>
        <v>524</v>
      </c>
      <c r="N9" s="306">
        <f>SUM(N5:N8)</f>
        <v>734</v>
      </c>
      <c r="O9" s="310">
        <f>sum(O5:O8)</f>
        <v>1258</v>
      </c>
    </row>
    <row r="10">
      <c r="B10" s="156" t="s">
        <v>47</v>
      </c>
      <c r="C10" s="99">
        <v>40.0</v>
      </c>
      <c r="D10" s="99" t="s">
        <v>234</v>
      </c>
      <c r="E10" s="292">
        <f t="shared" ref="E10:E13" si="7">SUM(C10:D10)</f>
        <v>40</v>
      </c>
      <c r="F10" s="99">
        <v>12.0</v>
      </c>
      <c r="G10" s="99">
        <v>1.0</v>
      </c>
      <c r="H10" s="292">
        <f t="shared" ref="H10:H13" si="8">SUM(F10:G10)</f>
        <v>13</v>
      </c>
      <c r="I10" s="99">
        <v>80.0</v>
      </c>
      <c r="J10" s="99" t="s">
        <v>234</v>
      </c>
      <c r="K10" s="292">
        <f t="shared" ref="K10:K13" si="9">SUM(I10:J10)</f>
        <v>80</v>
      </c>
      <c r="L10" s="36"/>
      <c r="M10" s="99">
        <v>132.0</v>
      </c>
      <c r="N10" s="99">
        <v>1.0</v>
      </c>
      <c r="O10" s="325">
        <f t="shared" ref="O10:O13" si="10">SUM(M10:N10)</f>
        <v>133</v>
      </c>
    </row>
    <row r="11">
      <c r="B11" s="156" t="s">
        <v>51</v>
      </c>
      <c r="C11" s="99">
        <v>39.0</v>
      </c>
      <c r="D11" s="99">
        <v>39.0</v>
      </c>
      <c r="E11" s="292">
        <f t="shared" si="7"/>
        <v>78</v>
      </c>
      <c r="F11" s="99">
        <v>9.0</v>
      </c>
      <c r="G11" s="99">
        <v>2.0</v>
      </c>
      <c r="H11" s="292">
        <f t="shared" si="8"/>
        <v>11</v>
      </c>
      <c r="I11" s="99">
        <v>71.0</v>
      </c>
      <c r="J11" s="99">
        <v>127.0</v>
      </c>
      <c r="K11" s="292">
        <f t="shared" si="9"/>
        <v>198</v>
      </c>
      <c r="L11" s="36"/>
      <c r="M11" s="99">
        <v>119.0</v>
      </c>
      <c r="N11" s="99">
        <v>168.0</v>
      </c>
      <c r="O11" s="325">
        <f t="shared" si="10"/>
        <v>287</v>
      </c>
    </row>
    <row r="12">
      <c r="B12" s="156" t="s">
        <v>52</v>
      </c>
      <c r="C12" s="99">
        <v>27.0</v>
      </c>
      <c r="D12" s="99" t="s">
        <v>234</v>
      </c>
      <c r="E12" s="292">
        <f t="shared" si="7"/>
        <v>27</v>
      </c>
      <c r="F12" s="99">
        <v>21.0</v>
      </c>
      <c r="G12" s="99" t="s">
        <v>234</v>
      </c>
      <c r="H12" s="292">
        <f t="shared" si="8"/>
        <v>21</v>
      </c>
      <c r="I12" s="99">
        <v>42.0</v>
      </c>
      <c r="J12" s="99" t="s">
        <v>234</v>
      </c>
      <c r="K12" s="292">
        <f t="shared" si="9"/>
        <v>42</v>
      </c>
      <c r="L12" s="36"/>
      <c r="M12" s="99">
        <v>90.0</v>
      </c>
      <c r="N12" s="99" t="s">
        <v>234</v>
      </c>
      <c r="O12" s="325">
        <f t="shared" si="10"/>
        <v>90</v>
      </c>
    </row>
    <row r="13">
      <c r="B13" s="156" t="s">
        <v>53</v>
      </c>
      <c r="C13" s="99">
        <v>64.0</v>
      </c>
      <c r="D13" s="99" t="s">
        <v>234</v>
      </c>
      <c r="E13" s="292">
        <f t="shared" si="7"/>
        <v>64</v>
      </c>
      <c r="F13" s="99">
        <v>12.0</v>
      </c>
      <c r="G13" s="99" t="s">
        <v>234</v>
      </c>
      <c r="H13" s="292">
        <f t="shared" si="8"/>
        <v>12</v>
      </c>
      <c r="I13" s="99">
        <v>103.0</v>
      </c>
      <c r="J13" s="99" t="s">
        <v>234</v>
      </c>
      <c r="K13" s="292">
        <f t="shared" si="9"/>
        <v>103</v>
      </c>
      <c r="L13" s="36"/>
      <c r="M13" s="99">
        <v>179.0</v>
      </c>
      <c r="N13" s="99" t="s">
        <v>234</v>
      </c>
      <c r="O13" s="325">
        <f t="shared" si="10"/>
        <v>179</v>
      </c>
    </row>
    <row r="14">
      <c r="B14" s="161" t="s">
        <v>54</v>
      </c>
      <c r="C14" s="306">
        <f>sum(C10:C13)</f>
        <v>170</v>
      </c>
      <c r="D14" s="306">
        <f>SUM(D10:D13)</f>
        <v>39</v>
      </c>
      <c r="E14" s="306">
        <f t="shared" ref="E14:F14" si="11">sum(E10:E13)</f>
        <v>209</v>
      </c>
      <c r="F14" s="306">
        <f t="shared" si="11"/>
        <v>54</v>
      </c>
      <c r="G14" s="306">
        <f>SUM(G10:G13)</f>
        <v>3</v>
      </c>
      <c r="H14" s="306">
        <f t="shared" ref="H14:I14" si="12">sum(H10:H13)</f>
        <v>57</v>
      </c>
      <c r="I14" s="306">
        <f t="shared" si="12"/>
        <v>296</v>
      </c>
      <c r="J14" s="306">
        <f>SUM(J10:J13)</f>
        <v>127</v>
      </c>
      <c r="K14" s="306">
        <f>sum(K10:K13)</f>
        <v>423</v>
      </c>
      <c r="L14" s="36"/>
      <c r="M14" s="306">
        <f>sum(M10:M13)</f>
        <v>520</v>
      </c>
      <c r="N14" s="306">
        <f>SUM(N10:N13)</f>
        <v>169</v>
      </c>
      <c r="O14" s="310">
        <f>sum(O10:O13)</f>
        <v>689</v>
      </c>
    </row>
    <row r="15">
      <c r="B15" s="156" t="s">
        <v>55</v>
      </c>
      <c r="C15" s="99">
        <v>23.0</v>
      </c>
      <c r="D15" s="99">
        <v>48.0</v>
      </c>
      <c r="E15" s="292">
        <f t="shared" ref="E15:E17" si="13">SUM(C15:D15)</f>
        <v>71</v>
      </c>
      <c r="F15" s="99">
        <v>14.0</v>
      </c>
      <c r="G15" s="99">
        <v>51.0</v>
      </c>
      <c r="H15" s="292">
        <f t="shared" ref="H15:H17" si="14">SUM(F15:G15)</f>
        <v>65</v>
      </c>
      <c r="I15" s="99">
        <v>80.0</v>
      </c>
      <c r="J15" s="99">
        <v>100.0</v>
      </c>
      <c r="K15" s="292">
        <f t="shared" ref="K15:K17" si="15">SUM(I15:J15)</f>
        <v>180</v>
      </c>
      <c r="L15" s="36"/>
      <c r="M15" s="99">
        <v>117.0</v>
      </c>
      <c r="N15" s="99">
        <v>199.0</v>
      </c>
      <c r="O15" s="325">
        <f t="shared" ref="O15:O17" si="16">SUM(M15:N15)</f>
        <v>316</v>
      </c>
    </row>
    <row r="16">
      <c r="B16" s="156" t="s">
        <v>57</v>
      </c>
      <c r="C16" s="99">
        <v>47.0</v>
      </c>
      <c r="D16" s="99">
        <v>1.0</v>
      </c>
      <c r="E16" s="292">
        <f t="shared" si="13"/>
        <v>48</v>
      </c>
      <c r="F16" s="99">
        <v>9.0</v>
      </c>
      <c r="G16" s="99">
        <v>1.0</v>
      </c>
      <c r="H16" s="292">
        <f t="shared" si="14"/>
        <v>10</v>
      </c>
      <c r="I16" s="99">
        <v>87.0</v>
      </c>
      <c r="J16" s="99">
        <v>2.0</v>
      </c>
      <c r="K16" s="292">
        <f t="shared" si="15"/>
        <v>89</v>
      </c>
      <c r="L16" s="36"/>
      <c r="M16" s="99">
        <v>143.0</v>
      </c>
      <c r="N16" s="99">
        <v>4.0</v>
      </c>
      <c r="O16" s="325">
        <f t="shared" si="16"/>
        <v>147</v>
      </c>
    </row>
    <row r="17">
      <c r="B17" s="156" t="s">
        <v>58</v>
      </c>
      <c r="C17" s="99">
        <v>11.0</v>
      </c>
      <c r="D17" s="99" t="s">
        <v>234</v>
      </c>
      <c r="E17" s="292">
        <f t="shared" si="13"/>
        <v>11</v>
      </c>
      <c r="F17" s="99">
        <v>6.0</v>
      </c>
      <c r="G17" s="99" t="s">
        <v>234</v>
      </c>
      <c r="H17" s="292">
        <f t="shared" si="14"/>
        <v>6</v>
      </c>
      <c r="I17" s="99">
        <v>23.0</v>
      </c>
      <c r="J17" s="99">
        <v>1.0</v>
      </c>
      <c r="K17" s="292">
        <f t="shared" si="15"/>
        <v>24</v>
      </c>
      <c r="L17" s="36"/>
      <c r="M17" s="99">
        <v>40.0</v>
      </c>
      <c r="N17" s="99">
        <v>1.0</v>
      </c>
      <c r="O17" s="325">
        <f t="shared" si="16"/>
        <v>41</v>
      </c>
    </row>
    <row r="18">
      <c r="B18" s="161" t="s">
        <v>59</v>
      </c>
      <c r="C18" s="306">
        <f t="shared" ref="C18:K18" si="17">sum(C15:C17)</f>
        <v>81</v>
      </c>
      <c r="D18" s="306">
        <f t="shared" si="17"/>
        <v>49</v>
      </c>
      <c r="E18" s="306">
        <f t="shared" si="17"/>
        <v>130</v>
      </c>
      <c r="F18" s="306">
        <f t="shared" si="17"/>
        <v>29</v>
      </c>
      <c r="G18" s="306">
        <f t="shared" si="17"/>
        <v>52</v>
      </c>
      <c r="H18" s="306">
        <f t="shared" si="17"/>
        <v>81</v>
      </c>
      <c r="I18" s="306">
        <f t="shared" si="17"/>
        <v>190</v>
      </c>
      <c r="J18" s="306">
        <f t="shared" si="17"/>
        <v>103</v>
      </c>
      <c r="K18" s="306">
        <f t="shared" si="17"/>
        <v>293</v>
      </c>
      <c r="L18" s="36"/>
      <c r="M18" s="306">
        <f t="shared" ref="M18:O18" si="18">sum(M15:M17)</f>
        <v>300</v>
      </c>
      <c r="N18" s="306">
        <f t="shared" si="18"/>
        <v>204</v>
      </c>
      <c r="O18" s="310">
        <f t="shared" si="18"/>
        <v>504</v>
      </c>
    </row>
    <row r="19">
      <c r="B19" s="43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11"/>
    </row>
    <row r="20">
      <c r="B20" s="39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11"/>
    </row>
    <row r="21">
      <c r="B21" s="165" t="s">
        <v>13</v>
      </c>
      <c r="C21" s="313">
        <f t="shared" ref="C21:K21" si="19">C18+C14+C9</f>
        <v>401</v>
      </c>
      <c r="D21" s="313">
        <f t="shared" si="19"/>
        <v>317</v>
      </c>
      <c r="E21" s="313">
        <f t="shared" si="19"/>
        <v>718</v>
      </c>
      <c r="F21" s="313">
        <f t="shared" si="19"/>
        <v>125</v>
      </c>
      <c r="G21" s="313">
        <f t="shared" si="19"/>
        <v>200</v>
      </c>
      <c r="H21" s="313">
        <f t="shared" si="19"/>
        <v>325</v>
      </c>
      <c r="I21" s="313">
        <f t="shared" si="19"/>
        <v>818</v>
      </c>
      <c r="J21" s="313">
        <f t="shared" si="19"/>
        <v>590</v>
      </c>
      <c r="K21" s="313">
        <f t="shared" si="19"/>
        <v>1408</v>
      </c>
      <c r="L21" s="212"/>
      <c r="M21" s="313">
        <f t="shared" ref="M21:O21" si="20">M18+M14+M9</f>
        <v>1344</v>
      </c>
      <c r="N21" s="313">
        <f t="shared" si="20"/>
        <v>1107</v>
      </c>
      <c r="O21" s="314">
        <f t="shared" si="20"/>
        <v>2451</v>
      </c>
    </row>
  </sheetData>
  <mergeCells count="5">
    <mergeCell ref="B2:O2"/>
    <mergeCell ref="C3:E3"/>
    <mergeCell ref="F3:H3"/>
    <mergeCell ref="I3:K3"/>
    <mergeCell ref="M3:O3"/>
  </mergeCells>
  <drawing r:id="rId1"/>
</worksheet>
</file>