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ecast Q3" sheetId="1" r:id="rId5"/>
    <sheet state="visible" name="2026 - Q3" sheetId="2" r:id="rId6"/>
    <sheet state="visible" name="2026 - Q2" sheetId="3" r:id="rId7"/>
    <sheet state="visible" name="2026 - Q1" sheetId="4" r:id="rId8"/>
    <sheet state="visible" name="2025 - Q4" sheetId="5" r:id="rId9"/>
    <sheet state="visible" name="Copy of 2025 - Q4" sheetId="6" r:id="rId10"/>
    <sheet state="visible" name="2025 - Q3" sheetId="7" r:id="rId11"/>
    <sheet state="visible" name="2025 - Q2" sheetId="8" r:id="rId12"/>
    <sheet state="visible" name="Fleet Volumes - Plan" sheetId="9" r:id="rId13"/>
    <sheet state="visible" name="2025 - Q1" sheetId="10" r:id="rId14"/>
    <sheet state="visible" name="Sheet17" sheetId="11" r:id="rId15"/>
    <sheet state="visible" name="2024 - Q4" sheetId="12" r:id="rId16"/>
    <sheet state="visible" name="Sheet11" sheetId="13" r:id="rId17"/>
    <sheet state="visible" name="Regs Q1-Q4" sheetId="14" r:id="rId18"/>
    <sheet state="visible" name="2024 - Q3" sheetId="15" r:id="rId19"/>
    <sheet state="visible" name="2024 - Q2" sheetId="16" r:id="rId20"/>
    <sheet state="visible" name="Regs Q2" sheetId="17" r:id="rId21"/>
    <sheet state="visible" name="Targets" sheetId="18" r:id="rId22"/>
    <sheet state="visible" name="2024 - Q1" sheetId="19" r:id="rId23"/>
    <sheet state="visible" name="2023 - Q4" sheetId="20" r:id="rId24"/>
    <sheet state="visible" name="2023 - Q3" sheetId="21" r:id="rId2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tc={03d5c1bb-1dcd-4289-bf29-f718be6d0c7d}</author>
    <author>tc={256203f5-5d24-4c5e-87e2-b1afa309b00d}</author>
    <author>tc={5b605921-1b17-4748-9328-62823bc9548a}</author>
    <author>tc={60c0c6ea-9c3c-4352-989c-ff32ef6fa38a}</author>
    <author>tc={62b6d5ed-1a7b-4925-875f-3a97733debfa}</author>
    <author>tc={6b4eea9f-9e43-467c-b788-fdde8cfd0c45}</author>
    <author>tc={7740088b-329a-40d5-a922-eca29e9ae8ed}</author>
    <author>tc={bbb268d6-caed-4f5b-88f1-13fe9dc9a650}</author>
    <author>tc={d28fda5f-0945-45de-9630-c6a83bf85290}</author>
    <author>tc={e483fce6-b05a-4de0-b0ab-3d783af2adc2}</author>
  </authors>
  <commentList>
    <comment authorId="0" xr:uid="{03d5c1bb-1dcd-4289-bf29-f718be6d0c7d}" ref="A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taxed
</t>
      </text>
    </comment>
    <comment authorId="1" xr:uid="{256203f5-5d24-4c5e-87e2-b1afa309b00d}" ref="A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taxed
</t>
      </text>
    </comment>
    <comment authorId="2" xr:uid="{5b605921-1b17-4748-9328-62823bc9548a}" ref="AL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taxed
</t>
      </text>
    </comment>
    <comment authorId="3" xr:uid="{60c0c6ea-9c3c-4352-989c-ff32ef6fa38a}" ref="AJ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taxed - double count
</t>
      </text>
    </comment>
    <comment authorId="4" xr:uid="{62b6d5ed-1a7b-4925-875f-3a97733debfa}" ref="A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taxed
</t>
      </text>
    </comment>
    <comment authorId="5" xr:uid="{6b4eea9f-9e43-467c-b788-fdde8cfd0c45}" ref="AK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taxed
</t>
      </text>
    </comment>
    <comment authorId="6" xr:uid="{7740088b-329a-40d5-a922-eca29e9ae8ed}" ref="AL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taxed
</t>
      </text>
    </comment>
    <comment authorId="7" xr:uid="{bbb268d6-caed-4f5b-88f1-13fe9dc9a650}" ref="AL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taxed
</t>
      </text>
    </comment>
    <comment authorId="8" xr:uid="{d28fda5f-0945-45de-9630-c6a83bf85290}" ref="A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taxed
</t>
      </text>
    </comment>
    <comment authorId="9" xr:uid="{e483fce6-b05a-4de0-b0ab-3d783af2adc2}" ref="A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taxed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tc={0ea7ae62-af30-4428-8d88-f70789f93327}</author>
  </authors>
  <commentList>
    <comment authorId="0" xr:uid="{0ea7ae62-af30-4428-8d88-f70789f93327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Could be 20 more, awaiting clearance.
</t>
      </text>
    </comment>
  </commentList>
</comments>
</file>

<file path=xl/sharedStrings.xml><?xml version="1.0" encoding="utf-8"?>
<sst xmlns="http://schemas.openxmlformats.org/spreadsheetml/2006/main" count="2642" uniqueCount="254">
  <si>
    <t>Weekly Orders</t>
  </si>
  <si>
    <t>QUARTER ORDERS</t>
  </si>
  <si>
    <t>CANCELLATIONS</t>
  </si>
  <si>
    <t>ORDERS PER DAY</t>
  </si>
  <si>
    <t>FORECAST ORDERS</t>
  </si>
  <si>
    <t>CURRENT TOTAL</t>
  </si>
  <si>
    <t>FORECAST TOTAL</t>
  </si>
  <si>
    <t>B/FWD</t>
  </si>
  <si>
    <t>TOTAL</t>
  </si>
  <si>
    <t>TARGET</t>
  </si>
  <si>
    <t>C/FWD</t>
  </si>
  <si>
    <t>FORECAST 9/9/24</t>
  </si>
  <si>
    <t>FORECAST 15/9/24</t>
  </si>
  <si>
    <t>Salford</t>
  </si>
  <si>
    <t>Bolton</t>
  </si>
  <si>
    <t>Bury</t>
  </si>
  <si>
    <t>Rochdale</t>
  </si>
  <si>
    <t>NORTH CDA</t>
  </si>
  <si>
    <t>Macclesfield</t>
  </si>
  <si>
    <t>Denton</t>
  </si>
  <si>
    <t>Altrincham</t>
  </si>
  <si>
    <t>Stockport</t>
  </si>
  <si>
    <t>SOUTH CDA</t>
  </si>
  <si>
    <t>Bradford</t>
  </si>
  <si>
    <t>Huddersfield</t>
  </si>
  <si>
    <t>Silsden</t>
  </si>
  <si>
    <t>WY CDA</t>
  </si>
  <si>
    <t>Orders Per Week</t>
  </si>
  <si>
    <t>REGISTRATIONS (COUNTING)</t>
  </si>
  <si>
    <t>Updated</t>
  </si>
  <si>
    <t>By</t>
  </si>
  <si>
    <t>JULY</t>
  </si>
  <si>
    <t>AUG</t>
  </si>
  <si>
    <t>SEPT</t>
  </si>
  <si>
    <t>Counting</t>
  </si>
  <si>
    <t>CLCP Regs</t>
  </si>
  <si>
    <t>Counting Fleet</t>
  </si>
  <si>
    <t>Total</t>
  </si>
  <si>
    <t>Target</t>
  </si>
  <si>
    <t>TO GO</t>
  </si>
  <si>
    <t>PER WEEK</t>
  </si>
  <si>
    <t>QTR REGS</t>
  </si>
  <si>
    <t>REGS v TGT</t>
  </si>
  <si>
    <t>DH</t>
  </si>
  <si>
    <t>TP</t>
  </si>
  <si>
    <t>PF</t>
  </si>
  <si>
    <t>SQ</t>
  </si>
  <si>
    <t>WB</t>
  </si>
  <si>
    <t>NF</t>
  </si>
  <si>
    <t>SA</t>
  </si>
  <si>
    <t>CM</t>
  </si>
  <si>
    <t>RM</t>
  </si>
  <si>
    <t>REGISTRATIONS (NON-COUNTING)</t>
  </si>
  <si>
    <t>AUGUST</t>
  </si>
  <si>
    <t>Non-Counting Fleet (Reg)</t>
  </si>
  <si>
    <t>Non-Counting Fleet (Unreg)</t>
  </si>
  <si>
    <t>Budget</t>
  </si>
  <si>
    <t>GB</t>
  </si>
  <si>
    <t>USED COUNTING VOLUME</t>
  </si>
  <si>
    <t xml:space="preserve">CENTRE FLEET (BCH ) </t>
  </si>
  <si>
    <t>Q3</t>
  </si>
  <si>
    <t>Active Orders</t>
  </si>
  <si>
    <t>Regs</t>
  </si>
  <si>
    <t xml:space="preserve"> </t>
  </si>
  <si>
    <t>APR</t>
  </si>
  <si>
    <t>MAY</t>
  </si>
  <si>
    <t>JUNE</t>
  </si>
  <si>
    <t>APRIL</t>
  </si>
  <si>
    <t>`</t>
  </si>
  <si>
    <t>JAN</t>
  </si>
  <si>
    <t>FEB</t>
  </si>
  <si>
    <t>MAR</t>
  </si>
  <si>
    <t>BOOST VOUCHERS ALLOCATED</t>
  </si>
  <si>
    <t>BOOST VOUCHERS USED</t>
  </si>
  <si>
    <t>LEFT</t>
  </si>
  <si>
    <t>gb</t>
  </si>
  <si>
    <t>ALL TAXED</t>
  </si>
  <si>
    <t>PS</t>
  </si>
  <si>
    <t>31/032</t>
  </si>
  <si>
    <t>OCT</t>
  </si>
  <si>
    <t>NOV</t>
  </si>
  <si>
    <t>DEC</t>
  </si>
  <si>
    <t>Double Counters</t>
  </si>
  <si>
    <t>SEPT-DEC - FLEET TARGETS</t>
  </si>
  <si>
    <t>INPUT HERE</t>
  </si>
  <si>
    <t>TO GO (100%)</t>
  </si>
  <si>
    <t>UNREG ORDERS</t>
  </si>
  <si>
    <t>Sept</t>
  </si>
  <si>
    <t>Oct</t>
  </si>
  <si>
    <t>Nov</t>
  </si>
  <si>
    <t>Dec</t>
  </si>
  <si>
    <t>Kinto One</t>
  </si>
  <si>
    <t>Kinto Fleet Partnership</t>
  </si>
  <si>
    <t>Kinto PCH</t>
  </si>
  <si>
    <t>Centre Fleet</t>
  </si>
  <si>
    <t>SEP</t>
  </si>
  <si>
    <t>CLCP</t>
  </si>
  <si>
    <t>TARGET TO 1,200</t>
  </si>
  <si>
    <t>FINAL PROJECTED</t>
  </si>
  <si>
    <t>Current GAP</t>
  </si>
  <si>
    <t>July</t>
  </si>
  <si>
    <t>August</t>
  </si>
  <si>
    <t>AJB</t>
  </si>
  <si>
    <t>Q2 - BZ TARGETS</t>
  </si>
  <si>
    <t>Q1</t>
  </si>
  <si>
    <t>Catch-back</t>
  </si>
  <si>
    <t>FY TARGET</t>
  </si>
  <si>
    <t>MONTHLY</t>
  </si>
  <si>
    <t>Fleet Units</t>
  </si>
  <si>
    <t>JANUARY</t>
  </si>
  <si>
    <t>FEBRUARY</t>
  </si>
  <si>
    <t>MARCH</t>
  </si>
  <si>
    <t>Q1 INCENTIVE</t>
  </si>
  <si>
    <t>TARGET (105%)</t>
  </si>
  <si>
    <t>TARGET (110%)</t>
  </si>
  <si>
    <t>TO GO (105%)</t>
  </si>
  <si>
    <t>TO GO (110%)</t>
  </si>
  <si>
    <t>CURRENT EARNINGS</t>
  </si>
  <si>
    <t>POTENTIAL (£)</t>
  </si>
  <si>
    <t>Q1 - BZ TARGETS</t>
  </si>
  <si>
    <t>31/033</t>
  </si>
  <si>
    <t>REGISTRATIONS (BZ4X)</t>
  </si>
  <si>
    <t>OCTOBER</t>
  </si>
  <si>
    <t>NOVEMBER</t>
  </si>
  <si>
    <t>DECEMBER</t>
  </si>
  <si>
    <t>Q2 (PBI)</t>
  </si>
  <si>
    <t>Q4</t>
  </si>
  <si>
    <t>BZ Counting (ex-Motab)</t>
  </si>
  <si>
    <t>Other EVs (Double Count) Pre-Q4</t>
  </si>
  <si>
    <t>Other EVs (Double Count)</t>
  </si>
  <si>
    <t>Uber</t>
  </si>
  <si>
    <t>Counting (ex-Motab)</t>
  </si>
  <si>
    <t>GB Final</t>
  </si>
  <si>
    <t>North</t>
  </si>
  <si>
    <t>South</t>
  </si>
  <si>
    <t>Not taxed</t>
  </si>
  <si>
    <t>WY</t>
  </si>
  <si>
    <t>Power BI (26.11)</t>
  </si>
  <si>
    <t xml:space="preserve">                                                                                             </t>
  </si>
  <si>
    <t>CHECK</t>
  </si>
  <si>
    <t>COUNTING REGS - Q1</t>
  </si>
  <si>
    <t>PRI</t>
  </si>
  <si>
    <t>OR</t>
  </si>
  <si>
    <t>MOT</t>
  </si>
  <si>
    <t>CSS (CBS)</t>
  </si>
  <si>
    <t>DEM</t>
  </si>
  <si>
    <t>KIN</t>
  </si>
  <si>
    <t>CF</t>
  </si>
  <si>
    <t>BUS</t>
  </si>
  <si>
    <t>NON-COUNTING</t>
  </si>
  <si>
    <t>TOTAL REGS</t>
  </si>
  <si>
    <t>COUNTING REGS - Q2</t>
  </si>
  <si>
    <t>COUNTING REGS - Q3</t>
  </si>
  <si>
    <t>(Counting 145 Rochdale)</t>
  </si>
  <si>
    <t>COUNTING REGS - Q4</t>
  </si>
  <si>
    <t>LB (CLCP)</t>
  </si>
  <si>
    <t>LB (BZ4X)</t>
  </si>
  <si>
    <t>LB (COROLLA)</t>
  </si>
  <si>
    <t>TOTAL - FULL YEAR</t>
  </si>
  <si>
    <t>LB</t>
  </si>
  <si>
    <t>JULY (PBI)</t>
  </si>
  <si>
    <t>AUGUST (PBI)</t>
  </si>
  <si>
    <t>SEPTEMBER</t>
  </si>
  <si>
    <t>REGS TO DATE</t>
  </si>
  <si>
    <t>COUNT</t>
  </si>
  <si>
    <t>Aug</t>
  </si>
  <si>
    <t>TO REG</t>
  </si>
  <si>
    <t>TOTAL BZ</t>
  </si>
  <si>
    <t>REGS TO DATE (YEAR)</t>
  </si>
  <si>
    <t>REGS TO DATE (QUARTER)</t>
  </si>
  <si>
    <t>RETAIL + FLEET</t>
  </si>
  <si>
    <t>Centre Network Health Check - Centre Detail</t>
  </si>
  <si>
    <t>Q2</t>
  </si>
  <si>
    <t>CONTROL</t>
  </si>
  <si>
    <t>APRIL (PBI)</t>
  </si>
  <si>
    <t>MAY (PBI)</t>
  </si>
  <si>
    <t>JUNE (PBI)</t>
  </si>
  <si>
    <t>ab</t>
  </si>
  <si>
    <t>Non-Counting Fleet (Not on PBI)</t>
  </si>
  <si>
    <t>JUNE (COUNTING)</t>
  </si>
  <si>
    <t>REGS (PBI)</t>
  </si>
  <si>
    <t>TAXED QTR</t>
  </si>
  <si>
    <t>TO TAX</t>
  </si>
  <si>
    <t>CBS</t>
  </si>
  <si>
    <t>CENTRE NETWORK HEALTH CHECK - CENTRE DETAIL</t>
  </si>
  <si>
    <t>MAY (COUNTING)</t>
  </si>
  <si>
    <t>April</t>
  </si>
  <si>
    <t>May</t>
  </si>
  <si>
    <t>June</t>
  </si>
  <si>
    <t>JUNE (NON-COUNTING)</t>
  </si>
  <si>
    <t>B/fwd</t>
  </si>
  <si>
    <t>Other</t>
  </si>
  <si>
    <t>Motab</t>
  </si>
  <si>
    <t>Non-Counting</t>
  </si>
  <si>
    <t>TOTAL REGS (BZ4X)</t>
  </si>
  <si>
    <t>30/6/24</t>
  </si>
  <si>
    <t>APRIL (COUNTING)</t>
  </si>
  <si>
    <t>MAY (NON-COUNTING)</t>
  </si>
  <si>
    <t>APRIL (NON-COUNTING)</t>
  </si>
  <si>
    <t>REGISTRATIONS</t>
  </si>
  <si>
    <t>BZ4X REGISTRATIONS</t>
  </si>
  <si>
    <t>BZ4X REGISTRATION - TARGET</t>
  </si>
  <si>
    <t>BZ4X REGISTRATION - REGISTRATIONS</t>
  </si>
  <si>
    <t>BZ4X REGISTRATION - REGISTRATIONS (Ex-Motab)</t>
  </si>
  <si>
    <t>Apr</t>
  </si>
  <si>
    <t>Jan</t>
  </si>
  <si>
    <t>Feb</t>
  </si>
  <si>
    <t>Mar</t>
  </si>
  <si>
    <t>JANUARY (POWER BI)</t>
  </si>
  <si>
    <t>FEBRUARY (POWER BI)</t>
  </si>
  <si>
    <t>MARCH (POWER BI)</t>
  </si>
  <si>
    <t>RR (Mar)</t>
  </si>
  <si>
    <t>Last update</t>
  </si>
  <si>
    <t>Taxed (Power BI)</t>
  </si>
  <si>
    <t>Variance</t>
  </si>
  <si>
    <t>Taxed Counting (Power BI)</t>
  </si>
  <si>
    <t>Counting Target</t>
  </si>
  <si>
    <t>Carry Over</t>
  </si>
  <si>
    <t>FORECAST</t>
  </si>
  <si>
    <t>OVER</t>
  </si>
  <si>
    <t>Sales Channel</t>
  </si>
  <si>
    <t>Order Type</t>
  </si>
  <si>
    <t>Counting/Non-Counting</t>
  </si>
  <si>
    <t>28/03</t>
  </si>
  <si>
    <t>Business</t>
  </si>
  <si>
    <t>CHL</t>
  </si>
  <si>
    <t>Contract Hire &amp; Leasing/Broker Programme</t>
  </si>
  <si>
    <t>CSS</t>
  </si>
  <si>
    <t>Car Benefit Solutions</t>
  </si>
  <si>
    <t>Demonstrator</t>
  </si>
  <si>
    <t>25/03</t>
  </si>
  <si>
    <t>FP</t>
  </si>
  <si>
    <t>Fleet Partnership/Consortiums/Public Sector</t>
  </si>
  <si>
    <t>Kinto Fleet Partnership/Kinto One BCH</t>
  </si>
  <si>
    <t>Customer Loan Car Programme</t>
  </si>
  <si>
    <t>Limited Badge</t>
  </si>
  <si>
    <t>Motability</t>
  </si>
  <si>
    <t>Online Retail</t>
  </si>
  <si>
    <t>Private/Retail/Gazoo Racing</t>
  </si>
  <si>
    <t>/</t>
  </si>
  <si>
    <t>Reduced on 25.3</t>
  </si>
  <si>
    <t>REGISTRATIONS (C-HR HYBRID ONLY)</t>
  </si>
  <si>
    <t>Target (Power BI)</t>
  </si>
  <si>
    <t>OCTOBER (PBI)</t>
  </si>
  <si>
    <t>NOVEMBER (PBI)</t>
  </si>
  <si>
    <t>DEC RR</t>
  </si>
  <si>
    <t>29/12/23</t>
  </si>
  <si>
    <t>LB FINAL</t>
  </si>
  <si>
    <t>21/12/23</t>
  </si>
  <si>
    <t>27/12/23</t>
  </si>
  <si>
    <t>PS FINAL</t>
  </si>
  <si>
    <t>28/12/23</t>
  </si>
  <si>
    <t>CH FINAL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</si>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</sst>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/m/yy"/>
    <numFmt numFmtId="165" formatCode="0.0"/>
    <numFmt numFmtId="166" formatCode="#,##0;(#,##0)"/>
    <numFmt numFmtId="167" formatCode="#,##0.0"/>
    <numFmt numFmtId="168" formatCode="m/d/yy"/>
    <numFmt numFmtId="169" formatCode="dd/mm"/>
    <numFmt numFmtId="170" formatCode="d/m"/>
    <numFmt numFmtId="171" formatCode="0.0%"/>
    <numFmt numFmtId="172" formatCode="dd/mm/yyyy"/>
    <numFmt numFmtId="173" formatCode="[$£-809]#,##0"/>
    <numFmt numFmtId="174" formatCode="dd/MM/yyyy"/>
    <numFmt numFmtId="175" formatCode="d/m/yyyy"/>
    <numFmt numFmtId="176" formatCode="mm/dd"/>
  </numFmts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0.0"/>
      <color rgb="FF000000"/>
      <name val="Arial"/>
    </font>
    <font>
      <b/>
      <sz val="10.0"/>
      <color rgb="FF000000"/>
      <name val="Arial"/>
    </font>
    <font>
      <b/>
      <sz val="11.0"/>
      <color theme="1"/>
      <name val="Calibri"/>
    </font>
    <font/>
    <font>
      <color theme="1"/>
      <name val="Arial"/>
    </font>
    <font>
      <b/>
      <color theme="1"/>
      <name val="Arial"/>
    </font>
    <font>
      <sz val="11.0"/>
      <color theme="1"/>
      <name val="Calibri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8.0"/>
      <color theme="1"/>
      <name val="Arial"/>
      <scheme val="minor"/>
    </font>
    <font>
      <sz val="12.0"/>
      <color theme="1"/>
      <name val="&quot;Aptos&quot;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48">
    <border/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434343"/>
      </left>
      <top style="thick">
        <color rgb="FF434343"/>
      </top>
      <bottom style="thin">
        <color rgb="FF000000"/>
      </bottom>
    </border>
    <border>
      <top style="thick">
        <color rgb="FF434343"/>
      </top>
      <bottom style="thin">
        <color rgb="FF000000"/>
      </bottom>
    </border>
    <border>
      <right style="thick">
        <color rgb="FF000000"/>
      </right>
      <top style="thick">
        <color rgb="FF434343"/>
      </top>
      <bottom style="thin">
        <color rgb="FF000000"/>
      </bottom>
    </border>
    <border>
      <left style="thick">
        <color rgb="FF000000"/>
      </left>
      <top style="thick">
        <color rgb="FF434343"/>
      </top>
    </border>
    <border>
      <top style="thick">
        <color rgb="FF434343"/>
      </top>
    </border>
    <border>
      <left style="thick">
        <color rgb="FF434343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434343"/>
      </left>
      <bottom style="thick">
        <color rgb="FF434343"/>
      </bottom>
    </border>
    <border>
      <top style="thin">
        <color rgb="FF000000"/>
      </top>
      <bottom style="thick">
        <color rgb="FF434343"/>
      </bottom>
    </border>
    <border>
      <bottom style="thick">
        <color rgb="FF434343"/>
      </bottom>
    </border>
    <border>
      <right style="thick">
        <color rgb="FF000000"/>
      </right>
      <top style="thin">
        <color rgb="FF000000"/>
      </top>
      <bottom style="thick">
        <color rgb="FF434343"/>
      </bottom>
    </border>
    <border>
      <left style="thick">
        <color rgb="FF000000"/>
      </left>
      <top style="thin">
        <color rgb="FF000000"/>
      </top>
      <bottom style="thick">
        <color rgb="FF434343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434343"/>
      </left>
      <top style="thick">
        <color rgb="FF000000"/>
      </top>
      <bottom style="thin">
        <color rgb="FF000000"/>
      </bottom>
    </border>
    <border>
      <right style="thick">
        <color rgb="FF434343"/>
      </right>
      <top style="thick">
        <color rgb="FF434343"/>
      </top>
    </border>
    <border>
      <right style="thick">
        <color rgb="FF434343"/>
      </right>
    </border>
    <border>
      <right style="thick">
        <color rgb="FF434343"/>
      </right>
      <bottom style="thick">
        <color rgb="FF434343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1" fillId="0" fontId="2" numFmtId="0" xfId="0" applyBorder="1" applyFont="1"/>
    <xf borderId="2" fillId="2" fontId="1" numFmtId="164" xfId="0" applyAlignment="1" applyBorder="1" applyFill="1" applyFont="1" applyNumberFormat="1">
      <alignment readingOrder="0"/>
    </xf>
    <xf borderId="3" fillId="0" fontId="2" numFmtId="0" xfId="0" applyBorder="1" applyFont="1"/>
    <xf borderId="3" fillId="0" fontId="1" numFmtId="0" xfId="0" applyBorder="1" applyFont="1"/>
    <xf borderId="3" fillId="0" fontId="2" numFmtId="9" xfId="0" applyAlignment="1" applyBorder="1" applyFont="1" applyNumberFormat="1">
      <alignment readingOrder="0"/>
    </xf>
    <xf borderId="4" fillId="0" fontId="2" numFmtId="0" xfId="0" applyBorder="1" applyFont="1"/>
    <xf borderId="0" fillId="0" fontId="1" numFmtId="0" xfId="0" applyAlignment="1" applyFont="1">
      <alignment readingOrder="0"/>
    </xf>
    <xf borderId="5" fillId="0" fontId="2" numFmtId="0" xfId="0" applyBorder="1" applyFont="1"/>
    <xf borderId="0" fillId="0" fontId="1" numFmtId="0" xfId="0" applyAlignment="1" applyFont="1">
      <alignment readingOrder="0" shrinkToFit="0" wrapText="1"/>
    </xf>
    <xf borderId="6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3" numFmtId="0" xfId="0" applyAlignment="1" applyBorder="1" applyFont="1">
      <alignment shrinkToFit="0" vertical="bottom" wrapText="0"/>
    </xf>
    <xf borderId="6" fillId="0" fontId="2" numFmtId="0" xfId="0" applyBorder="1" applyFont="1"/>
    <xf borderId="5" fillId="0" fontId="4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3" fontId="1" numFmtId="165" xfId="0" applyFill="1" applyFont="1" applyNumberFormat="1"/>
    <xf borderId="0" fillId="3" fontId="2" numFmtId="0" xfId="0" applyFont="1"/>
    <xf borderId="0" fillId="0" fontId="2" numFmtId="0" xfId="0" applyFont="1"/>
    <xf borderId="0" fillId="0" fontId="2" numFmtId="3" xfId="0" applyFont="1" applyNumberFormat="1"/>
    <xf borderId="6" fillId="0" fontId="2" numFmtId="3" xfId="0" applyBorder="1" applyFont="1" applyNumberFormat="1"/>
    <xf borderId="0" fillId="0" fontId="2" numFmtId="166" xfId="0" applyAlignment="1" applyFont="1" applyNumberFormat="1">
      <alignment readingOrder="0"/>
    </xf>
    <xf borderId="0" fillId="0" fontId="2" numFmtId="166" xfId="0" applyFont="1" applyNumberFormat="1"/>
    <xf borderId="7" fillId="0" fontId="5" numFmtId="0" xfId="0" applyAlignment="1" applyBorder="1" applyFont="1">
      <alignment horizontal="right" readingOrder="0" vertical="bottom"/>
    </xf>
    <xf borderId="5" fillId="0" fontId="6" numFmtId="0" xfId="0" applyAlignment="1" applyBorder="1" applyFont="1">
      <alignment readingOrder="0" shrinkToFit="0" vertical="bottom" wrapText="0"/>
    </xf>
    <xf borderId="8" fillId="2" fontId="6" numFmtId="0" xfId="0" applyAlignment="1" applyBorder="1" applyFont="1">
      <alignment readingOrder="0" shrinkToFit="0" vertical="bottom" wrapText="0"/>
    </xf>
    <xf borderId="8" fillId="2" fontId="6" numFmtId="165" xfId="0" applyAlignment="1" applyBorder="1" applyFont="1" applyNumberFormat="1">
      <alignment readingOrder="0" shrinkToFit="0" vertical="bottom" wrapText="0"/>
    </xf>
    <xf borderId="8" fillId="2" fontId="6" numFmtId="3" xfId="0" applyAlignment="1" applyBorder="1" applyFont="1" applyNumberFormat="1">
      <alignment readingOrder="0" shrinkToFit="0" vertical="bottom" wrapText="0"/>
    </xf>
    <xf borderId="9" fillId="2" fontId="6" numFmtId="3" xfId="0" applyAlignment="1" applyBorder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10" fillId="0" fontId="6" numFmtId="0" xfId="0" applyAlignment="1" applyBorder="1" applyFont="1">
      <alignment readingOrder="0" shrinkToFit="0" vertical="bottom" wrapText="0"/>
    </xf>
    <xf borderId="11" fillId="2" fontId="6" numFmtId="3" xfId="0" applyAlignment="1" applyBorder="1" applyFont="1" applyNumberFormat="1">
      <alignment readingOrder="0" shrinkToFit="0" vertical="bottom" wrapText="0"/>
    </xf>
    <xf borderId="11" fillId="2" fontId="6" numFmtId="167" xfId="0" applyAlignment="1" applyBorder="1" applyFont="1" applyNumberFormat="1">
      <alignment readingOrder="0" shrinkToFit="0" vertical="bottom" wrapText="0"/>
    </xf>
    <xf borderId="12" fillId="2" fontId="6" numFmtId="3" xfId="0" applyAlignment="1" applyBorder="1" applyFont="1" applyNumberFormat="1">
      <alignment readingOrder="0" shrinkToFit="0" vertical="bottom" wrapText="0"/>
    </xf>
    <xf borderId="8" fillId="0" fontId="1" numFmtId="166" xfId="0" applyBorder="1" applyFont="1" applyNumberFormat="1"/>
    <xf borderId="0" fillId="0" fontId="1" numFmtId="166" xfId="0" applyFont="1" applyNumberFormat="1"/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7" fillId="0" fontId="1" numFmtId="166" xfId="0" applyBorder="1" applyFont="1" applyNumberFormat="1"/>
    <xf borderId="0" fillId="0" fontId="2" numFmtId="168" xfId="0" applyAlignment="1" applyFont="1" applyNumberFormat="1">
      <alignment readingOrder="0"/>
    </xf>
    <xf borderId="0" fillId="0" fontId="1" numFmtId="0" xfId="0" applyFont="1"/>
    <xf borderId="1" fillId="0" fontId="7" numFmtId="0" xfId="0" applyAlignment="1" applyBorder="1" applyFont="1">
      <alignment horizontal="center" vertical="bottom"/>
    </xf>
    <xf borderId="3" fillId="0" fontId="8" numFmtId="0" xfId="0" applyBorder="1" applyFont="1"/>
    <xf borderId="4" fillId="0" fontId="8" numFmtId="0" xfId="0" applyBorder="1" applyFont="1"/>
    <xf borderId="1" fillId="0" fontId="9" numFmtId="0" xfId="0" applyAlignment="1" applyBorder="1" applyFont="1">
      <alignment vertical="bottom"/>
    </xf>
    <xf borderId="13" fillId="0" fontId="9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9" numFmtId="0" xfId="0" applyAlignment="1" applyFont="1">
      <alignment vertical="bottom"/>
    </xf>
    <xf borderId="3" fillId="0" fontId="7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vertical="bottom"/>
    </xf>
    <xf borderId="4" fillId="0" fontId="9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9" numFmtId="0" xfId="0" applyAlignment="1" applyFont="1">
      <alignment horizontal="center" vertical="bottom"/>
    </xf>
    <xf borderId="6" fillId="0" fontId="10" numFmtId="0" xfId="0" applyAlignment="1" applyBorder="1" applyFont="1">
      <alignment vertical="bottom"/>
    </xf>
    <xf borderId="0" fillId="0" fontId="9" numFmtId="0" xfId="0" applyAlignment="1" applyFont="1">
      <alignment horizontal="right" vertical="bottom"/>
    </xf>
    <xf borderId="0" fillId="2" fontId="9" numFmtId="0" xfId="0" applyAlignment="1" applyFont="1">
      <alignment horizontal="right" vertical="bottom"/>
    </xf>
    <xf borderId="0" fillId="4" fontId="9" numFmtId="0" xfId="0" applyAlignment="1" applyFill="1" applyFont="1">
      <alignment horizontal="right" vertical="bottom"/>
    </xf>
    <xf borderId="0" fillId="0" fontId="9" numFmtId="9" xfId="0" applyAlignment="1" applyFont="1" applyNumberFormat="1">
      <alignment horizontal="right" vertical="bottom"/>
    </xf>
    <xf borderId="0" fillId="5" fontId="9" numFmtId="0" xfId="0" applyAlignment="1" applyFill="1" applyFont="1">
      <alignment horizontal="right" vertical="bottom"/>
    </xf>
    <xf borderId="6" fillId="0" fontId="9" numFmtId="9" xfId="0" applyAlignment="1" applyBorder="1" applyFont="1" applyNumberFormat="1">
      <alignment horizontal="right" vertical="bottom"/>
    </xf>
    <xf borderId="0" fillId="6" fontId="9" numFmtId="169" xfId="0" applyAlignment="1" applyFill="1" applyFont="1" applyNumberFormat="1">
      <alignment horizontal="right" vertical="bottom"/>
    </xf>
    <xf borderId="0" fillId="0" fontId="11" numFmtId="0" xfId="0" applyAlignment="1" applyFont="1">
      <alignment vertical="bottom"/>
    </xf>
    <xf borderId="7" fillId="0" fontId="9" numFmtId="0" xfId="0" applyAlignment="1" applyBorder="1" applyFont="1">
      <alignment horizontal="right" vertical="bottom"/>
    </xf>
    <xf borderId="5" fillId="0" fontId="10" numFmtId="0" xfId="0" applyAlignment="1" applyBorder="1" applyFont="1">
      <alignment vertical="bottom"/>
    </xf>
    <xf borderId="0" fillId="2" fontId="10" numFmtId="0" xfId="0" applyAlignment="1" applyFont="1">
      <alignment horizontal="right" vertical="bottom"/>
    </xf>
    <xf borderId="0" fillId="0" fontId="10" numFmtId="9" xfId="0" applyAlignment="1" applyFont="1" applyNumberForma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4" fontId="9" numFmtId="0" xfId="0" applyAlignment="1" applyFont="1">
      <alignment horizontal="right" readingOrder="0" vertical="bottom"/>
    </xf>
    <xf borderId="0" fillId="6" fontId="9" numFmtId="169" xfId="0" applyAlignment="1" applyFont="1" applyNumberFormat="1">
      <alignment horizontal="right" readingOrder="0" vertical="bottom"/>
    </xf>
    <xf borderId="0" fillId="0" fontId="11" numFmtId="0" xfId="0" applyAlignment="1" applyFont="1">
      <alignment readingOrder="0" vertical="bottom"/>
    </xf>
    <xf borderId="0" fillId="6" fontId="9" numFmtId="169" xfId="0" applyAlignment="1" applyFont="1" applyNumberFormat="1">
      <alignment vertical="bottom"/>
    </xf>
    <xf borderId="6" fillId="0" fontId="9" numFmtId="0" xfId="0" applyAlignment="1" applyBorder="1" applyFont="1">
      <alignment vertical="bottom"/>
    </xf>
    <xf borderId="10" fillId="0" fontId="10" numFmtId="0" xfId="0" applyAlignment="1" applyBorder="1" applyFont="1">
      <alignment readingOrder="0" vertical="bottom"/>
    </xf>
    <xf borderId="14" fillId="2" fontId="10" numFmtId="0" xfId="0" applyAlignment="1" applyBorder="1" applyFont="1">
      <alignment horizontal="right" vertical="bottom"/>
    </xf>
    <xf borderId="14" fillId="0" fontId="10" numFmtId="9" xfId="0" applyAlignment="1" applyBorder="1" applyFont="1" applyNumberFormat="1">
      <alignment horizontal="right" vertical="bottom"/>
    </xf>
    <xf borderId="15" fillId="0" fontId="9" numFmtId="9" xfId="0" applyAlignment="1" applyBorder="1" applyFont="1" applyNumberFormat="1">
      <alignment horizontal="right" vertical="bottom"/>
    </xf>
    <xf borderId="0" fillId="0" fontId="10" numFmtId="164" xfId="0" applyAlignment="1" applyFont="1" applyNumberFormat="1">
      <alignment horizontal="right" vertical="bottom"/>
    </xf>
    <xf borderId="0" fillId="0" fontId="9" numFmtId="169" xfId="0" applyAlignment="1" applyFont="1" applyNumberFormat="1">
      <alignment vertical="bottom"/>
    </xf>
    <xf borderId="0" fillId="0" fontId="9" numFmtId="14" xfId="0" applyAlignment="1" applyFont="1" applyNumberFormat="1">
      <alignment horizontal="right" vertical="bottom"/>
    </xf>
    <xf borderId="16" fillId="0" fontId="3" numFmtId="0" xfId="0" applyAlignment="1" applyBorder="1" applyFont="1">
      <alignment horizontal="center" readingOrder="0" shrinkToFit="0" vertical="bottom" wrapText="0"/>
    </xf>
    <xf borderId="17" fillId="0" fontId="8" numFmtId="0" xfId="0" applyBorder="1" applyFont="1"/>
    <xf borderId="18" fillId="0" fontId="8" numFmtId="0" xfId="0" applyBorder="1" applyFont="1"/>
    <xf borderId="19" fillId="0" fontId="4" numFmtId="0" xfId="0" applyAlignment="1" applyBorder="1" applyFont="1">
      <alignment horizontal="center" readingOrder="0" shrinkToFit="0" vertical="bottom" wrapText="0"/>
    </xf>
    <xf borderId="19" fillId="0" fontId="8" numFmtId="0" xfId="0" applyBorder="1" applyFont="1"/>
    <xf borderId="19" fillId="0" fontId="4" numFmtId="0" xfId="0" applyAlignment="1" applyBorder="1" applyFont="1">
      <alignment horizontal="center" readingOrder="0" shrinkToFit="0" vertical="bottom" wrapText="0"/>
    </xf>
    <xf borderId="20" fillId="0" fontId="8" numFmtId="0" xfId="0" applyBorder="1" applyFont="1"/>
    <xf borderId="0" fillId="0" fontId="3" numFmtId="0" xfId="0" applyAlignment="1" applyFont="1">
      <alignment readingOrder="0" shrinkToFit="0" vertical="bottom" wrapText="1"/>
    </xf>
    <xf borderId="6" fillId="0" fontId="3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4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vertical="bottom" wrapText="1"/>
    </xf>
    <xf borderId="0" fillId="7" fontId="5" numFmtId="0" xfId="0" applyAlignment="1" applyFill="1" applyFont="1">
      <alignment horizontal="right" readingOrder="0" vertical="bottom"/>
    </xf>
    <xf borderId="6" fillId="4" fontId="5" numFmtId="0" xfId="0" applyAlignment="1" applyBorder="1" applyFont="1">
      <alignment horizontal="right" readingOrder="0" vertical="bottom"/>
    </xf>
    <xf borderId="0" fillId="0" fontId="9" numFmtId="169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 vertical="bottom"/>
    </xf>
    <xf borderId="5" fillId="0" fontId="4" numFmtId="0" xfId="0" applyAlignment="1" applyBorder="1" applyFont="1">
      <alignment readingOrder="0" shrinkToFit="0" vertical="bottom" wrapText="0"/>
    </xf>
    <xf borderId="9" fillId="2" fontId="6" numFmtId="0" xfId="0" applyAlignment="1" applyBorder="1" applyFont="1">
      <alignment readingOrder="0" shrinkToFit="0" vertical="bottom" wrapText="0"/>
    </xf>
    <xf borderId="0" fillId="0" fontId="9" numFmtId="169" xfId="0" applyAlignment="1" applyFont="1" applyNumberFormat="1">
      <alignment horizontal="right" vertical="bottom"/>
    </xf>
    <xf borderId="0" fillId="0" fontId="9" numFmtId="169" xfId="0" applyAlignment="1" applyFont="1" applyNumberFormat="1">
      <alignment readingOrder="0" vertical="bottom"/>
    </xf>
    <xf borderId="6" fillId="0" fontId="5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readingOrder="0" shrinkToFit="0" vertical="bottom" wrapText="0"/>
    </xf>
    <xf borderId="14" fillId="0" fontId="5" numFmtId="3" xfId="0" applyAlignment="1" applyBorder="1" applyFont="1" applyNumberFormat="1">
      <alignment shrinkToFit="0" vertical="bottom" wrapText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2" numFmtId="10" xfId="0" applyFont="1" applyNumberFormat="1"/>
    <xf borderId="6" fillId="0" fontId="7" numFmtId="0" xfId="0" applyAlignment="1" applyBorder="1" applyFont="1">
      <alignment shrinkToFit="0" vertical="bottom" wrapText="1"/>
    </xf>
    <xf borderId="6" fillId="4" fontId="9" numFmtId="0" xfId="0" applyAlignment="1" applyBorder="1" applyFont="1">
      <alignment horizontal="right" vertical="bottom"/>
    </xf>
    <xf borderId="6" fillId="2" fontId="10" numFmtId="0" xfId="0" applyAlignment="1" applyBorder="1" applyFont="1">
      <alignment horizontal="right" vertical="bottom"/>
    </xf>
    <xf borderId="0" fillId="0" fontId="5" numFmtId="9" xfId="0" applyAlignment="1" applyFont="1" applyNumberFormat="1">
      <alignment horizontal="right" readingOrder="0" vertical="bottom"/>
    </xf>
    <xf borderId="0" fillId="2" fontId="6" numFmtId="0" xfId="0" applyAlignment="1" applyFont="1">
      <alignment readingOrder="0" shrinkToFit="0" vertical="bottom" wrapText="0"/>
    </xf>
    <xf borderId="6" fillId="2" fontId="6" numFmtId="0" xfId="0" applyAlignment="1" applyBorder="1" applyFont="1">
      <alignment readingOrder="0" shrinkToFit="0" vertical="bottom" wrapText="0"/>
    </xf>
    <xf borderId="14" fillId="0" fontId="6" numFmtId="9" xfId="0" applyAlignment="1" applyBorder="1" applyFont="1" applyNumberFormat="1">
      <alignment horizontal="right" readingOrder="0" vertical="bottom"/>
    </xf>
    <xf borderId="0" fillId="0" fontId="9" numFmtId="9" xfId="0" applyAlignment="1" applyFont="1" applyNumberFormat="1">
      <alignment vertical="bottom"/>
    </xf>
    <xf borderId="6" fillId="4" fontId="9" numFmtId="0" xfId="0" applyAlignment="1" applyBorder="1" applyFont="1">
      <alignment vertical="bottom"/>
    </xf>
    <xf borderId="14" fillId="0" fontId="9" numFmtId="0" xfId="0" applyAlignment="1" applyBorder="1" applyFont="1">
      <alignment vertical="bottom"/>
    </xf>
    <xf borderId="15" fillId="2" fontId="10" numFmtId="0" xfId="0" applyAlignment="1" applyBorder="1" applyFont="1">
      <alignment horizontal="right" vertical="bottom"/>
    </xf>
    <xf borderId="0" fillId="0" fontId="12" numFmtId="0" xfId="0" applyAlignment="1" applyFont="1">
      <alignment readingOrder="0"/>
    </xf>
    <xf borderId="21" fillId="0" fontId="3" numFmtId="0" xfId="0" applyAlignment="1" applyBorder="1" applyFont="1">
      <alignment horizontal="center" readingOrder="0" shrinkToFit="0" vertical="bottom" wrapText="0"/>
    </xf>
    <xf borderId="22" fillId="0" fontId="8" numFmtId="0" xfId="0" applyBorder="1" applyFont="1"/>
    <xf borderId="23" fillId="0" fontId="8" numFmtId="0" xfId="0" applyBorder="1" applyFont="1"/>
    <xf borderId="24" fillId="0" fontId="2" numFmtId="0" xfId="0" applyBorder="1" applyFont="1"/>
    <xf borderId="24" fillId="0" fontId="1" numFmtId="0" xfId="0" applyAlignment="1" applyBorder="1" applyFont="1">
      <alignment horizontal="left" readingOrder="0"/>
    </xf>
    <xf borderId="25" fillId="0" fontId="1" numFmtId="0" xfId="0" applyAlignment="1" applyBorder="1" applyFont="1">
      <alignment horizontal="left" readingOrder="0"/>
    </xf>
    <xf borderId="13" fillId="0" fontId="1" numFmtId="0" xfId="0" applyAlignment="1" applyBorder="1" applyFont="1">
      <alignment horizontal="left" readingOrder="0"/>
    </xf>
    <xf borderId="0" fillId="0" fontId="3" numFmtId="0" xfId="0" applyAlignment="1" applyFont="1">
      <alignment horizontal="left" readingOrder="0" shrinkToFit="0" vertical="bottom" wrapText="0"/>
    </xf>
    <xf borderId="26" fillId="0" fontId="3" numFmtId="0" xfId="0" applyAlignment="1" applyBorder="1" applyFont="1">
      <alignment shrinkToFit="0" vertical="bottom" wrapText="0"/>
    </xf>
    <xf borderId="19" fillId="0" fontId="3" numFmtId="0" xfId="0" applyAlignment="1" applyBorder="1" applyFont="1">
      <alignment horizontal="center" readingOrder="0" shrinkToFit="0" vertical="bottom" wrapText="0"/>
    </xf>
    <xf borderId="19" fillId="0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27" fillId="0" fontId="2" numFmtId="0" xfId="0" applyBorder="1" applyFont="1"/>
    <xf borderId="26" fillId="0" fontId="4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readingOrder="0" shrinkToFit="0" vertical="bottom" wrapText="1"/>
    </xf>
    <xf borderId="5" fillId="0" fontId="3" numFmtId="0" xfId="0" applyAlignment="1" applyBorder="1" applyFont="1">
      <alignment readingOrder="0" shrinkToFit="0" vertical="bottom" wrapText="1"/>
    </xf>
    <xf borderId="5" fillId="0" fontId="1" numFmtId="0" xfId="0" applyAlignment="1" applyBorder="1" applyFont="1">
      <alignment readingOrder="0"/>
    </xf>
    <xf borderId="27" fillId="0" fontId="1" numFmtId="0" xfId="0" applyAlignment="1" applyBorder="1" applyFont="1">
      <alignment readingOrder="0"/>
    </xf>
    <xf borderId="26" fillId="0" fontId="5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horizontal="right" vertical="bottom"/>
    </xf>
    <xf borderId="5" fillId="5" fontId="5" numFmtId="0" xfId="0" applyAlignment="1" applyBorder="1" applyFont="1">
      <alignment horizontal="right" readingOrder="0" vertical="bottom"/>
    </xf>
    <xf borderId="27" fillId="0" fontId="13" numFmtId="9" xfId="0" applyAlignment="1" applyBorder="1" applyFont="1" applyNumberFormat="1">
      <alignment readingOrder="0"/>
    </xf>
    <xf borderId="0" fillId="7" fontId="2" numFmtId="169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7" fillId="0" fontId="5" numFmtId="0" xfId="0" applyAlignment="1" applyBorder="1" applyFont="1">
      <alignment readingOrder="0" vertical="bottom"/>
    </xf>
    <xf borderId="26" fillId="0" fontId="6" numFmtId="0" xfId="0" applyAlignment="1" applyBorder="1" applyFont="1">
      <alignment readingOrder="0" shrinkToFit="0" vertical="bottom" wrapText="0"/>
    </xf>
    <xf borderId="0" fillId="0" fontId="6" numFmtId="9" xfId="0" applyAlignment="1" applyFont="1" applyNumberFormat="1">
      <alignment horizontal="right" readingOrder="0" vertical="bottom"/>
    </xf>
    <xf borderId="28" fillId="2" fontId="6" numFmtId="0" xfId="0" applyAlignment="1" applyBorder="1" applyFont="1">
      <alignment readingOrder="0" shrinkToFit="0" vertical="bottom" wrapText="0"/>
    </xf>
    <xf borderId="27" fillId="0" fontId="14" numFmtId="9" xfId="0" applyBorder="1" applyFont="1" applyNumberFormat="1"/>
    <xf borderId="0" fillId="0" fontId="2" numFmtId="169" xfId="0" applyAlignment="1" applyFont="1" applyNumberFormat="1">
      <alignment readingOrder="0"/>
    </xf>
    <xf borderId="5" fillId="0" fontId="13" numFmtId="0" xfId="0" applyBorder="1" applyFont="1"/>
    <xf borderId="0" fillId="0" fontId="13" numFmtId="0" xfId="0" applyFont="1"/>
    <xf borderId="27" fillId="0" fontId="13" numFmtId="0" xfId="0" applyBorder="1" applyFont="1"/>
    <xf borderId="26" fillId="0" fontId="5" numFmtId="0" xfId="0" applyAlignment="1" applyBorder="1" applyFont="1">
      <alignment shrinkToFit="0" vertical="bottom" wrapText="0"/>
    </xf>
    <xf borderId="29" fillId="0" fontId="6" numFmtId="0" xfId="0" applyAlignment="1" applyBorder="1" applyFont="1">
      <alignment readingOrder="0" shrinkToFit="0" vertical="bottom" wrapText="0"/>
    </xf>
    <xf borderId="30" fillId="2" fontId="6" numFmtId="3" xfId="0" applyAlignment="1" applyBorder="1" applyFont="1" applyNumberFormat="1">
      <alignment readingOrder="0" shrinkToFit="0" vertical="bottom" wrapText="0"/>
    </xf>
    <xf borderId="31" fillId="0" fontId="6" numFmtId="9" xfId="0" applyAlignment="1" applyBorder="1" applyFont="1" applyNumberFormat="1">
      <alignment horizontal="right" readingOrder="0" vertical="bottom"/>
    </xf>
    <xf borderId="32" fillId="2" fontId="6" numFmtId="3" xfId="0" applyAlignment="1" applyBorder="1" applyFont="1" applyNumberFormat="1">
      <alignment readingOrder="0" shrinkToFit="0" vertical="bottom" wrapText="0"/>
    </xf>
    <xf borderId="33" fillId="2" fontId="6" numFmtId="3" xfId="0" applyAlignment="1" applyBorder="1" applyFont="1" applyNumberFormat="1">
      <alignment readingOrder="0" shrinkToFit="0" vertical="bottom" wrapText="0"/>
    </xf>
    <xf borderId="34" fillId="2" fontId="6" numFmtId="0" xfId="0" applyAlignment="1" applyBorder="1" applyFont="1">
      <alignment readingOrder="0" shrinkToFit="0" vertical="bottom" wrapText="0"/>
    </xf>
    <xf borderId="35" fillId="0" fontId="13" numFmtId="9" xfId="0" applyAlignment="1" applyBorder="1" applyFont="1" applyNumberFormat="1">
      <alignment readingOrder="0"/>
    </xf>
    <xf borderId="0" fillId="0" fontId="2" numFmtId="14" xfId="0" applyFont="1" applyNumberFormat="1"/>
    <xf borderId="36" fillId="0" fontId="3" numFmtId="0" xfId="0" applyAlignment="1" applyBorder="1" applyFont="1">
      <alignment horizontal="center" readingOrder="0" shrinkToFit="0" vertical="bottom" wrapText="0"/>
    </xf>
    <xf borderId="37" fillId="0" fontId="8" numFmtId="0" xfId="0" applyBorder="1" applyFont="1"/>
    <xf borderId="38" fillId="0" fontId="8" numFmtId="0" xfId="0" applyBorder="1" applyFont="1"/>
    <xf borderId="0" fillId="0" fontId="3" numFmtId="0" xfId="0" applyAlignment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readingOrder="0" shrinkToFit="0" vertical="bottom" wrapText="0"/>
    </xf>
    <xf borderId="7" fillId="0" fontId="9" numFmtId="0" xfId="0" applyAlignment="1" applyBorder="1" applyFont="1">
      <alignment horizontal="right" vertical="bottom"/>
    </xf>
    <xf borderId="0" fillId="0" fontId="2" numFmtId="9" xfId="0" applyFont="1" applyNumberFormat="1"/>
    <xf borderId="21" fillId="0" fontId="4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6" fillId="0" fontId="4" numFmtId="0" xfId="0" applyAlignment="1" applyBorder="1" applyFont="1">
      <alignment readingOrder="0" shrinkToFit="0" vertical="bottom" wrapText="1"/>
    </xf>
    <xf borderId="5" fillId="0" fontId="4" numFmtId="0" xfId="0" applyAlignment="1" applyBorder="1" applyFont="1">
      <alignment readingOrder="0" shrinkToFit="0" vertical="bottom" wrapText="1"/>
    </xf>
    <xf borderId="0" fillId="0" fontId="15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7" fontId="2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16" fillId="0" fontId="4" numFmtId="0" xfId="0" applyAlignment="1" applyBorder="1" applyFont="1">
      <alignment horizontal="center" readingOrder="0" shrinkToFit="0" vertical="bottom" wrapText="0"/>
    </xf>
    <xf borderId="0" fillId="8" fontId="2" numFmtId="0" xfId="0" applyFont="1"/>
    <xf borderId="36" fillId="0" fontId="4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0" fillId="7" fontId="6" numFmtId="0" xfId="0" applyAlignment="1" applyFont="1">
      <alignment readingOrder="0" shrinkToFit="0" vertical="bottom" wrapText="0"/>
    </xf>
    <xf borderId="31" fillId="2" fontId="6" numFmtId="3" xfId="0" applyAlignment="1" applyBorder="1" applyFont="1" applyNumberFormat="1">
      <alignment readingOrder="0" shrinkToFit="0" vertical="bottom" wrapText="0"/>
    </xf>
    <xf borderId="0" fillId="8" fontId="5" numFmtId="0" xfId="0" applyAlignment="1" applyFont="1">
      <alignment horizontal="right" readingOrder="0" vertical="bottom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6" numFmtId="0" xfId="0" applyFont="1"/>
    <xf borderId="0" fillId="8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0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3" numFmtId="0" xfId="0" applyAlignment="1" applyFont="1">
      <alignment shrinkToFit="0" vertical="bottom" wrapText="1"/>
    </xf>
    <xf borderId="14" fillId="0" fontId="3" numFmtId="3" xfId="0" applyAlignment="1" applyBorder="1" applyFont="1" applyNumberFormat="1">
      <alignment shrinkToFit="0" vertical="bottom" wrapText="0"/>
    </xf>
    <xf borderId="0" fillId="0" fontId="2" numFmtId="170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1" numFmtId="171" xfId="0" applyFont="1" applyNumberFormat="1"/>
    <xf borderId="0" fillId="0" fontId="1" numFmtId="171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  <xf borderId="39" fillId="0" fontId="4" numFmtId="0" xfId="0" applyAlignment="1" applyBorder="1" applyFont="1">
      <alignment horizontal="center" readingOrder="0" shrinkToFit="0" vertical="bottom" wrapText="0"/>
    </xf>
    <xf borderId="20" fillId="0" fontId="4" numFmtId="0" xfId="0" applyAlignment="1" applyBorder="1" applyFont="1">
      <alignment horizontal="center" readingOrder="0" shrinkToFit="0" vertical="bottom" wrapText="0"/>
    </xf>
    <xf borderId="40" fillId="0" fontId="1" numFmtId="0" xfId="0" applyAlignment="1" applyBorder="1" applyFont="1">
      <alignment horizontal="left" readingOrder="0"/>
    </xf>
    <xf borderId="41" fillId="0" fontId="2" numFmtId="0" xfId="0" applyBorder="1" applyFont="1"/>
    <xf borderId="41" fillId="0" fontId="1" numFmtId="0" xfId="0" applyAlignment="1" applyBorder="1" applyFont="1">
      <alignment readingOrder="0"/>
    </xf>
    <xf borderId="0" fillId="8" fontId="5" numFmtId="3" xfId="0" applyAlignment="1" applyFont="1" applyNumberFormat="1">
      <alignment horizontal="right" readingOrder="0" vertical="bottom"/>
    </xf>
    <xf borderId="0" fillId="7" fontId="5" numFmtId="3" xfId="0" applyAlignment="1" applyFont="1" applyNumberFormat="1">
      <alignment horizontal="right" readingOrder="0" vertical="bottom"/>
    </xf>
    <xf borderId="0" fillId="2" fontId="5" numFmtId="3" xfId="0" applyAlignment="1" applyFont="1" applyNumberFormat="1">
      <alignment readingOrder="0" shrinkToFit="0" vertical="bottom" wrapText="0"/>
    </xf>
    <xf borderId="5" fillId="5" fontId="5" numFmtId="3" xfId="0" applyAlignment="1" applyBorder="1" applyFont="1" applyNumberFormat="1">
      <alignment horizontal="right" readingOrder="0" vertical="bottom"/>
    </xf>
    <xf borderId="41" fillId="0" fontId="13" numFmtId="9" xfId="0" applyAlignment="1" applyBorder="1" applyFont="1" applyNumberFormat="1">
      <alignment readingOrder="0"/>
    </xf>
    <xf borderId="28" fillId="2" fontId="6" numFmtId="3" xfId="0" applyAlignment="1" applyBorder="1" applyFont="1" applyNumberFormat="1">
      <alignment readingOrder="0" shrinkToFit="0" vertical="bottom" wrapText="0"/>
    </xf>
    <xf borderId="41" fillId="0" fontId="14" numFmtId="9" xfId="0" applyBorder="1" applyFont="1" applyNumberFormat="1"/>
    <xf borderId="41" fillId="0" fontId="13" numFmtId="0" xfId="0" applyBorder="1" applyFont="1"/>
    <xf borderId="42" fillId="0" fontId="13" numFmtId="9" xfId="0" applyAlignment="1" applyBorder="1" applyFont="1" applyNumberFormat="1">
      <alignment readingOrder="0"/>
    </xf>
    <xf borderId="0" fillId="0" fontId="1" numFmtId="10" xfId="0" applyFont="1" applyNumberFormat="1"/>
    <xf borderId="13" fillId="0" fontId="2" numFmtId="0" xfId="0" applyBorder="1" applyFont="1"/>
    <xf borderId="43" fillId="0" fontId="4" numFmtId="0" xfId="0" applyAlignment="1" applyBorder="1" applyFont="1">
      <alignment horizontal="center" readingOrder="0" shrinkToFit="0" vertical="bottom" wrapText="0"/>
    </xf>
    <xf borderId="27" fillId="0" fontId="4" numFmtId="0" xfId="0" applyAlignment="1" applyBorder="1" applyFont="1">
      <alignment readingOrder="0" shrinkToFit="0" vertical="bottom" wrapText="1"/>
    </xf>
    <xf borderId="5" fillId="0" fontId="5" numFmtId="0" xfId="0" applyAlignment="1" applyBorder="1" applyFont="1">
      <alignment horizontal="right" readingOrder="0" vertical="bottom"/>
    </xf>
    <xf borderId="6" fillId="0" fontId="5" numFmtId="9" xfId="0" applyAlignment="1" applyBorder="1" applyFont="1" applyNumberFormat="1">
      <alignment horizontal="right" readingOrder="0" vertical="bottom"/>
    </xf>
    <xf borderId="27" fillId="4" fontId="5" numFmtId="0" xfId="0" applyAlignment="1" applyBorder="1" applyFont="1">
      <alignment horizontal="right" readingOrder="0" vertical="bottom"/>
    </xf>
    <xf borderId="44" fillId="2" fontId="6" numFmtId="0" xfId="0" applyAlignment="1" applyBorder="1" applyFont="1">
      <alignment readingOrder="0" shrinkToFit="0" vertical="bottom" wrapText="0"/>
    </xf>
    <xf borderId="0" fillId="7" fontId="2" numFmtId="0" xfId="0" applyFont="1"/>
    <xf borderId="27" fillId="0" fontId="5" numFmtId="0" xfId="0" applyAlignment="1" applyBorder="1" applyFont="1">
      <alignment shrinkToFit="0" vertical="bottom" wrapText="0"/>
    </xf>
    <xf borderId="34" fillId="2" fontId="6" numFmtId="3" xfId="0" applyAlignment="1" applyBorder="1" applyFont="1" applyNumberFormat="1">
      <alignment readingOrder="0" shrinkToFit="0" vertical="bottom" wrapText="0"/>
    </xf>
    <xf borderId="15" fillId="0" fontId="6" numFmtId="9" xfId="0" applyAlignment="1" applyBorder="1" applyFont="1" applyNumberFormat="1">
      <alignment horizontal="right" readingOrder="0" vertical="bottom"/>
    </xf>
    <xf borderId="45" fillId="2" fontId="6" numFmtId="3" xfId="0" applyAlignment="1" applyBorder="1" applyFont="1" applyNumberFormat="1">
      <alignment readingOrder="0" shrinkToFit="0" vertical="bottom" wrapText="0"/>
    </xf>
    <xf borderId="0" fillId="0" fontId="1" numFmtId="9" xfId="0" applyAlignment="1" applyFont="1" applyNumberFormat="1">
      <alignment readingOrder="0"/>
    </xf>
    <xf borderId="0" fillId="0" fontId="1" numFmtId="3" xfId="0" applyFont="1" applyNumberFormat="1"/>
    <xf borderId="0" fillId="0" fontId="4" numFmtId="0" xfId="0" applyAlignment="1" applyFont="1">
      <alignment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0" fillId="0" fontId="5" numFmtId="3" xfId="0" applyAlignment="1" applyFont="1" applyNumberFormat="1">
      <alignment horizontal="right" readingOrder="0" vertical="bottom"/>
    </xf>
    <xf borderId="0" fillId="4" fontId="5" numFmtId="3" xfId="0" applyAlignment="1" applyFont="1" applyNumberFormat="1">
      <alignment horizontal="right" readingOrder="0" vertical="bottom"/>
    </xf>
    <xf borderId="0" fillId="8" fontId="5" numFmtId="3" xfId="0" applyAlignment="1" applyFont="1" applyNumberFormat="1">
      <alignment readingOrder="0" shrinkToFit="0" vertical="bottom" wrapText="0"/>
    </xf>
    <xf borderId="6" fillId="0" fontId="6" numFmtId="3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0" fillId="0" fontId="5" numFmtId="173" xfId="0" applyAlignment="1" applyFont="1" applyNumberFormat="1">
      <alignment horizontal="right" readingOrder="0" vertical="bottom"/>
    </xf>
    <xf borderId="6" fillId="0" fontId="6" numFmtId="9" xfId="0" applyAlignment="1" applyBorder="1" applyFont="1" applyNumberFormat="1">
      <alignment horizontal="right" readingOrder="0" vertical="bottom"/>
    </xf>
    <xf borderId="10" fillId="0" fontId="5" numFmtId="0" xfId="0" applyAlignment="1" applyBorder="1" applyFont="1">
      <alignment shrinkToFit="0" vertical="bottom" wrapText="0"/>
    </xf>
    <xf borderId="14" fillId="0" fontId="5" numFmtId="0" xfId="0" applyAlignment="1" applyBorder="1" applyFont="1">
      <alignment shrinkToFit="0" vertical="bottom" wrapText="0"/>
    </xf>
    <xf borderId="14" fillId="0" fontId="6" numFmtId="0" xfId="0" applyAlignment="1" applyBorder="1" applyFont="1">
      <alignment horizontal="right" readingOrder="0" vertical="bottom"/>
    </xf>
    <xf borderId="14" fillId="0" fontId="5" numFmtId="173" xfId="0" applyAlignment="1" applyBorder="1" applyFont="1" applyNumberFormat="1">
      <alignment horizontal="right" readingOrder="0" vertical="bottom"/>
    </xf>
    <xf borderId="14" fillId="0" fontId="5" numFmtId="3" xfId="0" applyAlignment="1" applyBorder="1" applyFont="1" applyNumberFormat="1">
      <alignment horizontal="right" readingOrder="0" vertical="bottom"/>
    </xf>
    <xf borderId="15" fillId="0" fontId="5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 readingOrder="0"/>
    </xf>
    <xf borderId="0" fillId="0" fontId="4" numFmtId="0" xfId="0" applyAlignment="1" applyFont="1">
      <alignment shrinkToFit="0" vertical="bottom" wrapText="0"/>
    </xf>
    <xf borderId="46" fillId="0" fontId="5" numFmtId="0" xfId="0" applyAlignment="1" applyBorder="1" applyFont="1">
      <alignment horizontal="right" readingOrder="0" vertical="bottom"/>
    </xf>
    <xf borderId="6" fillId="4" fontId="5" numFmtId="3" xfId="0" applyAlignment="1" applyBorder="1" applyFont="1" applyNumberFormat="1">
      <alignment horizontal="right" readingOrder="0" vertical="bottom"/>
    </xf>
    <xf borderId="0" fillId="0" fontId="5" numFmtId="3" xfId="0" applyAlignment="1" applyFont="1" applyNumberFormat="1">
      <alignment readingOrder="0" shrinkToFit="0" vertical="bottom" wrapText="0"/>
    </xf>
    <xf borderId="6" fillId="0" fontId="13" numFmtId="9" xfId="0" applyAlignment="1" applyBorder="1" applyFont="1" applyNumberFormat="1">
      <alignment readingOrder="0"/>
    </xf>
    <xf borderId="0" fillId="0" fontId="2" numFmtId="174" xfId="0" applyAlignment="1" applyFont="1" applyNumberFormat="1">
      <alignment readingOrder="0"/>
    </xf>
    <xf borderId="27" fillId="5" fontId="5" numFmtId="3" xfId="0" applyAlignment="1" applyBorder="1" applyFont="1" applyNumberFormat="1">
      <alignment horizontal="right" readingOrder="0" vertical="bottom"/>
    </xf>
    <xf borderId="27" fillId="5" fontId="5" numFmtId="0" xfId="0" applyAlignment="1" applyBorder="1" applyFont="1">
      <alignment horizontal="right" readingOrder="0" vertical="bottom"/>
    </xf>
    <xf borderId="7" fillId="0" fontId="5" numFmtId="0" xfId="0" applyAlignment="1" applyBorder="1" applyFont="1">
      <alignment vertical="bottom"/>
    </xf>
    <xf borderId="6" fillId="0" fontId="14" numFmtId="9" xfId="0" applyBorder="1" applyFont="1" applyNumberFormat="1"/>
    <xf borderId="44" fillId="2" fontId="6" numFmtId="3" xfId="0" applyAlignment="1" applyBorder="1" applyFont="1" applyNumberFormat="1">
      <alignment readingOrder="0" shrinkToFit="0" vertical="bottom" wrapText="0"/>
    </xf>
    <xf borderId="6" fillId="0" fontId="13" numFmtId="0" xfId="0" applyBorder="1" applyFont="1"/>
    <xf borderId="15" fillId="0" fontId="13" numFmtId="9" xfId="0" applyAlignment="1" applyBorder="1" applyFont="1" applyNumberFormat="1">
      <alignment readingOrder="0"/>
    </xf>
    <xf borderId="0" fillId="0" fontId="1" numFmtId="168" xfId="0" applyAlignment="1" applyFont="1" applyNumberFormat="1">
      <alignment horizontal="left" readingOrder="0"/>
    </xf>
    <xf borderId="0" fillId="0" fontId="1" numFmtId="4" xfId="0" applyAlignment="1" applyFont="1" applyNumberFormat="1">
      <alignment horizontal="left" readingOrder="0"/>
    </xf>
    <xf borderId="2" fillId="2" fontId="1" numFmtId="3" xfId="0" applyBorder="1" applyFont="1" applyNumberFormat="1"/>
    <xf borderId="0" fillId="0" fontId="5" numFmtId="3" xfId="0" applyAlignment="1" applyFont="1" applyNumberFormat="1">
      <alignment readingOrder="0" shrinkToFit="0" vertical="bottom" wrapText="1"/>
    </xf>
    <xf borderId="19" fillId="0" fontId="1" numFmtId="0" xfId="0" applyBorder="1" applyFont="1"/>
    <xf borderId="0" fillId="0" fontId="2" numFmtId="175" xfId="0" applyAlignment="1" applyFont="1" applyNumberFormat="1">
      <alignment readingOrder="0"/>
    </xf>
    <xf borderId="8" fillId="2" fontId="1" numFmtId="0" xfId="0" applyAlignment="1" applyBorder="1" applyFont="1">
      <alignment readingOrder="0"/>
    </xf>
    <xf borderId="8" fillId="0" fontId="1" numFmtId="3" xfId="0" applyBorder="1" applyFont="1" applyNumberFormat="1"/>
    <xf borderId="0" fillId="0" fontId="12" numFmtId="0" xfId="0" applyFont="1"/>
    <xf borderId="0" fillId="2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8" fontId="17" numFmtId="0" xfId="0" applyAlignment="1" applyFont="1">
      <alignment horizontal="right" readingOrder="0" vertical="bottom"/>
    </xf>
    <xf borderId="0" fillId="0" fontId="17" numFmtId="0" xfId="0" applyAlignment="1" applyFont="1">
      <alignment horizontal="right" readingOrder="0" vertical="bottom"/>
    </xf>
    <xf borderId="0" fillId="2" fontId="3" numFmtId="0" xfId="0" applyAlignment="1" applyFont="1">
      <alignment readingOrder="0" shrinkToFit="0" vertical="bottom" wrapText="0"/>
    </xf>
    <xf borderId="0" fillId="4" fontId="17" numFmtId="3" xfId="0" applyAlignment="1" applyFont="1" applyNumberFormat="1">
      <alignment horizontal="right" readingOrder="0" vertical="bottom"/>
    </xf>
    <xf borderId="46" fillId="0" fontId="17" numFmtId="0" xfId="0" applyAlignment="1" applyBorder="1" applyFont="1">
      <alignment horizontal="right" readingOrder="0" vertical="bottom"/>
    </xf>
    <xf borderId="0" fillId="7" fontId="17" numFmtId="0" xfId="0" applyAlignment="1" applyFont="1">
      <alignment horizontal="right" readingOrder="0" vertical="bottom"/>
    </xf>
    <xf borderId="6" fillId="4" fontId="17" numFmtId="3" xfId="0" applyAlignment="1" applyBorder="1" applyFont="1" applyNumberFormat="1">
      <alignment horizontal="right" readingOrder="0" vertical="bottom"/>
    </xf>
    <xf borderId="27" fillId="5" fontId="17" numFmtId="3" xfId="0" applyAlignment="1" applyBorder="1" applyFont="1" applyNumberFormat="1">
      <alignment horizontal="right" readingOrder="0" vertical="bottom"/>
    </xf>
    <xf borderId="0" fillId="0" fontId="2" numFmtId="9" xfId="0" applyAlignment="1" applyFont="1" applyNumberFormat="1">
      <alignment readingOrder="0"/>
    </xf>
    <xf borderId="0" fillId="8" fontId="17" numFmtId="3" xfId="0" applyAlignment="1" applyFont="1" applyNumberFormat="1">
      <alignment horizontal="right" readingOrder="0" vertical="bottom"/>
    </xf>
    <xf borderId="0" fillId="0" fontId="17" numFmtId="3" xfId="0" applyAlignment="1" applyFont="1" applyNumberFormat="1">
      <alignment horizontal="right" readingOrder="0" vertical="bottom"/>
    </xf>
    <xf borderId="0" fillId="2" fontId="3" numFmtId="3" xfId="0" applyAlignment="1" applyFont="1" applyNumberFormat="1">
      <alignment readingOrder="0" shrinkToFit="0" vertical="bottom" wrapText="0"/>
    </xf>
    <xf borderId="0" fillId="4" fontId="17" numFmtId="0" xfId="0" applyAlignment="1" applyFont="1">
      <alignment horizontal="right" readingOrder="0" vertical="bottom"/>
    </xf>
    <xf borderId="0" fillId="7" fontId="17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readingOrder="0" shrinkToFit="0" vertical="bottom" wrapText="0"/>
    </xf>
    <xf borderId="6" fillId="4" fontId="17" numFmtId="0" xfId="0" applyAlignment="1" applyBorder="1" applyFont="1">
      <alignment horizontal="right" readingOrder="0" vertical="bottom"/>
    </xf>
    <xf borderId="8" fillId="2" fontId="4" numFmtId="0" xfId="0" applyAlignment="1" applyBorder="1" applyFont="1">
      <alignment readingOrder="0" shrinkToFit="0" vertical="bottom" wrapText="0"/>
    </xf>
    <xf borderId="8" fillId="2" fontId="4" numFmtId="3" xfId="0" applyAlignment="1" applyBorder="1" applyFont="1" applyNumberFormat="1">
      <alignment readingOrder="0" shrinkToFit="0" vertical="bottom" wrapText="0"/>
    </xf>
    <xf borderId="9" fillId="2" fontId="4" numFmtId="3" xfId="0" applyAlignment="1" applyBorder="1" applyFont="1" applyNumberFormat="1">
      <alignment readingOrder="0" shrinkToFit="0" vertical="bottom" wrapText="0"/>
    </xf>
    <xf borderId="44" fillId="2" fontId="4" numFmtId="3" xfId="0" applyAlignment="1" applyBorder="1" applyFont="1" applyNumberFormat="1">
      <alignment readingOrder="0" shrinkToFit="0" vertical="bottom" wrapText="0"/>
    </xf>
    <xf borderId="9" fillId="2" fontId="4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shrinkToFit="0" vertical="bottom" wrapText="0"/>
    </xf>
    <xf borderId="27" fillId="0" fontId="3" numFmtId="0" xfId="0" applyAlignment="1" applyBorder="1" applyFont="1">
      <alignment shrinkToFit="0" vertical="bottom" wrapText="0"/>
    </xf>
    <xf borderId="11" fillId="2" fontId="4" numFmtId="3" xfId="0" applyAlignment="1" applyBorder="1" applyFont="1" applyNumberFormat="1">
      <alignment readingOrder="0" shrinkToFit="0" vertical="bottom" wrapText="0"/>
    </xf>
    <xf borderId="12" fillId="2" fontId="4" numFmtId="3" xfId="0" applyAlignment="1" applyBorder="1" applyFont="1" applyNumberFormat="1">
      <alignment readingOrder="0" shrinkToFit="0" vertical="bottom" wrapText="0"/>
    </xf>
    <xf borderId="45" fillId="2" fontId="4" numFmtId="3" xfId="0" applyAlignment="1" applyBorder="1" applyFont="1" applyNumberFormat="1">
      <alignment readingOrder="0" shrinkToFit="0" vertical="bottom" wrapText="0"/>
    </xf>
    <xf borderId="0" fillId="0" fontId="3" numFmtId="3" xfId="0" applyAlignment="1" applyFont="1" applyNumberFormat="1">
      <alignment readingOrder="0" shrinkToFit="0" vertical="bottom" wrapText="1"/>
    </xf>
    <xf borderId="15" fillId="0" fontId="4" numFmtId="0" xfId="0" applyAlignment="1" applyBorder="1" applyFont="1">
      <alignment readingOrder="0" shrinkToFit="0" vertical="bottom" wrapText="1"/>
    </xf>
    <xf borderId="0" fillId="0" fontId="1" numFmtId="3" xfId="0" applyAlignment="1" applyFont="1" applyNumberFormat="1">
      <alignment readingOrder="0"/>
    </xf>
    <xf borderId="0" fillId="2" fontId="2" numFmtId="0" xfId="0" applyFont="1"/>
    <xf borderId="0" fillId="2" fontId="2" numFmtId="3" xfId="0" applyFont="1" applyNumberFormat="1"/>
    <xf borderId="0" fillId="2" fontId="1" numFmtId="3" xfId="0" applyFont="1" applyNumberFormat="1"/>
    <xf borderId="17" fillId="0" fontId="4" numFmtId="0" xfId="0" applyAlignment="1" applyBorder="1" applyFont="1">
      <alignment horizontal="center" readingOrder="0" shrinkToFit="0" vertical="bottom" wrapText="0"/>
    </xf>
    <xf borderId="46" fillId="8" fontId="17" numFmtId="0" xfId="0" applyAlignment="1" applyBorder="1" applyFont="1">
      <alignment horizontal="right" readingOrder="0" vertical="bottom"/>
    </xf>
    <xf borderId="6" fillId="2" fontId="3" numFmtId="0" xfId="0" applyAlignment="1" applyBorder="1" applyFont="1">
      <alignment readingOrder="0" shrinkToFit="0" vertical="bottom" wrapText="0"/>
    </xf>
    <xf borderId="27" fillId="2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right" readingOrder="0"/>
    </xf>
    <xf borderId="44" fillId="2" fontId="4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right"/>
    </xf>
    <xf borderId="0" fillId="8" fontId="3" numFmtId="0" xfId="0" applyAlignment="1" applyFont="1">
      <alignment readingOrder="0" shrinkToFit="0" vertical="bottom" wrapText="0"/>
    </xf>
    <xf borderId="47" fillId="2" fontId="4" numFmtId="3" xfId="0" applyAlignment="1" applyBorder="1" applyFont="1" applyNumberFormat="1">
      <alignment readingOrder="0" shrinkToFit="0" vertical="bottom" wrapText="0"/>
    </xf>
    <xf borderId="19" fillId="0" fontId="4" numFmtId="0" xfId="0" applyAlignment="1" applyBorder="1" applyFont="1">
      <alignment horizontal="left" readingOrder="0" shrinkToFit="0" vertical="bottom" wrapText="0"/>
    </xf>
    <xf borderId="5" fillId="2" fontId="3" numFmtId="0" xfId="0" applyAlignment="1" applyBorder="1" applyFont="1">
      <alignment readingOrder="0" shrinkToFit="0" vertical="bottom" wrapText="0"/>
    </xf>
    <xf borderId="0" fillId="0" fontId="2" numFmtId="176" xfId="0" applyAlignment="1" applyFont="1" applyNumberFormat="1">
      <alignment readingOrder="0"/>
    </xf>
    <xf borderId="6" fillId="0" fontId="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295275</xdr:colOff>
      <xdr:row>26</xdr:row>
      <xdr:rowOff>295275</xdr:rowOff>
    </xdr:from>
    <xdr:ext cx="7572375" cy="3286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295275</xdr:colOff>
      <xdr:row>26</xdr:row>
      <xdr:rowOff>295275</xdr:rowOff>
    </xdr:from>
    <xdr:ext cx="7572375" cy="3286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228600</xdr:colOff>
      <xdr:row>25</xdr:row>
      <xdr:rowOff>-190500</xdr:rowOff>
    </xdr:from>
    <xdr:ext cx="8496300" cy="22383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ran Bangham" id="{0affad45-3fa5-49bc-bfad-7a1306feb51a}" providerId="google-sheets"/>
  <x18tc:person displayName="Gavin Barry" id="{9ca19094-b66c-488a-8725-65357db156c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K13" dT="2024-11-26T08:31:04.00" personId="{0affad45-3fa5-49bc-bfad-7a1306feb51a}" id="{e483fce6-b05a-4de0-b0ab-3d783af2adc2}" done="0">
    <x18tc:text xml:space="preserve">Not taxed</x18tc:text>
  </x18tc:threadedComment>
  <x18tc:threadedComment ref="AL16" dT="2024-11-26T08:28:53.00" personId="{0affad45-3fa5-49bc-bfad-7a1306feb51a}" id="{5b605921-1b17-4748-9328-62823bc9548a}" done="0">
    <x18tc:text xml:space="preserve">1 taxed</x18tc:text>
  </x18tc:threadedComment>
  <x18tc:threadedComment ref="AL8" dT="2024-12-04T09:16:42.00" personId="{0affad45-3fa5-49bc-bfad-7a1306feb51a}" id="{d28fda5f-0945-45de-9630-c6a83bf85290}" done="0">
    <x18tc:text xml:space="preserve">Not taxed</x18tc:text>
  </x18tc:threadedComment>
  <x18tc:threadedComment ref="AL17" dT="2024-11-26T08:32:00.00" personId="{0affad45-3fa5-49bc-bfad-7a1306feb51a}" id="{62b6d5ed-1a7b-4925-875f-3a97733debfa}" done="0">
    <x18tc:text xml:space="preserve">1 taxed</x18tc:text>
  </x18tc:threadedComment>
  <x18tc:threadedComment ref="AK16" dT="2024-12-02T08:31:34.00" personId="{0affad45-3fa5-49bc-bfad-7a1306feb51a}" id="{6b4eea9f-9e43-467c-b788-fdde8cfd0c45}" done="0">
    <x18tc:text xml:space="preserve">1 taxed</x18tc:text>
  </x18tc:threadedComment>
  <x18tc:threadedComment ref="AL18" dT="2024-11-26T08:33:55.00" personId="{0affad45-3fa5-49bc-bfad-7a1306feb51a}" id="{7740088b-329a-40d5-a922-eca29e9ae8ed}" done="0">
    <x18tc:text xml:space="preserve">Not taxed</x18tc:text>
  </x18tc:threadedComment>
  <x18tc:threadedComment ref="AL11" dT="2024-11-26T08:30:06.00" personId="{0affad45-3fa5-49bc-bfad-7a1306feb51a}" id="{bbb268d6-caed-4f5b-88f1-13fe9dc9a650}" done="0">
    <x18tc:text xml:space="preserve">1 taxed</x18tc:text>
  </x18tc:threadedComment>
  <x18tc:threadedComment ref="AJ12" dT="2024-11-26T08:30:33.00" personId="{0affad45-3fa5-49bc-bfad-7a1306feb51a}" id="{60c0c6ea-9c3c-4352-989c-ff32ef6fa38a}" done="0">
    <x18tc:text xml:space="preserve">1 taxed - double count</x18tc:text>
  </x18tc:threadedComment>
  <x18tc:threadedComment ref="AK6" dT="2024-11-26T08:27:56.00" personId="{0affad45-3fa5-49bc-bfad-7a1306feb51a}" id="{03d5c1bb-1dcd-4289-bf29-f718be6d0c7d}" done="0">
    <x18tc:text xml:space="preserve">5 taxed</x18tc:text>
  </x18tc:threadedComment>
  <x18tc:threadedComment ref="AJ6" dT="2024-12-04T09:16:27.00" personId="{0affad45-3fa5-49bc-bfad-7a1306feb51a}" id="{256203f5-5d24-4c5e-87e2-b1afa309b00d}" done="0">
    <x18tc:text xml:space="preserve">Not taxed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5" dT="2024-03-26T17:25:01.00" personId="{9ca19094-b66c-488a-8725-65357db156c3}" id="{0ea7ae62-af30-4428-8d88-f70789f93327}" done="1">
    <x18tc:text xml:space="preserve">Could be 20 more, awaiting clearance.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9.xml"/><Relationship Id="rId5" Type="http://schemas.openxmlformats.org/officeDocument/2006/relationships/vmlDrawing" Target="../drawings/vmlDrawing2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2" max="12" width="16.25"/>
  </cols>
  <sheetData>
    <row r="1">
      <c r="D1" s="1"/>
    </row>
    <row r="2">
      <c r="A2" s="2"/>
      <c r="B2" s="3">
        <v>45550.0</v>
      </c>
      <c r="C2" s="4"/>
      <c r="D2" s="5" t="str">
        <f>"Days = "&amp;(+B2-A24)</f>
        <v>Days = 77</v>
      </c>
      <c r="E2" s="5" t="str">
        <f>"Days = "&amp;(+A25-B2)</f>
        <v>Days = 15</v>
      </c>
      <c r="F2" s="4"/>
      <c r="G2" s="6">
        <v>0.7</v>
      </c>
      <c r="H2" s="4"/>
      <c r="I2" s="4"/>
      <c r="J2" s="4"/>
      <c r="K2" s="7"/>
      <c r="M2" s="8" t="s">
        <v>0</v>
      </c>
    </row>
    <row r="3">
      <c r="A3" s="9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8" t="s">
        <v>7</v>
      </c>
      <c r="I3" s="8" t="s">
        <v>8</v>
      </c>
      <c r="J3" s="8" t="s">
        <v>9</v>
      </c>
      <c r="K3" s="11" t="s">
        <v>10</v>
      </c>
      <c r="M3" s="1">
        <v>45480.0</v>
      </c>
      <c r="N3" s="1">
        <v>45487.0</v>
      </c>
      <c r="O3" s="1">
        <v>45494.0</v>
      </c>
      <c r="P3" s="1">
        <v>45501.0</v>
      </c>
      <c r="Q3" s="1">
        <v>45508.0</v>
      </c>
      <c r="R3" s="1">
        <v>45515.0</v>
      </c>
      <c r="S3" s="1">
        <v>45522.0</v>
      </c>
      <c r="T3" s="1">
        <v>45529.0</v>
      </c>
      <c r="U3" s="1">
        <v>45536.0</v>
      </c>
      <c r="V3" s="1">
        <v>45543.0</v>
      </c>
      <c r="W3" s="1">
        <v>45550.0</v>
      </c>
      <c r="X3" s="1">
        <v>45557.0</v>
      </c>
      <c r="Y3" s="1">
        <v>45564.0</v>
      </c>
      <c r="AA3" s="12" t="s">
        <v>11</v>
      </c>
      <c r="AB3" s="12" t="s">
        <v>12</v>
      </c>
    </row>
    <row r="4">
      <c r="A4" s="13"/>
      <c r="B4" s="8"/>
      <c r="K4" s="14"/>
    </row>
    <row r="5">
      <c r="A5" s="15"/>
      <c r="K5" s="14"/>
    </row>
    <row r="6">
      <c r="A6" s="16" t="s">
        <v>13</v>
      </c>
      <c r="B6" s="17">
        <v>158.0</v>
      </c>
      <c r="C6" s="12">
        <v>2.0</v>
      </c>
      <c r="D6" s="18">
        <f t="shared" ref="D6:D9" si="1">(B6-C6)/($B$2-$A$24)</f>
        <v>2.025974026</v>
      </c>
      <c r="E6" s="19">
        <f t="shared" ref="E6:E9" si="2">rounddown(D6*($A$25-$B$2),0)</f>
        <v>30</v>
      </c>
      <c r="F6" s="20">
        <f>'2024 - Q3'!Q6+'2024 - Q3'!R6</f>
        <v>173</v>
      </c>
      <c r="G6" s="20">
        <f t="shared" ref="G6:G9" si="3">F6+round(E6*$G$2,0)</f>
        <v>194</v>
      </c>
      <c r="H6" s="21">
        <f>'2024 - Q3'!B6</f>
        <v>80</v>
      </c>
      <c r="I6" s="21">
        <f t="shared" ref="I6:I9" si="4">G6+H6</f>
        <v>274</v>
      </c>
      <c r="J6" s="21">
        <f>'2024 - Q3'!T6</f>
        <v>183</v>
      </c>
      <c r="K6" s="22">
        <f t="shared" ref="K6:K9" si="5">I6-J6</f>
        <v>91</v>
      </c>
      <c r="M6" s="23">
        <v>13.0</v>
      </c>
      <c r="N6" s="23">
        <v>27.0</v>
      </c>
      <c r="O6" s="23">
        <v>30.0</v>
      </c>
      <c r="P6" s="23">
        <v>40.0</v>
      </c>
      <c r="Q6" s="23">
        <v>57.0</v>
      </c>
      <c r="R6" s="23">
        <v>65.0</v>
      </c>
      <c r="S6" s="23">
        <v>80.0</v>
      </c>
      <c r="T6" s="23">
        <v>106.0</v>
      </c>
      <c r="U6" s="23">
        <v>118.0</v>
      </c>
      <c r="V6" s="23">
        <v>147.0</v>
      </c>
      <c r="W6" s="23">
        <v>156.0</v>
      </c>
      <c r="X6" s="23"/>
      <c r="Y6" s="24"/>
      <c r="Z6" s="24"/>
      <c r="AA6" s="23">
        <v>204.0</v>
      </c>
      <c r="AB6" s="20">
        <v>183.0</v>
      </c>
      <c r="AC6" s="24"/>
      <c r="AD6" s="24"/>
      <c r="AE6" s="24"/>
    </row>
    <row r="7">
      <c r="A7" s="16" t="s">
        <v>14</v>
      </c>
      <c r="B7" s="17">
        <v>73.0</v>
      </c>
      <c r="C7" s="12">
        <v>8.0</v>
      </c>
      <c r="D7" s="18">
        <f t="shared" si="1"/>
        <v>0.8441558442</v>
      </c>
      <c r="E7" s="19">
        <f t="shared" si="2"/>
        <v>12</v>
      </c>
      <c r="F7" s="20">
        <f>'2024 - Q3'!Q7+'2024 - Q3'!R7</f>
        <v>94</v>
      </c>
      <c r="G7" s="20">
        <f t="shared" si="3"/>
        <v>102</v>
      </c>
      <c r="H7" s="21">
        <f>'2024 - Q3'!B7</f>
        <v>-20</v>
      </c>
      <c r="I7" s="21">
        <f t="shared" si="4"/>
        <v>82</v>
      </c>
      <c r="J7" s="21">
        <f>'2024 - Q3'!T7</f>
        <v>168</v>
      </c>
      <c r="K7" s="22">
        <f t="shared" si="5"/>
        <v>-86</v>
      </c>
      <c r="M7" s="23">
        <v>2.0</v>
      </c>
      <c r="N7" s="23">
        <v>8.0</v>
      </c>
      <c r="O7" s="23">
        <v>14.0</v>
      </c>
      <c r="P7" s="23">
        <v>16.0</v>
      </c>
      <c r="Q7" s="23">
        <v>25.0</v>
      </c>
      <c r="R7" s="23">
        <v>27.0</v>
      </c>
      <c r="S7" s="23">
        <v>36.0</v>
      </c>
      <c r="T7" s="23">
        <v>47.0</v>
      </c>
      <c r="U7" s="23">
        <v>54.0</v>
      </c>
      <c r="V7" s="23">
        <v>60.0</v>
      </c>
      <c r="W7" s="23">
        <v>65.0</v>
      </c>
      <c r="X7" s="23"/>
      <c r="Y7" s="24"/>
      <c r="Z7" s="24"/>
      <c r="AA7" s="23">
        <v>103.0</v>
      </c>
      <c r="AB7" s="20">
        <v>93.0</v>
      </c>
      <c r="AC7" s="24"/>
      <c r="AD7" s="24"/>
      <c r="AE7" s="24"/>
    </row>
    <row r="8">
      <c r="A8" s="16" t="s">
        <v>15</v>
      </c>
      <c r="B8" s="17">
        <v>75.0</v>
      </c>
      <c r="C8" s="12">
        <v>3.0</v>
      </c>
      <c r="D8" s="18">
        <f t="shared" si="1"/>
        <v>0.9350649351</v>
      </c>
      <c r="E8" s="19">
        <f t="shared" si="2"/>
        <v>14</v>
      </c>
      <c r="F8" s="20">
        <f>'2024 - Q3'!Q8+'2024 - Q3'!R8</f>
        <v>107</v>
      </c>
      <c r="G8" s="20">
        <f t="shared" si="3"/>
        <v>117</v>
      </c>
      <c r="H8" s="21">
        <f>'2024 - Q3'!B8</f>
        <v>17</v>
      </c>
      <c r="I8" s="21">
        <f t="shared" si="4"/>
        <v>134</v>
      </c>
      <c r="J8" s="21">
        <f>'2024 - Q3'!T8</f>
        <v>118</v>
      </c>
      <c r="K8" s="22">
        <f t="shared" si="5"/>
        <v>16</v>
      </c>
      <c r="M8" s="23">
        <v>5.0</v>
      </c>
      <c r="N8" s="23">
        <v>6.0</v>
      </c>
      <c r="O8" s="23">
        <v>9.0</v>
      </c>
      <c r="P8" s="23">
        <v>18.0</v>
      </c>
      <c r="Q8" s="23">
        <v>30.0</v>
      </c>
      <c r="R8" s="23">
        <v>48.0</v>
      </c>
      <c r="S8" s="23">
        <v>53.0</v>
      </c>
      <c r="T8" s="23">
        <v>57.0</v>
      </c>
      <c r="U8" s="23">
        <v>62.0</v>
      </c>
      <c r="V8" s="23">
        <v>65.0</v>
      </c>
      <c r="W8" s="23">
        <v>72.0</v>
      </c>
      <c r="X8" s="23"/>
      <c r="Y8" s="24"/>
      <c r="Z8" s="24"/>
      <c r="AA8" s="23">
        <v>120.0</v>
      </c>
      <c r="AB8" s="20">
        <v>111.0</v>
      </c>
      <c r="AC8" s="24"/>
      <c r="AD8" s="24"/>
      <c r="AE8" s="24"/>
    </row>
    <row r="9">
      <c r="A9" s="16" t="s">
        <v>16</v>
      </c>
      <c r="B9" s="25">
        <v>116.0</v>
      </c>
      <c r="C9" s="12">
        <v>2.0</v>
      </c>
      <c r="D9" s="18">
        <f t="shared" si="1"/>
        <v>1.480519481</v>
      </c>
      <c r="E9" s="19">
        <f t="shared" si="2"/>
        <v>22</v>
      </c>
      <c r="F9" s="20">
        <f>'2024 - Q3'!Q9+'2024 - Q3'!R9</f>
        <v>144</v>
      </c>
      <c r="G9" s="20">
        <f t="shared" si="3"/>
        <v>159</v>
      </c>
      <c r="H9" s="21">
        <f>'2024 - Q3'!B9</f>
        <v>25</v>
      </c>
      <c r="I9" s="21">
        <f t="shared" si="4"/>
        <v>184</v>
      </c>
      <c r="J9" s="21">
        <f>'2024 - Q3'!T9</f>
        <v>148</v>
      </c>
      <c r="K9" s="22">
        <f t="shared" si="5"/>
        <v>36</v>
      </c>
      <c r="M9" s="23">
        <v>6.0</v>
      </c>
      <c r="N9" s="23">
        <v>23.0</v>
      </c>
      <c r="O9" s="23">
        <v>32.0</v>
      </c>
      <c r="P9" s="23">
        <v>42.0</v>
      </c>
      <c r="Q9" s="23">
        <v>48.0</v>
      </c>
      <c r="R9" s="23">
        <v>54.0</v>
      </c>
      <c r="S9" s="23">
        <v>60.0</v>
      </c>
      <c r="T9" s="23">
        <v>67.0</v>
      </c>
      <c r="U9" s="23">
        <v>73.0</v>
      </c>
      <c r="V9" s="23">
        <v>83.0</v>
      </c>
      <c r="W9" s="23">
        <v>114.0</v>
      </c>
      <c r="X9" s="23"/>
      <c r="Y9" s="24"/>
      <c r="Z9" s="24"/>
      <c r="AA9" s="23">
        <v>150.0</v>
      </c>
      <c r="AB9" s="20">
        <v>159.0</v>
      </c>
      <c r="AC9" s="24"/>
      <c r="AD9" s="24"/>
      <c r="AE9" s="24"/>
    </row>
    <row r="10">
      <c r="A10" s="26" t="s">
        <v>17</v>
      </c>
      <c r="B10" s="27">
        <f t="shared" ref="B10:K10" si="6">sum(B6:B9)</f>
        <v>422</v>
      </c>
      <c r="C10" s="27">
        <f t="shared" si="6"/>
        <v>15</v>
      </c>
      <c r="D10" s="28">
        <f t="shared" si="6"/>
        <v>5.285714286</v>
      </c>
      <c r="E10" s="27">
        <f t="shared" si="6"/>
        <v>78</v>
      </c>
      <c r="F10" s="27">
        <f t="shared" si="6"/>
        <v>518</v>
      </c>
      <c r="G10" s="27">
        <f t="shared" si="6"/>
        <v>572</v>
      </c>
      <c r="H10" s="29">
        <f t="shared" si="6"/>
        <v>102</v>
      </c>
      <c r="I10" s="29">
        <f t="shared" si="6"/>
        <v>674</v>
      </c>
      <c r="J10" s="29">
        <f t="shared" si="6"/>
        <v>617</v>
      </c>
      <c r="K10" s="30">
        <f t="shared" si="6"/>
        <v>57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C10" s="24"/>
      <c r="AD10" s="24"/>
      <c r="AE10" s="24"/>
    </row>
    <row r="11">
      <c r="A11" s="16" t="s">
        <v>18</v>
      </c>
      <c r="B11" s="31">
        <v>126.0</v>
      </c>
      <c r="C11" s="12">
        <v>9.0</v>
      </c>
      <c r="D11" s="18">
        <f t="shared" ref="D11:D14" si="7">(B11-C11)/($B$2-$A$24)</f>
        <v>1.519480519</v>
      </c>
      <c r="E11" s="19">
        <f t="shared" ref="E11:E14" si="8">rounddown(D11*($A$25-$B$2),0)</f>
        <v>22</v>
      </c>
      <c r="F11" s="20">
        <f>'2024 - Q3'!Q11+'2024 - Q3'!R11</f>
        <v>124</v>
      </c>
      <c r="G11" s="20">
        <f t="shared" ref="G11:G14" si="9">F11+round(E11*$G$2,0)</f>
        <v>139</v>
      </c>
      <c r="H11" s="21">
        <f>'2024 - Q3'!B11</f>
        <v>31</v>
      </c>
      <c r="I11" s="21">
        <f t="shared" ref="I11:I14" si="10">G11+H11</f>
        <v>170</v>
      </c>
      <c r="J11" s="21">
        <f>'2024 - Q3'!T11</f>
        <v>139</v>
      </c>
      <c r="K11" s="22">
        <f t="shared" ref="K11:K14" si="11">I11-J11</f>
        <v>31</v>
      </c>
      <c r="M11" s="23">
        <v>6.0</v>
      </c>
      <c r="N11" s="23">
        <v>13.0</v>
      </c>
      <c r="O11" s="23">
        <v>17.0</v>
      </c>
      <c r="P11" s="23">
        <v>23.0</v>
      </c>
      <c r="Q11" s="23">
        <v>29.0</v>
      </c>
      <c r="R11" s="23">
        <v>42.0</v>
      </c>
      <c r="S11" s="23">
        <v>66.0</v>
      </c>
      <c r="T11" s="23">
        <v>77.0</v>
      </c>
      <c r="U11" s="23">
        <v>88.0</v>
      </c>
      <c r="V11" s="23">
        <v>100.0</v>
      </c>
      <c r="W11" s="23">
        <v>117.0</v>
      </c>
      <c r="X11" s="23"/>
      <c r="Y11" s="24"/>
      <c r="Z11" s="24"/>
      <c r="AA11" s="23">
        <v>148.0</v>
      </c>
      <c r="AB11" s="20">
        <v>134.0</v>
      </c>
      <c r="AC11" s="24"/>
      <c r="AD11" s="24"/>
      <c r="AE11" s="24"/>
    </row>
    <row r="12">
      <c r="A12" s="16" t="s">
        <v>19</v>
      </c>
      <c r="B12" s="31">
        <v>102.0</v>
      </c>
      <c r="C12" s="12">
        <v>8.0</v>
      </c>
      <c r="D12" s="18">
        <f t="shared" si="7"/>
        <v>1.220779221</v>
      </c>
      <c r="E12" s="19">
        <f t="shared" si="8"/>
        <v>18</v>
      </c>
      <c r="F12" s="20">
        <f>'2024 - Q3'!Q12+'2024 - Q3'!R12</f>
        <v>111</v>
      </c>
      <c r="G12" s="20">
        <f t="shared" si="9"/>
        <v>124</v>
      </c>
      <c r="H12" s="21">
        <f>'2024 - Q3'!B12</f>
        <v>20</v>
      </c>
      <c r="I12" s="21">
        <f t="shared" si="10"/>
        <v>144</v>
      </c>
      <c r="J12" s="21">
        <f>'2024 - Q3'!T12</f>
        <v>127</v>
      </c>
      <c r="K12" s="22">
        <f t="shared" si="11"/>
        <v>17</v>
      </c>
      <c r="M12" s="23">
        <v>4.0</v>
      </c>
      <c r="N12" s="23">
        <v>15.0</v>
      </c>
      <c r="O12" s="23">
        <v>16.0</v>
      </c>
      <c r="P12" s="23">
        <v>19.0</v>
      </c>
      <c r="Q12" s="23">
        <v>28.0</v>
      </c>
      <c r="R12" s="23">
        <v>31.0</v>
      </c>
      <c r="S12" s="23">
        <v>38.0</v>
      </c>
      <c r="T12" s="23">
        <v>46.0</v>
      </c>
      <c r="U12" s="23">
        <v>66.0</v>
      </c>
      <c r="V12" s="23">
        <v>87.0</v>
      </c>
      <c r="W12" s="23">
        <v>94.0</v>
      </c>
      <c r="X12" s="23"/>
      <c r="Y12" s="24"/>
      <c r="Z12" s="24"/>
      <c r="AA12" s="23">
        <v>130.0</v>
      </c>
      <c r="AB12" s="20">
        <v>119.0</v>
      </c>
      <c r="AC12" s="24"/>
      <c r="AD12" s="24"/>
      <c r="AE12" s="24"/>
    </row>
    <row r="13">
      <c r="A13" s="16" t="s">
        <v>20</v>
      </c>
      <c r="B13" s="31">
        <v>82.0</v>
      </c>
      <c r="C13" s="12">
        <v>4.0</v>
      </c>
      <c r="D13" s="18">
        <f t="shared" si="7"/>
        <v>1.012987013</v>
      </c>
      <c r="E13" s="19">
        <f t="shared" si="8"/>
        <v>15</v>
      </c>
      <c r="F13" s="20">
        <f>'2024 - Q3'!Q13+'2024 - Q3'!R13</f>
        <v>89</v>
      </c>
      <c r="G13" s="20">
        <f t="shared" si="9"/>
        <v>100</v>
      </c>
      <c r="H13" s="21">
        <f>'2024 - Q3'!B13</f>
        <v>47</v>
      </c>
      <c r="I13" s="21">
        <f t="shared" si="10"/>
        <v>147</v>
      </c>
      <c r="J13" s="21">
        <f>'2024 - Q3'!T13</f>
        <v>107</v>
      </c>
      <c r="K13" s="22">
        <f t="shared" si="11"/>
        <v>40</v>
      </c>
      <c r="M13" s="23">
        <v>2.0</v>
      </c>
      <c r="N13" s="23">
        <v>3.0</v>
      </c>
      <c r="O13" s="23">
        <v>9.0</v>
      </c>
      <c r="P13" s="23">
        <v>13.0</v>
      </c>
      <c r="Q13" s="23">
        <v>18.0</v>
      </c>
      <c r="R13" s="23">
        <v>29.0</v>
      </c>
      <c r="S13" s="23">
        <v>38.0</v>
      </c>
      <c r="T13" s="23">
        <v>46.0</v>
      </c>
      <c r="U13" s="23">
        <v>53.0</v>
      </c>
      <c r="V13" s="23">
        <v>65.0</v>
      </c>
      <c r="W13" s="23">
        <v>78.0</v>
      </c>
      <c r="X13" s="23"/>
      <c r="Y13" s="24"/>
      <c r="Z13" s="24"/>
      <c r="AA13" s="23">
        <v>104.0</v>
      </c>
      <c r="AB13" s="20">
        <v>100.0</v>
      </c>
      <c r="AC13" s="24"/>
      <c r="AD13" s="24"/>
      <c r="AE13" s="24"/>
    </row>
    <row r="14">
      <c r="A14" s="16" t="s">
        <v>21</v>
      </c>
      <c r="B14" s="31">
        <v>142.0</v>
      </c>
      <c r="C14" s="12">
        <v>4.0</v>
      </c>
      <c r="D14" s="18">
        <f t="shared" si="7"/>
        <v>1.792207792</v>
      </c>
      <c r="E14" s="19">
        <f t="shared" si="8"/>
        <v>26</v>
      </c>
      <c r="F14" s="20">
        <f>'2024 - Q3'!Q14+'2024 - Q3'!R14</f>
        <v>178</v>
      </c>
      <c r="G14" s="20">
        <f t="shared" si="9"/>
        <v>196</v>
      </c>
      <c r="H14" s="21">
        <f>'2024 - Q3'!B14</f>
        <v>9</v>
      </c>
      <c r="I14" s="21">
        <f t="shared" si="10"/>
        <v>205</v>
      </c>
      <c r="J14" s="21">
        <f>'2024 - Q3'!T14</f>
        <v>186</v>
      </c>
      <c r="K14" s="22">
        <f t="shared" si="11"/>
        <v>19</v>
      </c>
      <c r="M14" s="23">
        <v>14.0</v>
      </c>
      <c r="N14" s="23">
        <v>18.0</v>
      </c>
      <c r="O14" s="23">
        <v>25.0</v>
      </c>
      <c r="P14" s="23">
        <v>35.0</v>
      </c>
      <c r="Q14" s="23">
        <v>40.0</v>
      </c>
      <c r="R14" s="23">
        <v>58.0</v>
      </c>
      <c r="S14" s="23">
        <v>70.0</v>
      </c>
      <c r="T14" s="23">
        <v>81.0</v>
      </c>
      <c r="U14" s="23">
        <v>91.0</v>
      </c>
      <c r="V14" s="23">
        <v>103.0</v>
      </c>
      <c r="W14" s="23">
        <v>138.0</v>
      </c>
      <c r="X14" s="23"/>
      <c r="Y14" s="24"/>
      <c r="Z14" s="24"/>
      <c r="AA14" s="23">
        <v>175.0</v>
      </c>
      <c r="AB14" s="20">
        <v>183.0</v>
      </c>
      <c r="AC14" s="24"/>
      <c r="AD14" s="24"/>
      <c r="AE14" s="24"/>
    </row>
    <row r="15">
      <c r="A15" s="26" t="s">
        <v>22</v>
      </c>
      <c r="B15" s="27">
        <f t="shared" ref="B15:K15" si="12">sum(B11:B14)</f>
        <v>452</v>
      </c>
      <c r="C15" s="27">
        <f t="shared" si="12"/>
        <v>25</v>
      </c>
      <c r="D15" s="28">
        <f t="shared" si="12"/>
        <v>5.545454545</v>
      </c>
      <c r="E15" s="27">
        <f t="shared" si="12"/>
        <v>81</v>
      </c>
      <c r="F15" s="27">
        <f t="shared" si="12"/>
        <v>502</v>
      </c>
      <c r="G15" s="27">
        <f t="shared" si="12"/>
        <v>559</v>
      </c>
      <c r="H15" s="29">
        <f t="shared" si="12"/>
        <v>107</v>
      </c>
      <c r="I15" s="29">
        <f t="shared" si="12"/>
        <v>666</v>
      </c>
      <c r="J15" s="29">
        <f t="shared" si="12"/>
        <v>559</v>
      </c>
      <c r="K15" s="30">
        <f t="shared" si="12"/>
        <v>107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C15" s="24"/>
      <c r="AD15" s="24"/>
      <c r="AE15" s="24"/>
    </row>
    <row r="16">
      <c r="A16" s="16" t="s">
        <v>23</v>
      </c>
      <c r="B16" s="31">
        <v>105.0</v>
      </c>
      <c r="C16" s="12">
        <v>1.0</v>
      </c>
      <c r="D16" s="18">
        <f t="shared" ref="D16:D18" si="13">(B16-C16)/($B$2-$A$24)</f>
        <v>1.350649351</v>
      </c>
      <c r="E16" s="19">
        <f t="shared" ref="E16:E18" si="14">rounddown(D16*($A$25-$B$2),0)</f>
        <v>20</v>
      </c>
      <c r="F16" s="20">
        <f>'2024 - Q3'!Q16+'2024 - Q3'!R16</f>
        <v>118</v>
      </c>
      <c r="G16" s="20">
        <f t="shared" ref="G16:G18" si="15">F16+round(E16*$G$2,0)</f>
        <v>132</v>
      </c>
      <c r="H16" s="21">
        <f>'2024 - Q3'!B16</f>
        <v>20</v>
      </c>
      <c r="I16" s="21">
        <f t="shared" ref="I16:I18" si="16">G16+H16</f>
        <v>152</v>
      </c>
      <c r="J16" s="21">
        <f>'2024 - Q3'!T16</f>
        <v>126</v>
      </c>
      <c r="K16" s="22">
        <f t="shared" ref="K16:K18" si="17">I16-J16</f>
        <v>26</v>
      </c>
      <c r="M16" s="23">
        <v>1.0</v>
      </c>
      <c r="N16" s="23">
        <v>6.0</v>
      </c>
      <c r="O16" s="23">
        <v>8.0</v>
      </c>
      <c r="P16" s="23">
        <v>20.0</v>
      </c>
      <c r="Q16" s="23">
        <v>30.0</v>
      </c>
      <c r="R16" s="23">
        <v>35.0</v>
      </c>
      <c r="S16" s="23">
        <v>44.0</v>
      </c>
      <c r="T16" s="23">
        <v>53.0</v>
      </c>
      <c r="U16" s="23">
        <v>67.0</v>
      </c>
      <c r="V16" s="23">
        <v>72.0</v>
      </c>
      <c r="W16" s="23">
        <v>104.0</v>
      </c>
      <c r="X16" s="23"/>
      <c r="Y16" s="24"/>
      <c r="Z16" s="24"/>
      <c r="AA16" s="23">
        <v>112.0</v>
      </c>
      <c r="AB16" s="20">
        <v>126.0</v>
      </c>
      <c r="AC16" s="24"/>
      <c r="AD16" s="24"/>
      <c r="AE16" s="24"/>
    </row>
    <row r="17">
      <c r="A17" s="16" t="s">
        <v>24</v>
      </c>
      <c r="B17" s="31">
        <v>104.0</v>
      </c>
      <c r="C17" s="12">
        <v>2.0</v>
      </c>
      <c r="D17" s="18">
        <f t="shared" si="13"/>
        <v>1.324675325</v>
      </c>
      <c r="E17" s="19">
        <f t="shared" si="14"/>
        <v>19</v>
      </c>
      <c r="F17" s="20">
        <f>'2024 - Q3'!Q17+'2024 - Q3'!R17</f>
        <v>134</v>
      </c>
      <c r="G17" s="20">
        <f t="shared" si="15"/>
        <v>147</v>
      </c>
      <c r="H17" s="21">
        <f>'2024 - Q3'!B17</f>
        <v>0</v>
      </c>
      <c r="I17" s="21">
        <f t="shared" si="16"/>
        <v>147</v>
      </c>
      <c r="J17" s="21">
        <f>'2024 - Q3'!T17</f>
        <v>149</v>
      </c>
      <c r="K17" s="22">
        <f t="shared" si="17"/>
        <v>-2</v>
      </c>
      <c r="M17" s="23">
        <v>5.0</v>
      </c>
      <c r="N17" s="23">
        <v>11.0</v>
      </c>
      <c r="O17" s="23">
        <v>18.0</v>
      </c>
      <c r="P17" s="23">
        <v>22.0</v>
      </c>
      <c r="Q17" s="23">
        <v>28.0</v>
      </c>
      <c r="R17" s="23">
        <v>42.0</v>
      </c>
      <c r="S17" s="23">
        <v>54.0</v>
      </c>
      <c r="T17" s="23">
        <v>59.0</v>
      </c>
      <c r="U17" s="23">
        <v>71.0</v>
      </c>
      <c r="V17" s="23">
        <v>79.0</v>
      </c>
      <c r="W17" s="23">
        <v>102.0</v>
      </c>
      <c r="X17" s="23"/>
      <c r="Y17" s="24"/>
      <c r="Z17" s="24"/>
      <c r="AA17" s="23">
        <v>140.0</v>
      </c>
      <c r="AB17" s="20">
        <v>136.0</v>
      </c>
      <c r="AC17" s="24"/>
      <c r="AD17" s="24"/>
      <c r="AE17" s="24"/>
    </row>
    <row r="18">
      <c r="A18" s="16" t="s">
        <v>25</v>
      </c>
      <c r="B18" s="31">
        <v>41.0</v>
      </c>
      <c r="C18" s="12">
        <v>2.0</v>
      </c>
      <c r="D18" s="18">
        <f t="shared" si="13"/>
        <v>0.5064935065</v>
      </c>
      <c r="E18" s="19">
        <f t="shared" si="14"/>
        <v>7</v>
      </c>
      <c r="F18" s="20">
        <f>'2024 - Q3'!Q18+'2024 - Q3'!R18</f>
        <v>45</v>
      </c>
      <c r="G18" s="20">
        <f t="shared" si="15"/>
        <v>50</v>
      </c>
      <c r="H18" s="21">
        <f>'2024 - Q3'!B18</f>
        <v>14</v>
      </c>
      <c r="I18" s="21">
        <f t="shared" si="16"/>
        <v>64</v>
      </c>
      <c r="J18" s="21">
        <f>'2024 - Q3'!T18</f>
        <v>55</v>
      </c>
      <c r="K18" s="22">
        <f t="shared" si="17"/>
        <v>9</v>
      </c>
      <c r="M18" s="23">
        <v>3.0</v>
      </c>
      <c r="N18" s="23">
        <v>4.0</v>
      </c>
      <c r="O18" s="23">
        <v>5.0</v>
      </c>
      <c r="P18" s="23">
        <v>8.0</v>
      </c>
      <c r="Q18" s="23">
        <v>14.0</v>
      </c>
      <c r="R18" s="23">
        <v>16.0</v>
      </c>
      <c r="S18" s="23">
        <v>17.0</v>
      </c>
      <c r="T18" s="23">
        <v>19.0</v>
      </c>
      <c r="U18" s="23">
        <v>26.0</v>
      </c>
      <c r="V18" s="23">
        <v>31.0</v>
      </c>
      <c r="W18" s="23">
        <v>39.0</v>
      </c>
      <c r="X18" s="23"/>
      <c r="Y18" s="24"/>
      <c r="Z18" s="24"/>
      <c r="AA18" s="23">
        <v>51.0</v>
      </c>
      <c r="AB18" s="20">
        <v>52.0</v>
      </c>
      <c r="AC18" s="24"/>
      <c r="AD18" s="24"/>
      <c r="AE18" s="24"/>
    </row>
    <row r="19">
      <c r="A19" s="26" t="s">
        <v>26</v>
      </c>
      <c r="B19" s="27">
        <f t="shared" ref="B19:K19" si="18">sum(B16:B18)</f>
        <v>250</v>
      </c>
      <c r="C19" s="27">
        <f t="shared" si="18"/>
        <v>5</v>
      </c>
      <c r="D19" s="28">
        <f t="shared" si="18"/>
        <v>3.181818182</v>
      </c>
      <c r="E19" s="27">
        <f t="shared" si="18"/>
        <v>46</v>
      </c>
      <c r="F19" s="27">
        <f t="shared" si="18"/>
        <v>297</v>
      </c>
      <c r="G19" s="27">
        <f t="shared" si="18"/>
        <v>329</v>
      </c>
      <c r="H19" s="29">
        <f t="shared" si="18"/>
        <v>34</v>
      </c>
      <c r="I19" s="29">
        <f t="shared" si="18"/>
        <v>363</v>
      </c>
      <c r="J19" s="29">
        <f t="shared" si="18"/>
        <v>330</v>
      </c>
      <c r="K19" s="30">
        <f t="shared" si="18"/>
        <v>33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C19" s="24"/>
      <c r="AD19" s="24"/>
      <c r="AE19" s="24"/>
    </row>
    <row r="20">
      <c r="A20" s="26"/>
      <c r="B20" s="32"/>
      <c r="K20" s="1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>
      <c r="A21" s="33"/>
      <c r="B21" s="32"/>
      <c r="K21" s="1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>
      <c r="A22" s="34" t="s">
        <v>8</v>
      </c>
      <c r="B22" s="35">
        <f t="shared" ref="B22:K22" si="19">B19+B15+B10</f>
        <v>1124</v>
      </c>
      <c r="C22" s="35">
        <f t="shared" si="19"/>
        <v>45</v>
      </c>
      <c r="D22" s="36">
        <f t="shared" si="19"/>
        <v>14.01298701</v>
      </c>
      <c r="E22" s="35">
        <f t="shared" si="19"/>
        <v>205</v>
      </c>
      <c r="F22" s="35">
        <f t="shared" si="19"/>
        <v>1317</v>
      </c>
      <c r="G22" s="35">
        <f t="shared" si="19"/>
        <v>1460</v>
      </c>
      <c r="H22" s="35">
        <f t="shared" si="19"/>
        <v>243</v>
      </c>
      <c r="I22" s="35">
        <f t="shared" si="19"/>
        <v>1703</v>
      </c>
      <c r="J22" s="35">
        <f t="shared" si="19"/>
        <v>1506</v>
      </c>
      <c r="K22" s="37">
        <f t="shared" si="19"/>
        <v>197</v>
      </c>
      <c r="M22" s="38">
        <f t="shared" ref="M22:Y22" si="20">sum(M6:M21)</f>
        <v>61</v>
      </c>
      <c r="N22" s="38">
        <f t="shared" si="20"/>
        <v>134</v>
      </c>
      <c r="O22" s="38">
        <f t="shared" si="20"/>
        <v>183</v>
      </c>
      <c r="P22" s="38">
        <f t="shared" si="20"/>
        <v>256</v>
      </c>
      <c r="Q22" s="38">
        <f t="shared" si="20"/>
        <v>347</v>
      </c>
      <c r="R22" s="38">
        <f t="shared" si="20"/>
        <v>447</v>
      </c>
      <c r="S22" s="38">
        <f t="shared" si="20"/>
        <v>556</v>
      </c>
      <c r="T22" s="38">
        <f t="shared" si="20"/>
        <v>658</v>
      </c>
      <c r="U22" s="38">
        <f t="shared" si="20"/>
        <v>769</v>
      </c>
      <c r="V22" s="38">
        <f t="shared" si="20"/>
        <v>892</v>
      </c>
      <c r="W22" s="38">
        <f t="shared" si="20"/>
        <v>1079</v>
      </c>
      <c r="X22" s="38">
        <f t="shared" si="20"/>
        <v>0</v>
      </c>
      <c r="Y22" s="38">
        <f t="shared" si="20"/>
        <v>0</v>
      </c>
      <c r="Z22" s="24"/>
      <c r="AA22" s="39">
        <f t="shared" ref="AA22:AB22" si="21">sum(AA6:AA21)</f>
        <v>1437</v>
      </c>
      <c r="AB22" s="39">
        <f t="shared" si="21"/>
        <v>1396</v>
      </c>
      <c r="AC22" s="24"/>
      <c r="AD22" s="24"/>
      <c r="AE22" s="24"/>
    </row>
    <row r="23"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>
      <c r="A24" s="40">
        <v>45473.0</v>
      </c>
      <c r="C24" s="41">
        <f>B22-C22</f>
        <v>1079</v>
      </c>
      <c r="L24" s="8" t="s">
        <v>27</v>
      </c>
      <c r="M24" s="42">
        <f>M22</f>
        <v>61</v>
      </c>
      <c r="N24" s="42">
        <f t="shared" ref="N24:Y24" si="22">N22-M22</f>
        <v>73</v>
      </c>
      <c r="O24" s="42">
        <f t="shared" si="22"/>
        <v>49</v>
      </c>
      <c r="P24" s="42">
        <f t="shared" si="22"/>
        <v>73</v>
      </c>
      <c r="Q24" s="42">
        <f t="shared" si="22"/>
        <v>91</v>
      </c>
      <c r="R24" s="42">
        <f t="shared" si="22"/>
        <v>100</v>
      </c>
      <c r="S24" s="42">
        <f t="shared" si="22"/>
        <v>109</v>
      </c>
      <c r="T24" s="42">
        <f t="shared" si="22"/>
        <v>102</v>
      </c>
      <c r="U24" s="42">
        <f t="shared" si="22"/>
        <v>111</v>
      </c>
      <c r="V24" s="42">
        <f t="shared" si="22"/>
        <v>123</v>
      </c>
      <c r="W24" s="42">
        <f t="shared" si="22"/>
        <v>187</v>
      </c>
      <c r="X24" s="42">
        <f t="shared" si="22"/>
        <v>-1079</v>
      </c>
      <c r="Y24" s="42">
        <f t="shared" si="22"/>
        <v>0</v>
      </c>
      <c r="Z24" s="24"/>
      <c r="AA24" s="24"/>
      <c r="AB24" s="24"/>
      <c r="AC24" s="24"/>
      <c r="AD24" s="24"/>
      <c r="AE24" s="24"/>
    </row>
    <row r="25">
      <c r="A25" s="40">
        <v>45565.0</v>
      </c>
      <c r="C25" s="40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24"/>
      <c r="AA27" s="24"/>
      <c r="AB27" s="24"/>
      <c r="AC27" s="24"/>
      <c r="AD27" s="24"/>
      <c r="AE27" s="24"/>
    </row>
    <row r="28"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>
      <c r="A29" s="43"/>
      <c r="M29" s="24"/>
      <c r="N29" s="40"/>
      <c r="O29" s="40"/>
      <c r="P29" s="40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>
      <c r="A30" s="43"/>
      <c r="C30" s="4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3">
      <c r="B33" s="4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9.0"/>
    <col customWidth="1" min="3" max="3" width="8.63"/>
    <col customWidth="1" min="4" max="4" width="7.13"/>
    <col customWidth="1" min="5" max="7" width="8.13"/>
    <col customWidth="1" min="8" max="8" width="8.63"/>
    <col customWidth="1" min="9" max="9" width="7.88"/>
    <col customWidth="1" min="10" max="10" width="11.0"/>
    <col customWidth="1" min="11" max="11" width="8.5"/>
    <col customWidth="1" min="12" max="13" width="9.38"/>
    <col customWidth="1" min="14" max="14" width="8.63"/>
    <col customWidth="1" min="15" max="15" width="7.88"/>
    <col customWidth="1" min="16" max="16" width="9.25"/>
    <col customWidth="1" min="17" max="17" width="9.88"/>
    <col customWidth="1" min="18" max="18" width="9.38"/>
    <col customWidth="1" min="19" max="19" width="7.13"/>
    <col customWidth="1" min="20" max="20" width="10.13"/>
    <col customWidth="1" min="21" max="21" width="9.0"/>
    <col customWidth="1" min="22" max="22" width="11.38"/>
    <col customWidth="1" min="23" max="23" width="5.88"/>
    <col customWidth="1" min="24" max="24" width="7.13"/>
    <col customWidth="1" min="25" max="26" width="9.88"/>
    <col customWidth="1" min="27" max="27" width="7.75"/>
    <col customWidth="1" min="29" max="29" width="7.63"/>
    <col customWidth="1" min="30" max="30" width="4.5"/>
    <col customWidth="1" min="32" max="34" width="8.75"/>
    <col customWidth="1" min="35" max="35" width="10.5"/>
    <col customWidth="1" min="36" max="50" width="8.75"/>
  </cols>
  <sheetData>
    <row r="1">
      <c r="A1" s="45" t="s">
        <v>28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7"/>
      <c r="X1" s="48"/>
      <c r="Y1" s="49"/>
      <c r="Z1" s="48"/>
      <c r="AA1" s="50"/>
      <c r="AB1" s="49"/>
      <c r="AC1" s="51" t="s">
        <v>29</v>
      </c>
      <c r="AD1" s="52" t="s">
        <v>30</v>
      </c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</row>
    <row r="2">
      <c r="A2" s="48"/>
      <c r="B2" s="54" t="s">
        <v>31</v>
      </c>
      <c r="C2" s="46"/>
      <c r="D2" s="46"/>
      <c r="E2" s="46"/>
      <c r="F2" s="50"/>
      <c r="G2" s="50"/>
      <c r="H2" s="55" t="s">
        <v>32</v>
      </c>
      <c r="I2" s="46"/>
      <c r="J2" s="46"/>
      <c r="K2" s="46"/>
      <c r="L2" s="46"/>
      <c r="M2" s="50"/>
      <c r="N2" s="55" t="s">
        <v>33</v>
      </c>
      <c r="O2" s="46"/>
      <c r="P2" s="46"/>
      <c r="Q2" s="46"/>
      <c r="R2" s="46"/>
      <c r="S2" s="50"/>
      <c r="T2" s="55" t="s">
        <v>8</v>
      </c>
      <c r="U2" s="46"/>
      <c r="V2" s="46"/>
      <c r="W2" s="46"/>
      <c r="X2" s="50"/>
      <c r="Y2" s="50"/>
      <c r="Z2" s="50"/>
      <c r="AA2" s="50"/>
      <c r="AB2" s="56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</row>
    <row r="3">
      <c r="A3" s="57"/>
      <c r="B3" s="58" t="s">
        <v>34</v>
      </c>
      <c r="C3" s="58" t="s">
        <v>35</v>
      </c>
      <c r="D3" s="58" t="s">
        <v>36</v>
      </c>
      <c r="E3" s="58" t="s">
        <v>37</v>
      </c>
      <c r="F3" s="58" t="s">
        <v>38</v>
      </c>
      <c r="G3" s="59"/>
      <c r="H3" s="58" t="s">
        <v>34</v>
      </c>
      <c r="I3" s="58" t="s">
        <v>35</v>
      </c>
      <c r="J3" s="58" t="s">
        <v>36</v>
      </c>
      <c r="K3" s="58" t="s">
        <v>37</v>
      </c>
      <c r="L3" s="58" t="s">
        <v>38</v>
      </c>
      <c r="M3" s="53"/>
      <c r="N3" s="58" t="s">
        <v>34</v>
      </c>
      <c r="O3" s="58" t="s">
        <v>35</v>
      </c>
      <c r="P3" s="58" t="s">
        <v>36</v>
      </c>
      <c r="Q3" s="58" t="s">
        <v>37</v>
      </c>
      <c r="R3" s="58" t="s">
        <v>38</v>
      </c>
      <c r="S3" s="53"/>
      <c r="T3" s="58" t="s">
        <v>34</v>
      </c>
      <c r="U3" s="58" t="s">
        <v>36</v>
      </c>
      <c r="V3" s="58" t="s">
        <v>37</v>
      </c>
      <c r="W3" s="58" t="s">
        <v>38</v>
      </c>
      <c r="X3" s="58" t="s">
        <v>39</v>
      </c>
      <c r="Y3" s="51" t="s">
        <v>40</v>
      </c>
      <c r="Z3" s="51" t="s">
        <v>41</v>
      </c>
      <c r="AA3" s="51" t="s">
        <v>9</v>
      </c>
      <c r="AB3" s="60" t="s">
        <v>42</v>
      </c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</row>
    <row r="4">
      <c r="A4" s="57" t="s">
        <v>14</v>
      </c>
      <c r="B4" s="61">
        <v>32.0</v>
      </c>
      <c r="C4" s="53"/>
      <c r="D4" s="53"/>
      <c r="E4" s="62">
        <f t="shared" ref="E4:E7" si="2">SUM(B4:D4)</f>
        <v>32</v>
      </c>
      <c r="F4" s="63">
        <v>24.0</v>
      </c>
      <c r="G4" s="64">
        <f t="shared" ref="G4:G17" si="3">E4/F4</f>
        <v>1.333333333</v>
      </c>
      <c r="H4" s="61">
        <v>7.0</v>
      </c>
      <c r="I4" s="53"/>
      <c r="J4" s="53"/>
      <c r="K4" s="62">
        <f t="shared" ref="K4:K7" si="4">SUM(H4:J4)</f>
        <v>7</v>
      </c>
      <c r="L4" s="63">
        <v>12.0</v>
      </c>
      <c r="M4" s="64">
        <f t="shared" ref="M4:M17" si="5">K4/L4</f>
        <v>0.5833333333</v>
      </c>
      <c r="N4" s="61">
        <v>21.0</v>
      </c>
      <c r="O4" s="53"/>
      <c r="P4" s="53"/>
      <c r="Q4" s="62">
        <f t="shared" ref="Q4:Q7" si="6">SUM(N4:P4)</f>
        <v>21</v>
      </c>
      <c r="R4" s="63">
        <v>69.0</v>
      </c>
      <c r="S4" s="64">
        <f t="shared" ref="S4:S17" si="7">Q4/R4</f>
        <v>0.3043478261</v>
      </c>
      <c r="T4" s="61">
        <f t="shared" ref="T4:T7" si="8">N4+H4+B4+O4+I4</f>
        <v>60</v>
      </c>
      <c r="U4" s="61">
        <f t="shared" ref="U4:U7" si="9">P4+J4+D4</f>
        <v>0</v>
      </c>
      <c r="V4" s="62">
        <f t="shared" ref="V4:V7" si="10">sum(T4:U4)</f>
        <v>60</v>
      </c>
      <c r="W4" s="63">
        <f t="shared" ref="W4:W7" si="11">F4+L4+R4</f>
        <v>105</v>
      </c>
      <c r="X4" s="65">
        <f t="shared" ref="X4:X7" si="12">W4-V4</f>
        <v>45</v>
      </c>
      <c r="Y4" s="61">
        <f t="shared" ref="Y4:Y7" si="13">round(X4/$Y$24*7,0)</f>
        <v>4</v>
      </c>
      <c r="Z4" s="61">
        <f t="shared" ref="Z4:AA4" si="1">V4</f>
        <v>60</v>
      </c>
      <c r="AA4" s="61">
        <f t="shared" si="1"/>
        <v>105</v>
      </c>
      <c r="AB4" s="66">
        <f t="shared" ref="AB4:AB17" si="15">Z4/AA4</f>
        <v>0.5714285714</v>
      </c>
      <c r="AC4" s="67">
        <v>46216.0</v>
      </c>
      <c r="AD4" s="68" t="s">
        <v>43</v>
      </c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</row>
    <row r="5">
      <c r="A5" s="57" t="s">
        <v>15</v>
      </c>
      <c r="B5" s="61">
        <v>16.0</v>
      </c>
      <c r="C5" s="53"/>
      <c r="D5" s="53"/>
      <c r="E5" s="62">
        <f t="shared" si="2"/>
        <v>16</v>
      </c>
      <c r="F5" s="63">
        <v>19.0</v>
      </c>
      <c r="G5" s="64">
        <f t="shared" si="3"/>
        <v>0.8421052632</v>
      </c>
      <c r="H5" s="61">
        <v>2.0</v>
      </c>
      <c r="I5" s="53"/>
      <c r="J5" s="53"/>
      <c r="K5" s="62">
        <f t="shared" si="4"/>
        <v>2</v>
      </c>
      <c r="L5" s="63">
        <v>11.0</v>
      </c>
      <c r="M5" s="64">
        <f t="shared" si="5"/>
        <v>0.1818181818</v>
      </c>
      <c r="N5" s="61">
        <v>18.0</v>
      </c>
      <c r="O5" s="53"/>
      <c r="P5" s="53"/>
      <c r="Q5" s="62">
        <f t="shared" si="6"/>
        <v>18</v>
      </c>
      <c r="R5" s="63">
        <v>47.0</v>
      </c>
      <c r="S5" s="64">
        <f t="shared" si="7"/>
        <v>0.3829787234</v>
      </c>
      <c r="T5" s="61">
        <f t="shared" si="8"/>
        <v>36</v>
      </c>
      <c r="U5" s="61">
        <f t="shared" si="9"/>
        <v>0</v>
      </c>
      <c r="V5" s="62">
        <f t="shared" si="10"/>
        <v>36</v>
      </c>
      <c r="W5" s="63">
        <f t="shared" si="11"/>
        <v>77</v>
      </c>
      <c r="X5" s="65">
        <f t="shared" si="12"/>
        <v>41</v>
      </c>
      <c r="Y5" s="61">
        <f t="shared" si="13"/>
        <v>4</v>
      </c>
      <c r="Z5" s="61">
        <f t="shared" ref="Z5:AA5" si="14">V5</f>
        <v>36</v>
      </c>
      <c r="AA5" s="61">
        <f t="shared" si="14"/>
        <v>77</v>
      </c>
      <c r="AB5" s="66">
        <f t="shared" si="15"/>
        <v>0.4675324675</v>
      </c>
      <c r="AC5" s="67">
        <v>46215.0</v>
      </c>
      <c r="AD5" s="68" t="s">
        <v>44</v>
      </c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</row>
    <row r="6">
      <c r="A6" s="57" t="s">
        <v>16</v>
      </c>
      <c r="B6" s="61">
        <v>24.0</v>
      </c>
      <c r="C6" s="53"/>
      <c r="D6" s="53"/>
      <c r="E6" s="62">
        <f t="shared" si="2"/>
        <v>24</v>
      </c>
      <c r="F6" s="63">
        <v>19.0</v>
      </c>
      <c r="G6" s="64">
        <f t="shared" si="3"/>
        <v>1.263157895</v>
      </c>
      <c r="H6" s="61">
        <v>6.0</v>
      </c>
      <c r="I6" s="53"/>
      <c r="J6" s="53"/>
      <c r="K6" s="62">
        <f t="shared" si="4"/>
        <v>6</v>
      </c>
      <c r="L6" s="63">
        <v>11.0</v>
      </c>
      <c r="M6" s="64">
        <f t="shared" si="5"/>
        <v>0.5454545455</v>
      </c>
      <c r="N6" s="61">
        <v>23.0</v>
      </c>
      <c r="O6" s="53"/>
      <c r="P6" s="53"/>
      <c r="Q6" s="62">
        <f t="shared" si="6"/>
        <v>23</v>
      </c>
      <c r="R6" s="63">
        <v>55.0</v>
      </c>
      <c r="S6" s="64">
        <f t="shared" si="7"/>
        <v>0.4181818182</v>
      </c>
      <c r="T6" s="61">
        <f t="shared" si="8"/>
        <v>53</v>
      </c>
      <c r="U6" s="61">
        <f t="shared" si="9"/>
        <v>0</v>
      </c>
      <c r="V6" s="62">
        <f t="shared" si="10"/>
        <v>53</v>
      </c>
      <c r="W6" s="63">
        <f t="shared" si="11"/>
        <v>85</v>
      </c>
      <c r="X6" s="65">
        <f t="shared" si="12"/>
        <v>32</v>
      </c>
      <c r="Y6" s="61">
        <f t="shared" si="13"/>
        <v>3</v>
      </c>
      <c r="Z6" s="61">
        <f t="shared" ref="Z6:AA6" si="16">V6</f>
        <v>53</v>
      </c>
      <c r="AA6" s="61">
        <f t="shared" si="16"/>
        <v>85</v>
      </c>
      <c r="AB6" s="66">
        <f t="shared" si="15"/>
        <v>0.6235294118</v>
      </c>
      <c r="AC6" s="67">
        <v>46216.0</v>
      </c>
      <c r="AD6" s="68" t="s">
        <v>45</v>
      </c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</row>
    <row r="7">
      <c r="A7" s="57" t="s">
        <v>46</v>
      </c>
      <c r="B7" s="69">
        <v>29.0</v>
      </c>
      <c r="C7" s="53"/>
      <c r="D7" s="69">
        <v>2.0</v>
      </c>
      <c r="E7" s="62">
        <f t="shared" si="2"/>
        <v>31</v>
      </c>
      <c r="F7" s="63">
        <v>32.0</v>
      </c>
      <c r="G7" s="64">
        <f t="shared" si="3"/>
        <v>0.96875</v>
      </c>
      <c r="H7" s="61">
        <v>4.0</v>
      </c>
      <c r="I7" s="53"/>
      <c r="J7" s="53"/>
      <c r="K7" s="62">
        <f t="shared" si="4"/>
        <v>4</v>
      </c>
      <c r="L7" s="63">
        <v>18.0</v>
      </c>
      <c r="M7" s="64">
        <f t="shared" si="5"/>
        <v>0.2222222222</v>
      </c>
      <c r="N7" s="61">
        <v>13.0</v>
      </c>
      <c r="O7" s="53"/>
      <c r="P7" s="53"/>
      <c r="Q7" s="62">
        <f t="shared" si="6"/>
        <v>13</v>
      </c>
      <c r="R7" s="63">
        <v>90.0</v>
      </c>
      <c r="S7" s="64">
        <f t="shared" si="7"/>
        <v>0.1444444444</v>
      </c>
      <c r="T7" s="61">
        <f t="shared" si="8"/>
        <v>46</v>
      </c>
      <c r="U7" s="61">
        <f t="shared" si="9"/>
        <v>2</v>
      </c>
      <c r="V7" s="62">
        <f t="shared" si="10"/>
        <v>48</v>
      </c>
      <c r="W7" s="63">
        <f t="shared" si="11"/>
        <v>140</v>
      </c>
      <c r="X7" s="65">
        <f t="shared" si="12"/>
        <v>92</v>
      </c>
      <c r="Y7" s="61">
        <f t="shared" si="13"/>
        <v>8</v>
      </c>
      <c r="Z7" s="61">
        <f t="shared" ref="Z7:AA7" si="17">V7</f>
        <v>48</v>
      </c>
      <c r="AA7" s="61">
        <f t="shared" si="17"/>
        <v>140</v>
      </c>
      <c r="AB7" s="66">
        <f t="shared" si="15"/>
        <v>0.3428571429</v>
      </c>
      <c r="AC7" s="67">
        <v>46216.0</v>
      </c>
      <c r="AD7" s="68" t="s">
        <v>47</v>
      </c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</row>
    <row r="8">
      <c r="A8" s="70" t="s">
        <v>17</v>
      </c>
      <c r="B8" s="71">
        <f t="shared" ref="B8:F8" si="18">sum(B4:B7)</f>
        <v>101</v>
      </c>
      <c r="C8" s="71">
        <f t="shared" si="18"/>
        <v>0</v>
      </c>
      <c r="D8" s="71">
        <f t="shared" si="18"/>
        <v>2</v>
      </c>
      <c r="E8" s="71">
        <f t="shared" si="18"/>
        <v>103</v>
      </c>
      <c r="F8" s="71">
        <f t="shared" si="18"/>
        <v>94</v>
      </c>
      <c r="G8" s="72">
        <f t="shared" si="3"/>
        <v>1.095744681</v>
      </c>
      <c r="H8" s="71">
        <f>sum(H3:H7)</f>
        <v>19</v>
      </c>
      <c r="I8" s="71">
        <f t="shared" ref="I8:L8" si="19">sum(I4:I7)</f>
        <v>0</v>
      </c>
      <c r="J8" s="71">
        <f t="shared" si="19"/>
        <v>0</v>
      </c>
      <c r="K8" s="71">
        <f t="shared" si="19"/>
        <v>19</v>
      </c>
      <c r="L8" s="71">
        <f t="shared" si="19"/>
        <v>52</v>
      </c>
      <c r="M8" s="72">
        <f t="shared" si="5"/>
        <v>0.3653846154</v>
      </c>
      <c r="N8" s="71">
        <f t="shared" ref="N8:R8" si="20">sum(N4:N7)</f>
        <v>75</v>
      </c>
      <c r="O8" s="71">
        <f t="shared" si="20"/>
        <v>0</v>
      </c>
      <c r="P8" s="71">
        <f t="shared" si="20"/>
        <v>0</v>
      </c>
      <c r="Q8" s="71">
        <f t="shared" si="20"/>
        <v>75</v>
      </c>
      <c r="R8" s="71">
        <f t="shared" si="20"/>
        <v>261</v>
      </c>
      <c r="S8" s="72">
        <f t="shared" si="7"/>
        <v>0.2873563218</v>
      </c>
      <c r="T8" s="71">
        <f t="shared" ref="T8:X8" si="21">sum(T4:T7)</f>
        <v>195</v>
      </c>
      <c r="U8" s="71">
        <f t="shared" si="21"/>
        <v>2</v>
      </c>
      <c r="V8" s="71">
        <f t="shared" si="21"/>
        <v>197</v>
      </c>
      <c r="W8" s="71">
        <f t="shared" si="21"/>
        <v>407</v>
      </c>
      <c r="X8" s="71">
        <f t="shared" si="21"/>
        <v>210</v>
      </c>
      <c r="Y8" s="71">
        <f>round(X8/Y24*7,0)</f>
        <v>19</v>
      </c>
      <c r="Z8" s="71">
        <f t="shared" ref="Z8:AA8" si="22">sum(Z4:Z7)</f>
        <v>197</v>
      </c>
      <c r="AA8" s="71">
        <f t="shared" si="22"/>
        <v>407</v>
      </c>
      <c r="AB8" s="66">
        <f t="shared" si="15"/>
        <v>0.484029484</v>
      </c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</row>
    <row r="9">
      <c r="A9" s="16" t="s">
        <v>20</v>
      </c>
      <c r="B9" s="73">
        <v>20.0</v>
      </c>
      <c r="C9" s="53"/>
      <c r="D9" s="61"/>
      <c r="E9" s="62">
        <f t="shared" ref="E9:E12" si="24">SUM(B9:D9)</f>
        <v>20</v>
      </c>
      <c r="F9" s="74">
        <v>19.0</v>
      </c>
      <c r="G9" s="64">
        <f t="shared" si="3"/>
        <v>1.052631579</v>
      </c>
      <c r="H9" s="73">
        <v>9.0</v>
      </c>
      <c r="I9" s="53"/>
      <c r="J9" s="61"/>
      <c r="K9" s="62">
        <f t="shared" ref="K9:K12" si="25">SUM(H9:J9)</f>
        <v>9</v>
      </c>
      <c r="L9" s="74">
        <v>11.0</v>
      </c>
      <c r="M9" s="64">
        <f t="shared" si="5"/>
        <v>0.8181818182</v>
      </c>
      <c r="N9" s="73">
        <v>6.0</v>
      </c>
      <c r="O9" s="53"/>
      <c r="P9" s="61"/>
      <c r="Q9" s="62">
        <f t="shared" ref="Q9:Q12" si="26">SUM(N9:P9)</f>
        <v>6</v>
      </c>
      <c r="R9" s="74">
        <v>57.0</v>
      </c>
      <c r="S9" s="64">
        <f t="shared" si="7"/>
        <v>0.1052631579</v>
      </c>
      <c r="T9" s="61">
        <f t="shared" ref="T9:T12" si="27">N9+H9+B9+O9+I9</f>
        <v>35</v>
      </c>
      <c r="U9" s="61">
        <f t="shared" ref="U9:U12" si="28">P9+J9+D9</f>
        <v>0</v>
      </c>
      <c r="V9" s="62">
        <f t="shared" ref="V9:V12" si="29">sum(T9:U9)</f>
        <v>35</v>
      </c>
      <c r="W9" s="63">
        <f t="shared" ref="W9:W12" si="30">F9+L9+R9</f>
        <v>87</v>
      </c>
      <c r="X9" s="65">
        <f t="shared" ref="X9:X12" si="31">W9-V9</f>
        <v>52</v>
      </c>
      <c r="Y9" s="61">
        <f t="shared" ref="Y9:Y12" si="32">round(X9/$Y$24*7,0)</f>
        <v>5</v>
      </c>
      <c r="Z9" s="61">
        <f t="shared" ref="Z9:AA9" si="23">V9</f>
        <v>35</v>
      </c>
      <c r="AA9" s="61">
        <f t="shared" si="23"/>
        <v>87</v>
      </c>
      <c r="AB9" s="66">
        <f t="shared" si="15"/>
        <v>0.4022988506</v>
      </c>
      <c r="AC9" s="75">
        <v>46209.0</v>
      </c>
      <c r="AD9" s="76" t="s">
        <v>48</v>
      </c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</row>
    <row r="10">
      <c r="A10" s="16" t="s">
        <v>19</v>
      </c>
      <c r="B10" s="73">
        <v>25.0</v>
      </c>
      <c r="C10" s="53"/>
      <c r="D10" s="73">
        <v>3.0</v>
      </c>
      <c r="E10" s="62">
        <f t="shared" si="24"/>
        <v>28</v>
      </c>
      <c r="F10" s="74">
        <v>19.0</v>
      </c>
      <c r="G10" s="64">
        <f t="shared" si="3"/>
        <v>1.473684211</v>
      </c>
      <c r="H10" s="73">
        <v>7.0</v>
      </c>
      <c r="I10" s="53"/>
      <c r="J10" s="61"/>
      <c r="K10" s="62">
        <f t="shared" si="25"/>
        <v>7</v>
      </c>
      <c r="L10" s="74">
        <v>11.0</v>
      </c>
      <c r="M10" s="64">
        <f t="shared" si="5"/>
        <v>0.6363636364</v>
      </c>
      <c r="N10" s="73">
        <v>9.0</v>
      </c>
      <c r="O10" s="53"/>
      <c r="P10" s="61"/>
      <c r="Q10" s="62">
        <f t="shared" si="26"/>
        <v>9</v>
      </c>
      <c r="R10" s="74">
        <v>63.0</v>
      </c>
      <c r="S10" s="64">
        <f t="shared" si="7"/>
        <v>0.1428571429</v>
      </c>
      <c r="T10" s="61">
        <f t="shared" si="27"/>
        <v>41</v>
      </c>
      <c r="U10" s="61">
        <f t="shared" si="28"/>
        <v>3</v>
      </c>
      <c r="V10" s="62">
        <f t="shared" si="29"/>
        <v>44</v>
      </c>
      <c r="W10" s="63">
        <f t="shared" si="30"/>
        <v>93</v>
      </c>
      <c r="X10" s="65">
        <f t="shared" si="31"/>
        <v>49</v>
      </c>
      <c r="Y10" s="61">
        <f t="shared" si="32"/>
        <v>4</v>
      </c>
      <c r="Z10" s="61">
        <f t="shared" ref="Z10:AA10" si="33">V10</f>
        <v>44</v>
      </c>
      <c r="AA10" s="61">
        <f t="shared" si="33"/>
        <v>93</v>
      </c>
      <c r="AB10" s="66">
        <f t="shared" si="15"/>
        <v>0.4731182796</v>
      </c>
      <c r="AC10" s="75">
        <v>46209.0</v>
      </c>
      <c r="AD10" s="76" t="s">
        <v>48</v>
      </c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</row>
    <row r="11">
      <c r="A11" s="16" t="s">
        <v>18</v>
      </c>
      <c r="B11" s="73">
        <v>15.0</v>
      </c>
      <c r="C11" s="53"/>
      <c r="D11" s="61"/>
      <c r="E11" s="62">
        <f t="shared" si="24"/>
        <v>15</v>
      </c>
      <c r="F11" s="74">
        <v>21.0</v>
      </c>
      <c r="G11" s="64">
        <f t="shared" si="3"/>
        <v>0.7142857143</v>
      </c>
      <c r="H11" s="73">
        <v>2.0</v>
      </c>
      <c r="I11" s="53"/>
      <c r="J11" s="61"/>
      <c r="K11" s="62">
        <f t="shared" si="25"/>
        <v>2</v>
      </c>
      <c r="L11" s="74">
        <v>13.0</v>
      </c>
      <c r="M11" s="64">
        <f t="shared" si="5"/>
        <v>0.1538461538</v>
      </c>
      <c r="N11" s="73">
        <v>18.0</v>
      </c>
      <c r="O11" s="53"/>
      <c r="P11" s="61"/>
      <c r="Q11" s="62">
        <f t="shared" si="26"/>
        <v>18</v>
      </c>
      <c r="R11" s="74">
        <v>62.0</v>
      </c>
      <c r="S11" s="64">
        <f t="shared" si="7"/>
        <v>0.2903225806</v>
      </c>
      <c r="T11" s="61">
        <f t="shared" si="27"/>
        <v>35</v>
      </c>
      <c r="U11" s="61">
        <f t="shared" si="28"/>
        <v>0</v>
      </c>
      <c r="V11" s="62">
        <f t="shared" si="29"/>
        <v>35</v>
      </c>
      <c r="W11" s="63">
        <f t="shared" si="30"/>
        <v>96</v>
      </c>
      <c r="X11" s="65">
        <f t="shared" si="31"/>
        <v>61</v>
      </c>
      <c r="Y11" s="61">
        <f t="shared" si="32"/>
        <v>5</v>
      </c>
      <c r="Z11" s="61">
        <f t="shared" ref="Z11:AA11" si="34">V11</f>
        <v>35</v>
      </c>
      <c r="AA11" s="61">
        <f t="shared" si="34"/>
        <v>96</v>
      </c>
      <c r="AB11" s="66">
        <f t="shared" si="15"/>
        <v>0.3645833333</v>
      </c>
      <c r="AC11" s="75">
        <v>46209.0</v>
      </c>
      <c r="AD11" s="76" t="s">
        <v>48</v>
      </c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</row>
    <row r="12">
      <c r="A12" s="16" t="s">
        <v>21</v>
      </c>
      <c r="B12" s="73">
        <v>40.0</v>
      </c>
      <c r="C12" s="53"/>
      <c r="D12" s="61"/>
      <c r="E12" s="62">
        <f t="shared" si="24"/>
        <v>40</v>
      </c>
      <c r="F12" s="74">
        <v>34.0</v>
      </c>
      <c r="G12" s="64">
        <f t="shared" si="3"/>
        <v>1.176470588</v>
      </c>
      <c r="H12" s="73">
        <v>8.0</v>
      </c>
      <c r="I12" s="53"/>
      <c r="J12" s="61"/>
      <c r="K12" s="62">
        <f t="shared" si="25"/>
        <v>8</v>
      </c>
      <c r="L12" s="74">
        <v>20.0</v>
      </c>
      <c r="M12" s="64">
        <f t="shared" si="5"/>
        <v>0.4</v>
      </c>
      <c r="N12" s="73">
        <v>18.0</v>
      </c>
      <c r="O12" s="53"/>
      <c r="P12" s="61"/>
      <c r="Q12" s="62">
        <f t="shared" si="26"/>
        <v>18</v>
      </c>
      <c r="R12" s="74">
        <v>97.0</v>
      </c>
      <c r="S12" s="64">
        <f t="shared" si="7"/>
        <v>0.1855670103</v>
      </c>
      <c r="T12" s="61">
        <f t="shared" si="27"/>
        <v>66</v>
      </c>
      <c r="U12" s="61">
        <f t="shared" si="28"/>
        <v>0</v>
      </c>
      <c r="V12" s="62">
        <f t="shared" si="29"/>
        <v>66</v>
      </c>
      <c r="W12" s="63">
        <f t="shared" si="30"/>
        <v>151</v>
      </c>
      <c r="X12" s="65">
        <f t="shared" si="31"/>
        <v>85</v>
      </c>
      <c r="Y12" s="61">
        <f t="shared" si="32"/>
        <v>8</v>
      </c>
      <c r="Z12" s="61">
        <f t="shared" ref="Z12:AA12" si="35">V12</f>
        <v>66</v>
      </c>
      <c r="AA12" s="61">
        <f t="shared" si="35"/>
        <v>151</v>
      </c>
      <c r="AB12" s="66">
        <f t="shared" si="15"/>
        <v>0.4370860927</v>
      </c>
      <c r="AC12" s="75">
        <v>46209.0</v>
      </c>
      <c r="AD12" s="76" t="s">
        <v>48</v>
      </c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</row>
    <row r="13">
      <c r="A13" s="26" t="s">
        <v>22</v>
      </c>
      <c r="B13" s="71">
        <f t="shared" ref="B13:F13" si="36">sum(B9:B12)</f>
        <v>100</v>
      </c>
      <c r="C13" s="71">
        <f t="shared" si="36"/>
        <v>0</v>
      </c>
      <c r="D13" s="71">
        <f t="shared" si="36"/>
        <v>3</v>
      </c>
      <c r="E13" s="71">
        <f t="shared" si="36"/>
        <v>103</v>
      </c>
      <c r="F13" s="71">
        <f t="shared" si="36"/>
        <v>93</v>
      </c>
      <c r="G13" s="72">
        <f t="shared" si="3"/>
        <v>1.107526882</v>
      </c>
      <c r="H13" s="71">
        <f t="shared" ref="H13:L13" si="37">sum(H9:H12)</f>
        <v>26</v>
      </c>
      <c r="I13" s="71">
        <f t="shared" si="37"/>
        <v>0</v>
      </c>
      <c r="J13" s="71">
        <f t="shared" si="37"/>
        <v>0</v>
      </c>
      <c r="K13" s="71">
        <f t="shared" si="37"/>
        <v>26</v>
      </c>
      <c r="L13" s="71">
        <f t="shared" si="37"/>
        <v>55</v>
      </c>
      <c r="M13" s="72">
        <f t="shared" si="5"/>
        <v>0.4727272727</v>
      </c>
      <c r="N13" s="71">
        <f t="shared" ref="N13:R13" si="38">sum(N9:N12)</f>
        <v>51</v>
      </c>
      <c r="O13" s="71">
        <f t="shared" si="38"/>
        <v>0</v>
      </c>
      <c r="P13" s="71">
        <f t="shared" si="38"/>
        <v>0</v>
      </c>
      <c r="Q13" s="71">
        <f t="shared" si="38"/>
        <v>51</v>
      </c>
      <c r="R13" s="71">
        <f t="shared" si="38"/>
        <v>279</v>
      </c>
      <c r="S13" s="72">
        <f t="shared" si="7"/>
        <v>0.1827956989</v>
      </c>
      <c r="T13" s="71">
        <f t="shared" ref="T13:X13" si="39">sum(T9:T12)</f>
        <v>177</v>
      </c>
      <c r="U13" s="71">
        <f t="shared" si="39"/>
        <v>3</v>
      </c>
      <c r="V13" s="71">
        <f t="shared" si="39"/>
        <v>180</v>
      </c>
      <c r="W13" s="71">
        <f t="shared" si="39"/>
        <v>427</v>
      </c>
      <c r="X13" s="71">
        <f t="shared" si="39"/>
        <v>247</v>
      </c>
      <c r="Y13" s="71">
        <f>round(X13/Y24*7,0)</f>
        <v>22</v>
      </c>
      <c r="Z13" s="71">
        <f t="shared" ref="Z13:AA13" si="40">sum(Z9:Z12)</f>
        <v>180</v>
      </c>
      <c r="AA13" s="71">
        <f t="shared" si="40"/>
        <v>427</v>
      </c>
      <c r="AB13" s="66">
        <f t="shared" si="15"/>
        <v>0.4215456674</v>
      </c>
      <c r="AC13" s="67"/>
      <c r="AD13" s="68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</row>
    <row r="14">
      <c r="A14" s="57" t="s">
        <v>23</v>
      </c>
      <c r="B14" s="61">
        <v>26.0</v>
      </c>
      <c r="C14" s="53"/>
      <c r="D14" s="61">
        <v>4.0</v>
      </c>
      <c r="E14" s="62">
        <f t="shared" ref="E14:E16" si="42">SUM(B14:D14)</f>
        <v>30</v>
      </c>
      <c r="F14" s="63">
        <v>22.0</v>
      </c>
      <c r="G14" s="64">
        <f t="shared" si="3"/>
        <v>1.363636364</v>
      </c>
      <c r="H14" s="61">
        <v>10.0</v>
      </c>
      <c r="I14" s="53"/>
      <c r="J14" s="61">
        <v>2.0</v>
      </c>
      <c r="K14" s="62">
        <f t="shared" ref="K14:K16" si="43">SUM(H14:J14)</f>
        <v>12</v>
      </c>
      <c r="L14" s="63">
        <v>13.0</v>
      </c>
      <c r="M14" s="64">
        <f t="shared" si="5"/>
        <v>0.9230769231</v>
      </c>
      <c r="N14" s="61">
        <v>16.0</v>
      </c>
      <c r="O14" s="53"/>
      <c r="P14" s="61">
        <v>2.0</v>
      </c>
      <c r="Q14" s="62">
        <f t="shared" ref="Q14:Q16" si="44">SUM(N14:P14)</f>
        <v>18</v>
      </c>
      <c r="R14" s="63">
        <v>70.0</v>
      </c>
      <c r="S14" s="64">
        <f t="shared" si="7"/>
        <v>0.2571428571</v>
      </c>
      <c r="T14" s="61">
        <f t="shared" ref="T14:T16" si="45">N14+H14+B14+O14+I14</f>
        <v>52</v>
      </c>
      <c r="U14" s="61">
        <f t="shared" ref="U14:U16" si="46">P14+J14+D14</f>
        <v>8</v>
      </c>
      <c r="V14" s="62">
        <f t="shared" ref="V14:V16" si="47">sum(T14:U14)</f>
        <v>60</v>
      </c>
      <c r="W14" s="63">
        <f t="shared" ref="W14:W16" si="48">F14+L14+R14</f>
        <v>105</v>
      </c>
      <c r="X14" s="65">
        <f t="shared" ref="X14:X16" si="49">W14-V14</f>
        <v>45</v>
      </c>
      <c r="Y14" s="61">
        <f t="shared" ref="Y14:Y16" si="50">round(X14/$Y$24*7,0)</f>
        <v>4</v>
      </c>
      <c r="Z14" s="61">
        <f t="shared" ref="Z14:AA14" si="41">V14</f>
        <v>60</v>
      </c>
      <c r="AA14" s="61">
        <f t="shared" si="41"/>
        <v>105</v>
      </c>
      <c r="AB14" s="66">
        <f t="shared" si="15"/>
        <v>0.5714285714</v>
      </c>
      <c r="AC14" s="67">
        <v>46215.0</v>
      </c>
      <c r="AD14" s="68" t="s">
        <v>49</v>
      </c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</row>
    <row r="15">
      <c r="A15" s="57" t="s">
        <v>24</v>
      </c>
      <c r="B15" s="61">
        <v>30.0</v>
      </c>
      <c r="C15" s="61">
        <v>0.0</v>
      </c>
      <c r="D15" s="61">
        <v>1.0</v>
      </c>
      <c r="E15" s="62">
        <f t="shared" si="42"/>
        <v>31</v>
      </c>
      <c r="F15" s="63">
        <v>23.0</v>
      </c>
      <c r="G15" s="64">
        <f t="shared" si="3"/>
        <v>1.347826087</v>
      </c>
      <c r="H15" s="61">
        <v>5.0</v>
      </c>
      <c r="I15" s="53"/>
      <c r="J15" s="61">
        <v>2.0</v>
      </c>
      <c r="K15" s="62">
        <f t="shared" si="43"/>
        <v>7</v>
      </c>
      <c r="L15" s="63">
        <v>13.0</v>
      </c>
      <c r="M15" s="64">
        <f t="shared" si="5"/>
        <v>0.5384615385</v>
      </c>
      <c r="N15" s="61">
        <v>20.0</v>
      </c>
      <c r="O15" s="53"/>
      <c r="P15" s="61">
        <v>2.0</v>
      </c>
      <c r="Q15" s="62">
        <f t="shared" si="44"/>
        <v>22</v>
      </c>
      <c r="R15" s="63">
        <v>72.0</v>
      </c>
      <c r="S15" s="64">
        <f t="shared" si="7"/>
        <v>0.3055555556</v>
      </c>
      <c r="T15" s="61">
        <f t="shared" si="45"/>
        <v>55</v>
      </c>
      <c r="U15" s="61">
        <f t="shared" si="46"/>
        <v>5</v>
      </c>
      <c r="V15" s="62">
        <f t="shared" si="47"/>
        <v>60</v>
      </c>
      <c r="W15" s="63">
        <f t="shared" si="48"/>
        <v>108</v>
      </c>
      <c r="X15" s="65">
        <f t="shared" si="49"/>
        <v>48</v>
      </c>
      <c r="Y15" s="61">
        <f t="shared" si="50"/>
        <v>4</v>
      </c>
      <c r="Z15" s="61">
        <f t="shared" ref="Z15:AA15" si="51">V15</f>
        <v>60</v>
      </c>
      <c r="AA15" s="61">
        <f t="shared" si="51"/>
        <v>108</v>
      </c>
      <c r="AB15" s="66">
        <f t="shared" si="15"/>
        <v>0.5555555556</v>
      </c>
      <c r="AC15" s="67">
        <v>46216.0</v>
      </c>
      <c r="AD15" s="68" t="s">
        <v>50</v>
      </c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</row>
    <row r="16">
      <c r="A16" s="57" t="s">
        <v>25</v>
      </c>
      <c r="B16" s="61">
        <v>9.0</v>
      </c>
      <c r="C16" s="53"/>
      <c r="D16" s="53"/>
      <c r="E16" s="62">
        <f t="shared" si="42"/>
        <v>9</v>
      </c>
      <c r="F16" s="63">
        <v>8.0</v>
      </c>
      <c r="G16" s="64">
        <f t="shared" si="3"/>
        <v>1.125</v>
      </c>
      <c r="H16" s="61">
        <v>2.0</v>
      </c>
      <c r="I16" s="53"/>
      <c r="J16" s="53"/>
      <c r="K16" s="62">
        <f t="shared" si="43"/>
        <v>2</v>
      </c>
      <c r="L16" s="63">
        <v>3.0</v>
      </c>
      <c r="M16" s="64">
        <f t="shared" si="5"/>
        <v>0.6666666667</v>
      </c>
      <c r="N16" s="61">
        <v>3.0</v>
      </c>
      <c r="O16" s="53"/>
      <c r="P16" s="53"/>
      <c r="Q16" s="62">
        <f t="shared" si="44"/>
        <v>3</v>
      </c>
      <c r="R16" s="63">
        <v>23.0</v>
      </c>
      <c r="S16" s="64">
        <f t="shared" si="7"/>
        <v>0.1304347826</v>
      </c>
      <c r="T16" s="61">
        <f t="shared" si="45"/>
        <v>14</v>
      </c>
      <c r="U16" s="61">
        <f t="shared" si="46"/>
        <v>0</v>
      </c>
      <c r="V16" s="62">
        <f t="shared" si="47"/>
        <v>14</v>
      </c>
      <c r="W16" s="63">
        <f t="shared" si="48"/>
        <v>34</v>
      </c>
      <c r="X16" s="65">
        <f t="shared" si="49"/>
        <v>20</v>
      </c>
      <c r="Y16" s="61">
        <f t="shared" si="50"/>
        <v>2</v>
      </c>
      <c r="Z16" s="61">
        <f t="shared" ref="Z16:AA16" si="52">V16</f>
        <v>14</v>
      </c>
      <c r="AA16" s="61">
        <f t="shared" si="52"/>
        <v>34</v>
      </c>
      <c r="AB16" s="66">
        <f t="shared" si="15"/>
        <v>0.4117647059</v>
      </c>
      <c r="AC16" s="67">
        <v>46216.0</v>
      </c>
      <c r="AD16" s="68" t="s">
        <v>51</v>
      </c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</row>
    <row r="17">
      <c r="A17" s="70" t="s">
        <v>26</v>
      </c>
      <c r="B17" s="71">
        <f t="shared" ref="B17:F17" si="53">sum(B14:B16)</f>
        <v>65</v>
      </c>
      <c r="C17" s="71">
        <f t="shared" si="53"/>
        <v>0</v>
      </c>
      <c r="D17" s="71">
        <f t="shared" si="53"/>
        <v>5</v>
      </c>
      <c r="E17" s="71">
        <f t="shared" si="53"/>
        <v>70</v>
      </c>
      <c r="F17" s="71">
        <f t="shared" si="53"/>
        <v>53</v>
      </c>
      <c r="G17" s="72">
        <f t="shared" si="3"/>
        <v>1.320754717</v>
      </c>
      <c r="H17" s="71">
        <f t="shared" ref="H17:L17" si="54">sum(H14:H16)</f>
        <v>17</v>
      </c>
      <c r="I17" s="71">
        <f t="shared" si="54"/>
        <v>0</v>
      </c>
      <c r="J17" s="71">
        <f t="shared" si="54"/>
        <v>4</v>
      </c>
      <c r="K17" s="71">
        <f t="shared" si="54"/>
        <v>21</v>
      </c>
      <c r="L17" s="71">
        <f t="shared" si="54"/>
        <v>29</v>
      </c>
      <c r="M17" s="72">
        <f t="shared" si="5"/>
        <v>0.724137931</v>
      </c>
      <c r="N17" s="71">
        <f t="shared" ref="N17:R17" si="55">sum(N14:N16)</f>
        <v>39</v>
      </c>
      <c r="O17" s="71">
        <f t="shared" si="55"/>
        <v>0</v>
      </c>
      <c r="P17" s="71">
        <f t="shared" si="55"/>
        <v>4</v>
      </c>
      <c r="Q17" s="71">
        <f t="shared" si="55"/>
        <v>43</v>
      </c>
      <c r="R17" s="71">
        <f t="shared" si="55"/>
        <v>165</v>
      </c>
      <c r="S17" s="72">
        <f t="shared" si="7"/>
        <v>0.2606060606</v>
      </c>
      <c r="T17" s="71">
        <f t="shared" ref="T17:X17" si="56">sum(T14:T16)</f>
        <v>121</v>
      </c>
      <c r="U17" s="71">
        <f t="shared" si="56"/>
        <v>13</v>
      </c>
      <c r="V17" s="71">
        <f t="shared" si="56"/>
        <v>134</v>
      </c>
      <c r="W17" s="71">
        <f t="shared" si="56"/>
        <v>247</v>
      </c>
      <c r="X17" s="71">
        <f t="shared" si="56"/>
        <v>113</v>
      </c>
      <c r="Y17" s="71">
        <f>round(X17/Y24*7,0)</f>
        <v>10</v>
      </c>
      <c r="Z17" s="71">
        <f t="shared" ref="Z17:AA17" si="57">sum(Z14:Z16)</f>
        <v>134</v>
      </c>
      <c r="AA17" s="71">
        <f t="shared" si="57"/>
        <v>247</v>
      </c>
      <c r="AB17" s="66">
        <f t="shared" si="15"/>
        <v>0.5425101215</v>
      </c>
      <c r="AC17" s="77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</row>
    <row r="18">
      <c r="A18" s="57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78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</row>
    <row r="19">
      <c r="A19" s="57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78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</row>
    <row r="20">
      <c r="A20" s="79" t="s">
        <v>8</v>
      </c>
      <c r="B20" s="80">
        <f t="shared" ref="B20:F20" si="58">SUM(B8+B13+B17)</f>
        <v>266</v>
      </c>
      <c r="C20" s="80">
        <f t="shared" si="58"/>
        <v>0</v>
      </c>
      <c r="D20" s="80">
        <f t="shared" si="58"/>
        <v>10</v>
      </c>
      <c r="E20" s="80">
        <f t="shared" si="58"/>
        <v>276</v>
      </c>
      <c r="F20" s="80">
        <f t="shared" si="58"/>
        <v>240</v>
      </c>
      <c r="G20" s="81">
        <f>E20/F20</f>
        <v>1.15</v>
      </c>
      <c r="H20" s="80">
        <f t="shared" ref="H20:L20" si="59">SUM(H8+H13+H17)</f>
        <v>62</v>
      </c>
      <c r="I20" s="80">
        <f t="shared" si="59"/>
        <v>0</v>
      </c>
      <c r="J20" s="80">
        <f t="shared" si="59"/>
        <v>4</v>
      </c>
      <c r="K20" s="80">
        <f t="shared" si="59"/>
        <v>66</v>
      </c>
      <c r="L20" s="80">
        <f t="shared" si="59"/>
        <v>136</v>
      </c>
      <c r="M20" s="81">
        <f>K20/L20</f>
        <v>0.4852941176</v>
      </c>
      <c r="N20" s="80">
        <f t="shared" ref="N20:R20" si="60">SUM(N8+N13+N17)</f>
        <v>165</v>
      </c>
      <c r="O20" s="80">
        <f t="shared" si="60"/>
        <v>0</v>
      </c>
      <c r="P20" s="80">
        <f t="shared" si="60"/>
        <v>4</v>
      </c>
      <c r="Q20" s="80">
        <f t="shared" si="60"/>
        <v>169</v>
      </c>
      <c r="R20" s="80">
        <f t="shared" si="60"/>
        <v>705</v>
      </c>
      <c r="S20" s="81">
        <f>Q20/R20</f>
        <v>0.2397163121</v>
      </c>
      <c r="T20" s="80">
        <f t="shared" ref="T20:X20" si="61">SUM(T8+T13+T17)</f>
        <v>493</v>
      </c>
      <c r="U20" s="80">
        <f t="shared" si="61"/>
        <v>18</v>
      </c>
      <c r="V20" s="80">
        <f t="shared" si="61"/>
        <v>511</v>
      </c>
      <c r="W20" s="80">
        <f t="shared" si="61"/>
        <v>1081</v>
      </c>
      <c r="X20" s="80">
        <f t="shared" si="61"/>
        <v>570</v>
      </c>
      <c r="Y20" s="80">
        <f>round(X20/Y24*7,0)</f>
        <v>51</v>
      </c>
      <c r="Z20" s="80">
        <f t="shared" ref="Z20:AA20" si="62">Z8+Z13+Z17</f>
        <v>511</v>
      </c>
      <c r="AA20" s="80">
        <f t="shared" si="62"/>
        <v>1081</v>
      </c>
      <c r="AB20" s="82">
        <f>Z20/AA20</f>
        <v>0.4727104533</v>
      </c>
      <c r="AC20" s="77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83">
        <v>46295.0</v>
      </c>
      <c r="Z22" s="53"/>
      <c r="AA22" s="61">
        <f>Z17-AA17</f>
        <v>-113</v>
      </c>
      <c r="AB22" s="53"/>
      <c r="AC22" s="84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85">
        <f>today()</f>
        <v>46216</v>
      </c>
      <c r="Z23" s="53"/>
      <c r="AA23" s="53"/>
      <c r="AB23" s="53"/>
      <c r="AC23" s="84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61">
        <f>Y22-Y23</f>
        <v>79</v>
      </c>
      <c r="Z24" s="53"/>
      <c r="AA24" s="53"/>
      <c r="AB24" s="53"/>
      <c r="AC24" s="84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</row>
    <row r="25">
      <c r="A25" s="86" t="s">
        <v>52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8"/>
      <c r="S25" s="51" t="s">
        <v>29</v>
      </c>
      <c r="T25" s="52" t="s">
        <v>30</v>
      </c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</row>
    <row r="26">
      <c r="A26" s="13"/>
      <c r="B26" s="89" t="s">
        <v>31</v>
      </c>
      <c r="C26" s="90"/>
      <c r="D26" s="90"/>
      <c r="E26" s="90"/>
      <c r="F26" s="89" t="s">
        <v>53</v>
      </c>
      <c r="G26" s="90"/>
      <c r="H26" s="90"/>
      <c r="I26" s="90"/>
      <c r="J26" s="89" t="s">
        <v>33</v>
      </c>
      <c r="K26" s="90"/>
      <c r="L26" s="90"/>
      <c r="M26" s="90"/>
      <c r="N26" s="89"/>
      <c r="O26" s="91" t="s">
        <v>8</v>
      </c>
      <c r="P26" s="90"/>
      <c r="Q26" s="90"/>
      <c r="R26" s="92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</row>
    <row r="27">
      <c r="A27" s="13"/>
      <c r="B27" s="93" t="s">
        <v>54</v>
      </c>
      <c r="C27" s="93" t="s">
        <v>55</v>
      </c>
      <c r="D27" s="93" t="s">
        <v>37</v>
      </c>
      <c r="E27" s="93" t="s">
        <v>56</v>
      </c>
      <c r="F27" s="93" t="s">
        <v>54</v>
      </c>
      <c r="G27" s="93" t="s">
        <v>55</v>
      </c>
      <c r="H27" s="93" t="s">
        <v>37</v>
      </c>
      <c r="I27" s="93" t="s">
        <v>56</v>
      </c>
      <c r="J27" s="93" t="s">
        <v>54</v>
      </c>
      <c r="K27" s="93" t="s">
        <v>55</v>
      </c>
      <c r="L27" s="93" t="s">
        <v>37</v>
      </c>
      <c r="M27" s="93" t="s">
        <v>56</v>
      </c>
      <c r="N27" s="93"/>
      <c r="O27" s="93" t="s">
        <v>54</v>
      </c>
      <c r="P27" s="93" t="s">
        <v>55</v>
      </c>
      <c r="Q27" s="93" t="s">
        <v>37</v>
      </c>
      <c r="R27" s="94" t="s">
        <v>56</v>
      </c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</row>
    <row r="28">
      <c r="A28" s="95" t="s">
        <v>13</v>
      </c>
      <c r="B28" s="17">
        <v>11.0</v>
      </c>
      <c r="C28" s="17">
        <v>65.0</v>
      </c>
      <c r="D28" s="96">
        <f>SUM(B28:C28)</f>
        <v>76</v>
      </c>
      <c r="E28" s="97"/>
      <c r="F28" s="98"/>
      <c r="G28" s="17">
        <v>18.0</v>
      </c>
      <c r="H28" s="96">
        <f>SUM(F28:G28)</f>
        <v>18</v>
      </c>
      <c r="I28" s="97"/>
      <c r="J28" s="98"/>
      <c r="K28" s="98">
        <v>10.0</v>
      </c>
      <c r="L28" s="96">
        <v>0.0</v>
      </c>
      <c r="M28" s="97"/>
      <c r="N28" s="99"/>
      <c r="O28" s="31">
        <f t="shared" ref="O28:P28" si="63">J28+F28+B28</f>
        <v>11</v>
      </c>
      <c r="P28" s="31">
        <f t="shared" si="63"/>
        <v>93</v>
      </c>
      <c r="Q28" s="96">
        <f>P28+O28</f>
        <v>104</v>
      </c>
      <c r="R28" s="100">
        <f>M28+I28+E28</f>
        <v>0</v>
      </c>
      <c r="S28" s="101">
        <v>46216.0</v>
      </c>
      <c r="T28" s="102" t="s">
        <v>57</v>
      </c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</row>
    <row r="29">
      <c r="A29" s="103" t="s">
        <v>17</v>
      </c>
      <c r="B29" s="27">
        <f t="shared" ref="B29:M29" si="64">sum(B28)</f>
        <v>11</v>
      </c>
      <c r="C29" s="27">
        <f t="shared" si="64"/>
        <v>65</v>
      </c>
      <c r="D29" s="27">
        <f t="shared" si="64"/>
        <v>76</v>
      </c>
      <c r="E29" s="27">
        <f t="shared" si="64"/>
        <v>0</v>
      </c>
      <c r="F29" s="27">
        <f t="shared" si="64"/>
        <v>0</v>
      </c>
      <c r="G29" s="27">
        <f t="shared" si="64"/>
        <v>18</v>
      </c>
      <c r="H29" s="27">
        <f t="shared" si="64"/>
        <v>18</v>
      </c>
      <c r="I29" s="27">
        <f t="shared" si="64"/>
        <v>0</v>
      </c>
      <c r="J29" s="27">
        <f t="shared" si="64"/>
        <v>0</v>
      </c>
      <c r="K29" s="27">
        <f t="shared" si="64"/>
        <v>10</v>
      </c>
      <c r="L29" s="27">
        <f t="shared" si="64"/>
        <v>0</v>
      </c>
      <c r="M29" s="27">
        <f t="shared" si="64"/>
        <v>0</v>
      </c>
      <c r="N29" s="99"/>
      <c r="O29" s="27">
        <f t="shared" ref="O29:R29" si="65">sum(O28)</f>
        <v>11</v>
      </c>
      <c r="P29" s="27">
        <f t="shared" si="65"/>
        <v>93</v>
      </c>
      <c r="Q29" s="27">
        <f t="shared" si="65"/>
        <v>104</v>
      </c>
      <c r="R29" s="104">
        <f t="shared" si="65"/>
        <v>0</v>
      </c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</row>
    <row r="30">
      <c r="A30" s="95" t="s">
        <v>19</v>
      </c>
      <c r="B30" s="17"/>
      <c r="C30" s="31">
        <v>19.0</v>
      </c>
      <c r="D30" s="96">
        <f>SUM(B30:C30)</f>
        <v>19</v>
      </c>
      <c r="E30" s="97"/>
      <c r="F30" s="98"/>
      <c r="G30" s="31">
        <v>22.0</v>
      </c>
      <c r="H30" s="96">
        <f>SUM(F30:G30)</f>
        <v>22</v>
      </c>
      <c r="I30" s="97"/>
      <c r="J30" s="98"/>
      <c r="K30" s="98">
        <v>20.0</v>
      </c>
      <c r="L30" s="96">
        <f>K30+J30</f>
        <v>20</v>
      </c>
      <c r="M30" s="97"/>
      <c r="N30" s="99"/>
      <c r="O30" s="31">
        <f>J30+F30+B30</f>
        <v>0</v>
      </c>
      <c r="P30" s="31">
        <f>C30+G30+K30</f>
        <v>61</v>
      </c>
      <c r="Q30" s="96">
        <f>P30+O30</f>
        <v>61</v>
      </c>
      <c r="R30" s="100">
        <f>M30+I30+E30</f>
        <v>0</v>
      </c>
      <c r="S30" s="53"/>
      <c r="T30" s="105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</row>
    <row r="31">
      <c r="A31" s="103" t="s">
        <v>22</v>
      </c>
      <c r="B31" s="27">
        <f t="shared" ref="B31:M31" si="66">sum(B30)</f>
        <v>0</v>
      </c>
      <c r="C31" s="27">
        <f t="shared" si="66"/>
        <v>19</v>
      </c>
      <c r="D31" s="27">
        <f t="shared" si="66"/>
        <v>19</v>
      </c>
      <c r="E31" s="27">
        <f t="shared" si="66"/>
        <v>0</v>
      </c>
      <c r="F31" s="27">
        <f t="shared" si="66"/>
        <v>0</v>
      </c>
      <c r="G31" s="27">
        <f t="shared" si="66"/>
        <v>22</v>
      </c>
      <c r="H31" s="27">
        <f t="shared" si="66"/>
        <v>22</v>
      </c>
      <c r="I31" s="27">
        <f t="shared" si="66"/>
        <v>0</v>
      </c>
      <c r="J31" s="27">
        <f t="shared" si="66"/>
        <v>0</v>
      </c>
      <c r="K31" s="27">
        <f t="shared" si="66"/>
        <v>20</v>
      </c>
      <c r="L31" s="27">
        <f t="shared" si="66"/>
        <v>20</v>
      </c>
      <c r="M31" s="27">
        <f t="shared" si="66"/>
        <v>0</v>
      </c>
      <c r="N31" s="99"/>
      <c r="O31" s="27">
        <f t="shared" ref="O31:R31" si="67">sum(O30)</f>
        <v>0</v>
      </c>
      <c r="P31" s="27">
        <f t="shared" si="67"/>
        <v>61</v>
      </c>
      <c r="Q31" s="27">
        <f t="shared" si="67"/>
        <v>61</v>
      </c>
      <c r="R31" s="104">
        <f t="shared" si="67"/>
        <v>0</v>
      </c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</row>
    <row r="32">
      <c r="A32" s="95" t="s">
        <v>23</v>
      </c>
      <c r="B32" s="17">
        <v>2.0</v>
      </c>
      <c r="C32" s="31">
        <v>28.0</v>
      </c>
      <c r="D32" s="96">
        <f>SUM(B32:C32)</f>
        <v>30</v>
      </c>
      <c r="E32" s="97"/>
      <c r="F32" s="98"/>
      <c r="G32" s="31">
        <v>40.0</v>
      </c>
      <c r="H32" s="96">
        <f>SUM(F32:G32)</f>
        <v>40</v>
      </c>
      <c r="I32" s="97"/>
      <c r="J32" s="98"/>
      <c r="K32" s="98">
        <v>40.0</v>
      </c>
      <c r="L32" s="96">
        <f>K32+J32</f>
        <v>40</v>
      </c>
      <c r="M32" s="97"/>
      <c r="N32" s="99"/>
      <c r="O32" s="31">
        <f t="shared" ref="O32:P32" si="68">J32+F32+B32</f>
        <v>2</v>
      </c>
      <c r="P32" s="31">
        <f t="shared" si="68"/>
        <v>108</v>
      </c>
      <c r="Q32" s="96">
        <f>P32+O32</f>
        <v>110</v>
      </c>
      <c r="R32" s="100">
        <f>M32+I32+E32</f>
        <v>0</v>
      </c>
      <c r="S32" s="106">
        <v>46216.0</v>
      </c>
      <c r="T32" s="102" t="s">
        <v>57</v>
      </c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</row>
    <row r="33">
      <c r="A33" s="103" t="s">
        <v>26</v>
      </c>
      <c r="B33" s="27">
        <f t="shared" ref="B33:M33" si="69">sum(B32)</f>
        <v>2</v>
      </c>
      <c r="C33" s="27">
        <f t="shared" si="69"/>
        <v>28</v>
      </c>
      <c r="D33" s="27">
        <f t="shared" si="69"/>
        <v>30</v>
      </c>
      <c r="E33" s="27">
        <f t="shared" si="69"/>
        <v>0</v>
      </c>
      <c r="F33" s="27">
        <f t="shared" si="69"/>
        <v>0</v>
      </c>
      <c r="G33" s="27">
        <f t="shared" si="69"/>
        <v>40</v>
      </c>
      <c r="H33" s="27">
        <f t="shared" si="69"/>
        <v>40</v>
      </c>
      <c r="I33" s="27">
        <f t="shared" si="69"/>
        <v>0</v>
      </c>
      <c r="J33" s="27">
        <f t="shared" si="69"/>
        <v>0</v>
      </c>
      <c r="K33" s="27">
        <f t="shared" si="69"/>
        <v>40</v>
      </c>
      <c r="L33" s="27">
        <f t="shared" si="69"/>
        <v>40</v>
      </c>
      <c r="M33" s="27">
        <f t="shared" si="69"/>
        <v>0</v>
      </c>
      <c r="N33" s="99"/>
      <c r="O33" s="27">
        <f t="shared" ref="O33:R33" si="70">sum(O32)</f>
        <v>2</v>
      </c>
      <c r="P33" s="27">
        <f t="shared" si="70"/>
        <v>108</v>
      </c>
      <c r="Q33" s="27">
        <f t="shared" si="70"/>
        <v>110</v>
      </c>
      <c r="R33" s="104">
        <f t="shared" si="70"/>
        <v>0</v>
      </c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</row>
    <row r="34">
      <c r="A34" s="103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99"/>
      <c r="O34" s="32"/>
      <c r="P34" s="32"/>
      <c r="Q34" s="32"/>
      <c r="R34" s="107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</row>
    <row r="35">
      <c r="A35" s="13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107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</row>
    <row r="36">
      <c r="A36" s="108" t="s">
        <v>8</v>
      </c>
      <c r="B36" s="35">
        <f t="shared" ref="B36:M36" si="71">B33+B31+B29</f>
        <v>13</v>
      </c>
      <c r="C36" s="35">
        <f t="shared" si="71"/>
        <v>112</v>
      </c>
      <c r="D36" s="35">
        <f t="shared" si="71"/>
        <v>125</v>
      </c>
      <c r="E36" s="35">
        <f t="shared" si="71"/>
        <v>0</v>
      </c>
      <c r="F36" s="35">
        <f t="shared" si="71"/>
        <v>0</v>
      </c>
      <c r="G36" s="35">
        <f t="shared" si="71"/>
        <v>80</v>
      </c>
      <c r="H36" s="35">
        <f t="shared" si="71"/>
        <v>80</v>
      </c>
      <c r="I36" s="35">
        <f t="shared" si="71"/>
        <v>0</v>
      </c>
      <c r="J36" s="35">
        <f t="shared" si="71"/>
        <v>0</v>
      </c>
      <c r="K36" s="35">
        <f t="shared" si="71"/>
        <v>70</v>
      </c>
      <c r="L36" s="35">
        <f t="shared" si="71"/>
        <v>60</v>
      </c>
      <c r="M36" s="35">
        <f t="shared" si="71"/>
        <v>0</v>
      </c>
      <c r="N36" s="109"/>
      <c r="O36" s="35">
        <f t="shared" ref="O36:R36" si="72">O33+O31+O29</f>
        <v>13</v>
      </c>
      <c r="P36" s="35">
        <f t="shared" si="72"/>
        <v>262</v>
      </c>
      <c r="Q36" s="35">
        <f t="shared" si="72"/>
        <v>275</v>
      </c>
      <c r="R36" s="37">
        <f t="shared" si="72"/>
        <v>0</v>
      </c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</row>
    <row r="37"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</row>
    <row r="38">
      <c r="O38" s="110"/>
      <c r="P38" s="111"/>
      <c r="R38" s="112" t="str">
        <f>Q36/R36</f>
        <v>#DIV/0!</v>
      </c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</row>
    <row r="40">
      <c r="A40" s="45" t="s">
        <v>58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7"/>
      <c r="M40" s="51" t="s">
        <v>29</v>
      </c>
      <c r="N40" s="52" t="s">
        <v>30</v>
      </c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</row>
    <row r="41">
      <c r="A41" s="48"/>
      <c r="B41" s="54" t="s">
        <v>31</v>
      </c>
      <c r="C41" s="46"/>
      <c r="D41" s="50"/>
      <c r="E41" s="55" t="s">
        <v>32</v>
      </c>
      <c r="F41" s="46"/>
      <c r="G41" s="46"/>
      <c r="H41" s="55" t="s">
        <v>33</v>
      </c>
      <c r="I41" s="46"/>
      <c r="J41" s="46"/>
      <c r="K41" s="55" t="s">
        <v>8</v>
      </c>
      <c r="L41" s="56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</row>
    <row r="42">
      <c r="A42" s="57"/>
      <c r="B42" s="58" t="s">
        <v>34</v>
      </c>
      <c r="C42" s="58" t="s">
        <v>38</v>
      </c>
      <c r="D42" s="53"/>
      <c r="E42" s="58" t="s">
        <v>34</v>
      </c>
      <c r="F42" s="58" t="s">
        <v>38</v>
      </c>
      <c r="G42" s="53"/>
      <c r="H42" s="58" t="s">
        <v>34</v>
      </c>
      <c r="I42" s="58" t="s">
        <v>38</v>
      </c>
      <c r="J42" s="53"/>
      <c r="K42" s="58" t="s">
        <v>34</v>
      </c>
      <c r="L42" s="113" t="s">
        <v>38</v>
      </c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</row>
    <row r="43">
      <c r="A43" s="57" t="s">
        <v>14</v>
      </c>
      <c r="B43" s="61">
        <v>21.0</v>
      </c>
      <c r="C43" s="63">
        <v>63.0</v>
      </c>
      <c r="D43" s="64">
        <f t="shared" ref="D43:D56" si="74">B43/C43</f>
        <v>0.3333333333</v>
      </c>
      <c r="E43" s="53"/>
      <c r="F43" s="63">
        <v>62.0</v>
      </c>
      <c r="G43" s="64">
        <f t="shared" ref="G43:G56" si="75">E43/F43</f>
        <v>0</v>
      </c>
      <c r="H43" s="53"/>
      <c r="I43" s="63">
        <v>62.0</v>
      </c>
      <c r="J43" s="64">
        <f t="shared" ref="J43:J56" si="76">H43/I43</f>
        <v>0</v>
      </c>
      <c r="K43" s="61">
        <f t="shared" ref="K43:L43" si="73">H43+E43+B43</f>
        <v>21</v>
      </c>
      <c r="L43" s="114">
        <f t="shared" si="73"/>
        <v>187</v>
      </c>
      <c r="M43" s="105">
        <v>46216.0</v>
      </c>
      <c r="N43" s="53" t="s">
        <v>43</v>
      </c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</row>
    <row r="44">
      <c r="A44" s="57" t="s">
        <v>15</v>
      </c>
      <c r="B44" s="61">
        <v>16.0</v>
      </c>
      <c r="C44" s="63">
        <v>55.0</v>
      </c>
      <c r="D44" s="64">
        <f t="shared" si="74"/>
        <v>0.2909090909</v>
      </c>
      <c r="E44" s="53"/>
      <c r="F44" s="63">
        <v>54.0</v>
      </c>
      <c r="G44" s="64">
        <f t="shared" si="75"/>
        <v>0</v>
      </c>
      <c r="H44" s="53"/>
      <c r="I44" s="63">
        <v>54.0</v>
      </c>
      <c r="J44" s="64">
        <f t="shared" si="76"/>
        <v>0</v>
      </c>
      <c r="K44" s="61">
        <f t="shared" ref="K44:L44" si="77">H44+E44+B44</f>
        <v>16</v>
      </c>
      <c r="L44" s="114">
        <f t="shared" si="77"/>
        <v>163</v>
      </c>
      <c r="M44" s="105">
        <v>46215.0</v>
      </c>
      <c r="N44" s="53" t="s">
        <v>44</v>
      </c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</row>
    <row r="45">
      <c r="A45" s="57" t="s">
        <v>16</v>
      </c>
      <c r="B45" s="61">
        <v>19.0</v>
      </c>
      <c r="C45" s="63">
        <v>51.0</v>
      </c>
      <c r="D45" s="64">
        <f t="shared" si="74"/>
        <v>0.3725490196</v>
      </c>
      <c r="E45" s="53"/>
      <c r="F45" s="63">
        <v>50.0</v>
      </c>
      <c r="G45" s="64">
        <f t="shared" si="75"/>
        <v>0</v>
      </c>
      <c r="H45" s="53"/>
      <c r="I45" s="63">
        <v>50.0</v>
      </c>
      <c r="J45" s="64">
        <f t="shared" si="76"/>
        <v>0</v>
      </c>
      <c r="K45" s="61">
        <f t="shared" ref="K45:L45" si="78">H45+E45+B45</f>
        <v>19</v>
      </c>
      <c r="L45" s="114">
        <f t="shared" si="78"/>
        <v>151</v>
      </c>
      <c r="M45" s="105">
        <v>46216.0</v>
      </c>
      <c r="N45" s="53" t="s">
        <v>45</v>
      </c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</row>
    <row r="46">
      <c r="A46" s="57" t="s">
        <v>46</v>
      </c>
      <c r="B46" s="69">
        <v>25.0</v>
      </c>
      <c r="C46" s="63">
        <v>60.0</v>
      </c>
      <c r="D46" s="64">
        <f t="shared" si="74"/>
        <v>0.4166666667</v>
      </c>
      <c r="E46" s="53"/>
      <c r="F46" s="63">
        <v>59.0</v>
      </c>
      <c r="G46" s="64">
        <f t="shared" si="75"/>
        <v>0</v>
      </c>
      <c r="H46" s="53"/>
      <c r="I46" s="63">
        <v>59.0</v>
      </c>
      <c r="J46" s="64">
        <f t="shared" si="76"/>
        <v>0</v>
      </c>
      <c r="K46" s="61">
        <f t="shared" ref="K46:L46" si="79">H46+E46+B46</f>
        <v>25</v>
      </c>
      <c r="L46" s="114">
        <f t="shared" si="79"/>
        <v>178</v>
      </c>
      <c r="M46" s="105">
        <v>46216.0</v>
      </c>
      <c r="N46" s="53" t="s">
        <v>47</v>
      </c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</row>
    <row r="47">
      <c r="A47" s="70" t="s">
        <v>17</v>
      </c>
      <c r="B47" s="71">
        <f t="shared" ref="B47:C47" si="80">sum(B43:B46)</f>
        <v>81</v>
      </c>
      <c r="C47" s="71">
        <f t="shared" si="80"/>
        <v>229</v>
      </c>
      <c r="D47" s="64">
        <f t="shared" si="74"/>
        <v>0.3537117904</v>
      </c>
      <c r="E47" s="71">
        <f t="shared" ref="E47:F47" si="81">sum(E43:E46)</f>
        <v>0</v>
      </c>
      <c r="F47" s="71">
        <f t="shared" si="81"/>
        <v>225</v>
      </c>
      <c r="G47" s="64">
        <f t="shared" si="75"/>
        <v>0</v>
      </c>
      <c r="H47" s="71">
        <f t="shared" ref="H47:I47" si="82">sum(H43:H46)</f>
        <v>0</v>
      </c>
      <c r="I47" s="71">
        <f t="shared" si="82"/>
        <v>225</v>
      </c>
      <c r="J47" s="64">
        <f t="shared" si="76"/>
        <v>0</v>
      </c>
      <c r="K47" s="71">
        <f t="shared" ref="K47:L47" si="83">sum(K43:K46)</f>
        <v>81</v>
      </c>
      <c r="L47" s="115">
        <f t="shared" si="83"/>
        <v>679</v>
      </c>
      <c r="M47" s="84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</row>
    <row r="48">
      <c r="A48" s="16" t="s">
        <v>20</v>
      </c>
      <c r="B48" s="31">
        <v>12.0</v>
      </c>
      <c r="C48" s="97">
        <v>51.0</v>
      </c>
      <c r="D48" s="116">
        <f t="shared" si="74"/>
        <v>0.2352941176</v>
      </c>
      <c r="E48" s="17"/>
      <c r="F48" s="97">
        <v>50.0</v>
      </c>
      <c r="G48" s="116">
        <f t="shared" si="75"/>
        <v>0</v>
      </c>
      <c r="H48" s="17"/>
      <c r="I48" s="97">
        <v>50.0</v>
      </c>
      <c r="J48" s="116">
        <f t="shared" si="76"/>
        <v>0</v>
      </c>
      <c r="K48" s="31">
        <f t="shared" ref="K48:L48" si="84">H48+E48+B48</f>
        <v>12</v>
      </c>
      <c r="L48" s="100">
        <f t="shared" si="84"/>
        <v>151</v>
      </c>
      <c r="M48" s="106">
        <v>46209.0</v>
      </c>
      <c r="N48" s="102" t="s">
        <v>48</v>
      </c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</row>
    <row r="49">
      <c r="A49" s="16" t="s">
        <v>19</v>
      </c>
      <c r="B49" s="31">
        <v>5.0</v>
      </c>
      <c r="C49" s="97">
        <v>45.0</v>
      </c>
      <c r="D49" s="116">
        <f t="shared" si="74"/>
        <v>0.1111111111</v>
      </c>
      <c r="E49" s="17"/>
      <c r="F49" s="97">
        <v>44.0</v>
      </c>
      <c r="G49" s="116">
        <f t="shared" si="75"/>
        <v>0</v>
      </c>
      <c r="H49" s="17"/>
      <c r="I49" s="97">
        <v>44.0</v>
      </c>
      <c r="J49" s="116">
        <f t="shared" si="76"/>
        <v>0</v>
      </c>
      <c r="K49" s="31">
        <f t="shared" ref="K49:L49" si="85">H49+E49+B49</f>
        <v>5</v>
      </c>
      <c r="L49" s="100">
        <f t="shared" si="85"/>
        <v>133</v>
      </c>
      <c r="M49" s="106">
        <v>46209.0</v>
      </c>
      <c r="N49" s="102" t="s">
        <v>48</v>
      </c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</row>
    <row r="50">
      <c r="A50" s="16" t="s">
        <v>18</v>
      </c>
      <c r="B50" s="31">
        <v>5.0</v>
      </c>
      <c r="C50" s="97">
        <v>47.0</v>
      </c>
      <c r="D50" s="116">
        <f t="shared" si="74"/>
        <v>0.1063829787</v>
      </c>
      <c r="E50" s="17"/>
      <c r="F50" s="97">
        <v>46.0</v>
      </c>
      <c r="G50" s="116">
        <f t="shared" si="75"/>
        <v>0</v>
      </c>
      <c r="H50" s="17"/>
      <c r="I50" s="97">
        <v>46.0</v>
      </c>
      <c r="J50" s="116">
        <f t="shared" si="76"/>
        <v>0</v>
      </c>
      <c r="K50" s="31">
        <f t="shared" ref="K50:L50" si="86">H50+E50+B50</f>
        <v>5</v>
      </c>
      <c r="L50" s="100">
        <f t="shared" si="86"/>
        <v>139</v>
      </c>
      <c r="M50" s="106">
        <v>46209.0</v>
      </c>
      <c r="N50" s="102" t="s">
        <v>48</v>
      </c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</row>
    <row r="51">
      <c r="A51" s="16" t="s">
        <v>21</v>
      </c>
      <c r="B51" s="31">
        <v>25.0</v>
      </c>
      <c r="C51" s="97">
        <v>91.0</v>
      </c>
      <c r="D51" s="116">
        <f t="shared" si="74"/>
        <v>0.2747252747</v>
      </c>
      <c r="E51" s="17"/>
      <c r="F51" s="97">
        <v>89.0</v>
      </c>
      <c r="G51" s="116">
        <f t="shared" si="75"/>
        <v>0</v>
      </c>
      <c r="H51" s="17"/>
      <c r="I51" s="97">
        <v>89.0</v>
      </c>
      <c r="J51" s="116">
        <f t="shared" si="76"/>
        <v>0</v>
      </c>
      <c r="K51" s="31">
        <f t="shared" ref="K51:L51" si="87">H51+E51+B51</f>
        <v>25</v>
      </c>
      <c r="L51" s="100">
        <f t="shared" si="87"/>
        <v>269</v>
      </c>
      <c r="M51" s="106">
        <v>46209.0</v>
      </c>
      <c r="N51" s="102" t="s">
        <v>48</v>
      </c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</row>
    <row r="52">
      <c r="A52" s="26" t="s">
        <v>22</v>
      </c>
      <c r="B52" s="117">
        <f t="shared" ref="B52:C52" si="88">sum(B48:B51)</f>
        <v>47</v>
      </c>
      <c r="C52" s="117">
        <f t="shared" si="88"/>
        <v>234</v>
      </c>
      <c r="D52" s="116">
        <f t="shared" si="74"/>
        <v>0.2008547009</v>
      </c>
      <c r="E52" s="117">
        <f t="shared" ref="E52:F52" si="89">sum(E48:E51)</f>
        <v>0</v>
      </c>
      <c r="F52" s="117">
        <f t="shared" si="89"/>
        <v>229</v>
      </c>
      <c r="G52" s="116">
        <f t="shared" si="75"/>
        <v>0</v>
      </c>
      <c r="H52" s="117">
        <f t="shared" ref="H52:I52" si="90">sum(H48:H51)</f>
        <v>0</v>
      </c>
      <c r="I52" s="117">
        <f t="shared" si="90"/>
        <v>229</v>
      </c>
      <c r="J52" s="116">
        <f t="shared" si="76"/>
        <v>0</v>
      </c>
      <c r="K52" s="117">
        <f t="shared" ref="K52:L52" si="91">sum(K48:K51)</f>
        <v>47</v>
      </c>
      <c r="L52" s="118">
        <f t="shared" si="91"/>
        <v>692</v>
      </c>
      <c r="M52" s="84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</row>
    <row r="53">
      <c r="A53" s="57" t="s">
        <v>23</v>
      </c>
      <c r="B53" s="61">
        <v>23.0</v>
      </c>
      <c r="C53" s="63">
        <v>36.0</v>
      </c>
      <c r="D53" s="64">
        <f t="shared" si="74"/>
        <v>0.6388888889</v>
      </c>
      <c r="E53" s="53"/>
      <c r="F53" s="63">
        <v>36.0</v>
      </c>
      <c r="G53" s="64">
        <f t="shared" si="75"/>
        <v>0</v>
      </c>
      <c r="H53" s="53"/>
      <c r="I53" s="63">
        <v>36.0</v>
      </c>
      <c r="J53" s="64">
        <f t="shared" si="76"/>
        <v>0</v>
      </c>
      <c r="K53" s="61">
        <f t="shared" ref="K53:L53" si="92">H53+E53+B53</f>
        <v>23</v>
      </c>
      <c r="L53" s="114">
        <f t="shared" si="92"/>
        <v>108</v>
      </c>
      <c r="M53" s="105">
        <v>46215.0</v>
      </c>
      <c r="N53" s="53" t="s">
        <v>49</v>
      </c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</row>
    <row r="54">
      <c r="A54" s="57" t="s">
        <v>24</v>
      </c>
      <c r="B54" s="61">
        <v>29.0</v>
      </c>
      <c r="C54" s="63">
        <v>47.0</v>
      </c>
      <c r="D54" s="64">
        <f t="shared" si="74"/>
        <v>0.6170212766</v>
      </c>
      <c r="E54" s="53"/>
      <c r="F54" s="63">
        <v>46.0</v>
      </c>
      <c r="G54" s="64">
        <f t="shared" si="75"/>
        <v>0</v>
      </c>
      <c r="H54" s="53"/>
      <c r="I54" s="63">
        <v>46.0</v>
      </c>
      <c r="J54" s="64">
        <f t="shared" si="76"/>
        <v>0</v>
      </c>
      <c r="K54" s="61">
        <f t="shared" ref="K54:L54" si="93">H54+E54+B54</f>
        <v>29</v>
      </c>
      <c r="L54" s="114">
        <f t="shared" si="93"/>
        <v>139</v>
      </c>
      <c r="M54" s="105">
        <v>46216.0</v>
      </c>
      <c r="N54" s="53" t="s">
        <v>50</v>
      </c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</row>
    <row r="55">
      <c r="A55" s="57" t="s">
        <v>25</v>
      </c>
      <c r="B55" s="61">
        <v>12.0</v>
      </c>
      <c r="C55" s="63">
        <v>22.0</v>
      </c>
      <c r="D55" s="64">
        <f t="shared" si="74"/>
        <v>0.5454545455</v>
      </c>
      <c r="E55" s="53"/>
      <c r="F55" s="63">
        <v>21.0</v>
      </c>
      <c r="G55" s="64">
        <f t="shared" si="75"/>
        <v>0</v>
      </c>
      <c r="H55" s="53"/>
      <c r="I55" s="63">
        <v>21.0</v>
      </c>
      <c r="J55" s="64">
        <f t="shared" si="76"/>
        <v>0</v>
      </c>
      <c r="K55" s="61">
        <f t="shared" ref="K55:L55" si="94">H55+E55+B55</f>
        <v>12</v>
      </c>
      <c r="L55" s="114">
        <f t="shared" si="94"/>
        <v>64</v>
      </c>
      <c r="M55" s="105">
        <v>46216.0</v>
      </c>
      <c r="N55" s="53" t="s">
        <v>51</v>
      </c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</row>
    <row r="56">
      <c r="A56" s="70" t="s">
        <v>26</v>
      </c>
      <c r="B56" s="71">
        <f t="shared" ref="B56:C56" si="95">sum(B53:B55)</f>
        <v>64</v>
      </c>
      <c r="C56" s="71">
        <f t="shared" si="95"/>
        <v>105</v>
      </c>
      <c r="D56" s="64">
        <f t="shared" si="74"/>
        <v>0.6095238095</v>
      </c>
      <c r="E56" s="71">
        <f t="shared" ref="E56:F56" si="96">sum(E53:E55)</f>
        <v>0</v>
      </c>
      <c r="F56" s="71">
        <f t="shared" si="96"/>
        <v>103</v>
      </c>
      <c r="G56" s="64">
        <f t="shared" si="75"/>
        <v>0</v>
      </c>
      <c r="H56" s="71">
        <f t="shared" ref="H56:I56" si="97">sum(H53:H55)</f>
        <v>0</v>
      </c>
      <c r="I56" s="71">
        <f t="shared" si="97"/>
        <v>103</v>
      </c>
      <c r="J56" s="64">
        <f t="shared" si="76"/>
        <v>0</v>
      </c>
      <c r="K56" s="71">
        <f t="shared" ref="K56:L56" si="98">sum(K53:K55)</f>
        <v>64</v>
      </c>
      <c r="L56" s="115">
        <f t="shared" si="98"/>
        <v>311</v>
      </c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</row>
    <row r="57">
      <c r="A57" s="26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107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</row>
    <row r="58">
      <c r="A58" s="33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107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</row>
    <row r="59">
      <c r="A59" s="34" t="s">
        <v>8</v>
      </c>
      <c r="B59" s="35">
        <f t="shared" ref="B59:C59" si="99">B56+B52+B47</f>
        <v>192</v>
      </c>
      <c r="C59" s="35">
        <f t="shared" si="99"/>
        <v>568</v>
      </c>
      <c r="D59" s="119">
        <f>B59/C59</f>
        <v>0.338028169</v>
      </c>
      <c r="E59" s="35">
        <f t="shared" ref="E59:F59" si="100">E56+E52+E47</f>
        <v>0</v>
      </c>
      <c r="F59" s="35">
        <f t="shared" si="100"/>
        <v>557</v>
      </c>
      <c r="G59" s="119">
        <f>E59/F59</f>
        <v>0</v>
      </c>
      <c r="H59" s="35">
        <f t="shared" ref="H59:I59" si="101">H56+H52+H47</f>
        <v>0</v>
      </c>
      <c r="I59" s="35">
        <f t="shared" si="101"/>
        <v>557</v>
      </c>
      <c r="J59" s="119">
        <f>H59/I59</f>
        <v>0</v>
      </c>
      <c r="K59" s="35">
        <f t="shared" ref="K59:L59" si="102">K56+K52+K47</f>
        <v>192</v>
      </c>
      <c r="L59" s="37">
        <f t="shared" si="102"/>
        <v>1682</v>
      </c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120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</row>
    <row r="62">
      <c r="A62" s="45" t="s">
        <v>59</v>
      </c>
      <c r="B62" s="46"/>
      <c r="C62" s="46"/>
      <c r="D62" s="46"/>
      <c r="E62" s="46"/>
      <c r="F62" s="47"/>
      <c r="G62" s="51" t="s">
        <v>29</v>
      </c>
      <c r="H62" s="52" t="s">
        <v>30</v>
      </c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</row>
    <row r="63">
      <c r="A63" s="48"/>
      <c r="B63" s="54" t="s">
        <v>60</v>
      </c>
      <c r="C63" s="46"/>
      <c r="D63" s="50"/>
      <c r="E63" s="55" t="s">
        <v>61</v>
      </c>
      <c r="F63" s="47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</row>
    <row r="64">
      <c r="A64" s="57"/>
      <c r="B64" s="58" t="s">
        <v>62</v>
      </c>
      <c r="C64" s="58" t="s">
        <v>38</v>
      </c>
      <c r="D64" s="53"/>
      <c r="E64" s="53"/>
      <c r="F64" s="78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</row>
    <row r="65">
      <c r="A65" s="57" t="s">
        <v>14</v>
      </c>
      <c r="B65" s="61">
        <v>0.0</v>
      </c>
      <c r="C65" s="63">
        <v>7.0</v>
      </c>
      <c r="D65" s="64">
        <f t="shared" ref="D65:D78" si="103">B65/C65</f>
        <v>0</v>
      </c>
      <c r="E65" s="53"/>
      <c r="F65" s="114">
        <v>0.0</v>
      </c>
      <c r="G65" s="105">
        <v>46208.0</v>
      </c>
      <c r="H65" s="53" t="s">
        <v>43</v>
      </c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</row>
    <row r="66">
      <c r="A66" s="57" t="s">
        <v>15</v>
      </c>
      <c r="B66" s="61">
        <v>0.0</v>
      </c>
      <c r="C66" s="63">
        <v>5.0</v>
      </c>
      <c r="D66" s="64">
        <f t="shared" si="103"/>
        <v>0</v>
      </c>
      <c r="E66" s="53"/>
      <c r="F66" s="121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</row>
    <row r="67">
      <c r="A67" s="57" t="s">
        <v>16</v>
      </c>
      <c r="B67" s="61">
        <v>0.0</v>
      </c>
      <c r="C67" s="63">
        <v>6.0</v>
      </c>
      <c r="D67" s="64">
        <f t="shared" si="103"/>
        <v>0</v>
      </c>
      <c r="E67" s="53"/>
      <c r="F67" s="121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</row>
    <row r="68">
      <c r="A68" s="57" t="s">
        <v>46</v>
      </c>
      <c r="B68" s="61">
        <v>0.0</v>
      </c>
      <c r="C68" s="63">
        <v>8.0</v>
      </c>
      <c r="D68" s="64">
        <f t="shared" si="103"/>
        <v>0</v>
      </c>
      <c r="E68" s="53"/>
      <c r="F68" s="114">
        <v>1.0</v>
      </c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</row>
    <row r="69">
      <c r="A69" s="70" t="s">
        <v>17</v>
      </c>
      <c r="B69" s="71">
        <f t="shared" ref="B69:C69" si="104">sum(B65:B68)</f>
        <v>0</v>
      </c>
      <c r="C69" s="71">
        <f t="shared" si="104"/>
        <v>26</v>
      </c>
      <c r="D69" s="64">
        <f t="shared" si="103"/>
        <v>0</v>
      </c>
      <c r="E69" s="53"/>
      <c r="F69" s="115">
        <f>SUM(F65:F68)</f>
        <v>1</v>
      </c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</row>
    <row r="70">
      <c r="A70" s="16" t="s">
        <v>20</v>
      </c>
      <c r="B70" s="31"/>
      <c r="C70" s="97">
        <v>6.0</v>
      </c>
      <c r="D70" s="116">
        <f t="shared" si="103"/>
        <v>0</v>
      </c>
      <c r="E70" s="53"/>
      <c r="F70" s="114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</row>
    <row r="71">
      <c r="A71" s="16" t="s">
        <v>19</v>
      </c>
      <c r="B71" s="31"/>
      <c r="C71" s="97">
        <v>5.0</v>
      </c>
      <c r="D71" s="116">
        <f t="shared" si="103"/>
        <v>0</v>
      </c>
      <c r="E71" s="53"/>
      <c r="F71" s="121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</row>
    <row r="72">
      <c r="A72" s="16" t="s">
        <v>18</v>
      </c>
      <c r="B72" s="31"/>
      <c r="C72" s="97">
        <v>5.0</v>
      </c>
      <c r="D72" s="116">
        <f t="shared" si="103"/>
        <v>0</v>
      </c>
      <c r="E72" s="53"/>
      <c r="F72" s="121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</row>
    <row r="73">
      <c r="A73" s="16" t="s">
        <v>21</v>
      </c>
      <c r="B73" s="31"/>
      <c r="C73" s="97">
        <v>9.0</v>
      </c>
      <c r="D73" s="116">
        <f t="shared" si="103"/>
        <v>0</v>
      </c>
      <c r="E73" s="53"/>
      <c r="F73" s="114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</row>
    <row r="74">
      <c r="A74" s="26" t="s">
        <v>22</v>
      </c>
      <c r="B74" s="117">
        <f t="shared" ref="B74:C74" si="105">sum(B70:B73)</f>
        <v>0</v>
      </c>
      <c r="C74" s="117">
        <f t="shared" si="105"/>
        <v>25</v>
      </c>
      <c r="D74" s="116">
        <f t="shared" si="103"/>
        <v>0</v>
      </c>
      <c r="E74" s="53"/>
      <c r="F74" s="115">
        <f>SUM(F70:F73)</f>
        <v>0</v>
      </c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</row>
    <row r="75">
      <c r="A75" s="57" t="s">
        <v>23</v>
      </c>
      <c r="B75" s="61">
        <v>1.0</v>
      </c>
      <c r="C75" s="63">
        <v>6.0</v>
      </c>
      <c r="D75" s="64">
        <f t="shared" si="103"/>
        <v>0.1666666667</v>
      </c>
      <c r="E75" s="53"/>
      <c r="F75" s="114">
        <v>9.0</v>
      </c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</row>
    <row r="76">
      <c r="A76" s="57" t="s">
        <v>24</v>
      </c>
      <c r="B76" s="61">
        <v>3.0</v>
      </c>
      <c r="C76" s="63">
        <v>7.0</v>
      </c>
      <c r="D76" s="64">
        <f t="shared" si="103"/>
        <v>0.4285714286</v>
      </c>
      <c r="E76" s="53"/>
      <c r="F76" s="114">
        <v>1.0</v>
      </c>
      <c r="G76" s="105">
        <v>46209.0</v>
      </c>
      <c r="H76" s="53" t="s">
        <v>50</v>
      </c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</row>
    <row r="77">
      <c r="A77" s="57" t="s">
        <v>25</v>
      </c>
      <c r="B77" s="61">
        <v>0.0</v>
      </c>
      <c r="C77" s="63">
        <v>2.0</v>
      </c>
      <c r="D77" s="64">
        <f t="shared" si="103"/>
        <v>0</v>
      </c>
      <c r="E77" s="53"/>
      <c r="F77" s="121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</row>
    <row r="78">
      <c r="A78" s="70" t="s">
        <v>26</v>
      </c>
      <c r="B78" s="71">
        <f t="shared" ref="B78:C78" si="106">sum(B75:B77)</f>
        <v>4</v>
      </c>
      <c r="C78" s="71">
        <f t="shared" si="106"/>
        <v>15</v>
      </c>
      <c r="D78" s="64">
        <f t="shared" si="103"/>
        <v>0.2666666667</v>
      </c>
      <c r="E78" s="53"/>
      <c r="F78" s="115">
        <f>SUM(F75:F77)</f>
        <v>10</v>
      </c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</row>
    <row r="79">
      <c r="A79" s="26"/>
      <c r="B79" s="32"/>
      <c r="C79" s="32"/>
      <c r="D79" s="32"/>
      <c r="E79" s="53"/>
      <c r="F79" s="78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</row>
    <row r="80">
      <c r="A80" s="33"/>
      <c r="B80" s="32"/>
      <c r="C80" s="32"/>
      <c r="D80" s="32"/>
      <c r="E80" s="53"/>
      <c r="F80" s="78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</row>
    <row r="81">
      <c r="A81" s="34" t="s">
        <v>8</v>
      </c>
      <c r="B81" s="35">
        <f>B69+B74+B78</f>
        <v>4</v>
      </c>
      <c r="C81" s="35">
        <f>C78+C74+C69</f>
        <v>66</v>
      </c>
      <c r="D81" s="119">
        <f>B81/C81</f>
        <v>0.06060606061</v>
      </c>
      <c r="E81" s="122"/>
      <c r="F81" s="123">
        <f>F69+F74+F78</f>
        <v>11</v>
      </c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  <c r="AS997" s="53"/>
      <c r="AT997" s="53"/>
      <c r="AU997" s="53"/>
      <c r="AV997" s="53"/>
      <c r="AW997" s="53"/>
      <c r="AX997" s="53"/>
      <c r="AY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53"/>
      <c r="AX998" s="53"/>
      <c r="AY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53"/>
      <c r="AX999" s="53"/>
      <c r="AY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53"/>
      <c r="AU1000" s="53"/>
      <c r="AV1000" s="53"/>
      <c r="AW1000" s="53"/>
      <c r="AX1000" s="53"/>
      <c r="AY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  <c r="AO1001" s="53"/>
      <c r="AP1001" s="53"/>
      <c r="AQ1001" s="53"/>
      <c r="AR1001" s="53"/>
      <c r="AS1001" s="53"/>
      <c r="AT1001" s="53"/>
      <c r="AU1001" s="53"/>
      <c r="AV1001" s="53"/>
      <c r="AW1001" s="53"/>
      <c r="AX1001" s="53"/>
      <c r="AY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53"/>
      <c r="AU1002" s="53"/>
      <c r="AV1002" s="53"/>
      <c r="AW1002" s="53"/>
      <c r="AX1002" s="53"/>
      <c r="AY1002" s="53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3"/>
      <c r="AB1003" s="53"/>
      <c r="AC1003" s="53"/>
      <c r="AD1003" s="53"/>
      <c r="AE1003" s="53"/>
      <c r="AF1003" s="53"/>
      <c r="AG1003" s="53"/>
      <c r="AH1003" s="53"/>
      <c r="AI1003" s="53"/>
      <c r="AJ1003" s="53"/>
      <c r="AK1003" s="53"/>
      <c r="AL1003" s="53"/>
      <c r="AM1003" s="53"/>
      <c r="AN1003" s="53"/>
      <c r="AO1003" s="53"/>
      <c r="AP1003" s="53"/>
      <c r="AQ1003" s="53"/>
      <c r="AR1003" s="53"/>
      <c r="AS1003" s="53"/>
      <c r="AT1003" s="53"/>
      <c r="AU1003" s="53"/>
      <c r="AV1003" s="53"/>
      <c r="AW1003" s="53"/>
      <c r="AX1003" s="53"/>
      <c r="AY1003" s="53"/>
    </row>
    <row r="1004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  <c r="AA1004" s="53"/>
      <c r="AB1004" s="53"/>
      <c r="AC1004" s="53"/>
      <c r="AD1004" s="53"/>
      <c r="AE1004" s="53"/>
      <c r="AF1004" s="53"/>
      <c r="AG1004" s="53"/>
      <c r="AH1004" s="53"/>
      <c r="AI1004" s="53"/>
      <c r="AJ1004" s="53"/>
      <c r="AK1004" s="53"/>
      <c r="AL1004" s="53"/>
      <c r="AM1004" s="53"/>
      <c r="AN1004" s="53"/>
      <c r="AO1004" s="53"/>
      <c r="AP1004" s="53"/>
      <c r="AQ1004" s="53"/>
      <c r="AR1004" s="53"/>
      <c r="AS1004" s="53"/>
      <c r="AT1004" s="53"/>
      <c r="AU1004" s="53"/>
      <c r="AV1004" s="53"/>
      <c r="AW1004" s="53"/>
      <c r="AX1004" s="53"/>
      <c r="AY1004" s="53"/>
    </row>
    <row r="1005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53"/>
      <c r="AB1005" s="53"/>
      <c r="AC1005" s="53"/>
      <c r="AD1005" s="53"/>
      <c r="AE1005" s="53"/>
      <c r="AF1005" s="53"/>
      <c r="AG1005" s="53"/>
      <c r="AH1005" s="53"/>
      <c r="AI1005" s="53"/>
      <c r="AJ1005" s="53"/>
      <c r="AK1005" s="53"/>
      <c r="AL1005" s="53"/>
      <c r="AM1005" s="53"/>
      <c r="AN1005" s="53"/>
      <c r="AO1005" s="53"/>
      <c r="AP1005" s="53"/>
      <c r="AQ1005" s="53"/>
      <c r="AR1005" s="53"/>
      <c r="AS1005" s="53"/>
      <c r="AT1005" s="53"/>
      <c r="AU1005" s="53"/>
      <c r="AV1005" s="53"/>
      <c r="AW1005" s="53"/>
      <c r="AX1005" s="53"/>
      <c r="AY1005" s="53"/>
    </row>
    <row r="1006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  <c r="AA1006" s="53"/>
      <c r="AB1006" s="53"/>
      <c r="AC1006" s="53"/>
      <c r="AD1006" s="53"/>
      <c r="AE1006" s="53"/>
      <c r="AF1006" s="53"/>
      <c r="AG1006" s="53"/>
      <c r="AH1006" s="53"/>
      <c r="AI1006" s="53"/>
      <c r="AJ1006" s="53"/>
      <c r="AK1006" s="53"/>
      <c r="AL1006" s="53"/>
      <c r="AM1006" s="53"/>
      <c r="AN1006" s="53"/>
      <c r="AO1006" s="53"/>
      <c r="AP1006" s="53"/>
      <c r="AQ1006" s="53"/>
      <c r="AR1006" s="53"/>
      <c r="AS1006" s="53"/>
      <c r="AT1006" s="53"/>
      <c r="AU1006" s="53"/>
      <c r="AV1006" s="53"/>
      <c r="AW1006" s="53"/>
      <c r="AX1006" s="53"/>
      <c r="AY1006" s="53"/>
    </row>
    <row r="1007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  <c r="AA1007" s="53"/>
      <c r="AB1007" s="53"/>
      <c r="AC1007" s="53"/>
      <c r="AD1007" s="53"/>
      <c r="AE1007" s="53"/>
      <c r="AF1007" s="53"/>
      <c r="AG1007" s="53"/>
      <c r="AH1007" s="53"/>
      <c r="AI1007" s="53"/>
      <c r="AJ1007" s="53"/>
      <c r="AK1007" s="53"/>
      <c r="AL1007" s="53"/>
      <c r="AM1007" s="53"/>
      <c r="AN1007" s="53"/>
      <c r="AO1007" s="53"/>
      <c r="AP1007" s="53"/>
      <c r="AQ1007" s="53"/>
      <c r="AR1007" s="53"/>
      <c r="AS1007" s="53"/>
      <c r="AT1007" s="53"/>
      <c r="AU1007" s="53"/>
      <c r="AV1007" s="53"/>
      <c r="AW1007" s="53"/>
      <c r="AX1007" s="53"/>
      <c r="AY1007" s="53"/>
    </row>
    <row r="1008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  <c r="AA1008" s="53"/>
      <c r="AB1008" s="53"/>
      <c r="AC1008" s="53"/>
      <c r="AD1008" s="53"/>
      <c r="AE1008" s="53"/>
      <c r="AF1008" s="53"/>
      <c r="AG1008" s="53"/>
      <c r="AH1008" s="53"/>
      <c r="AI1008" s="53"/>
      <c r="AJ1008" s="53"/>
      <c r="AK1008" s="53"/>
      <c r="AL1008" s="53"/>
      <c r="AM1008" s="53"/>
      <c r="AN1008" s="53"/>
      <c r="AO1008" s="53"/>
      <c r="AP1008" s="53"/>
      <c r="AQ1008" s="53"/>
      <c r="AR1008" s="53"/>
      <c r="AS1008" s="53"/>
      <c r="AT1008" s="53"/>
      <c r="AU1008" s="53"/>
      <c r="AV1008" s="53"/>
      <c r="AW1008" s="53"/>
      <c r="AX1008" s="53"/>
      <c r="AY1008" s="53"/>
    </row>
    <row r="1009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  <c r="AA1009" s="53"/>
      <c r="AB1009" s="53"/>
      <c r="AC1009" s="53"/>
      <c r="AD1009" s="53"/>
      <c r="AE1009" s="53"/>
      <c r="AF1009" s="53"/>
      <c r="AG1009" s="53"/>
      <c r="AH1009" s="53"/>
      <c r="AI1009" s="53"/>
      <c r="AJ1009" s="53"/>
      <c r="AK1009" s="53"/>
      <c r="AL1009" s="53"/>
      <c r="AM1009" s="53"/>
      <c r="AN1009" s="53"/>
      <c r="AO1009" s="53"/>
      <c r="AP1009" s="53"/>
      <c r="AQ1009" s="53"/>
      <c r="AR1009" s="53"/>
      <c r="AS1009" s="53"/>
      <c r="AT1009" s="53"/>
      <c r="AU1009" s="53"/>
      <c r="AV1009" s="53"/>
      <c r="AW1009" s="53"/>
      <c r="AX1009" s="53"/>
      <c r="AY1009" s="53"/>
    </row>
    <row r="1010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3"/>
      <c r="AN1010" s="53"/>
      <c r="AO1010" s="53"/>
      <c r="AP1010" s="53"/>
      <c r="AQ1010" s="53"/>
      <c r="AR1010" s="53"/>
      <c r="AS1010" s="53"/>
      <c r="AT1010" s="53"/>
      <c r="AU1010" s="53"/>
      <c r="AV1010" s="53"/>
      <c r="AW1010" s="53"/>
      <c r="AX1010" s="53"/>
      <c r="AY1010" s="53"/>
    </row>
    <row r="1011">
      <c r="A1011" s="53"/>
      <c r="B1011" s="53"/>
      <c r="C1011" s="53"/>
      <c r="D1011" s="5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  <c r="W1011" s="53"/>
      <c r="X1011" s="53"/>
      <c r="Y1011" s="53"/>
      <c r="Z1011" s="53"/>
      <c r="AA1011" s="53"/>
      <c r="AB1011" s="53"/>
      <c r="AC1011" s="53"/>
      <c r="AD1011" s="53"/>
      <c r="AE1011" s="53"/>
      <c r="AF1011" s="53"/>
      <c r="AG1011" s="53"/>
      <c r="AH1011" s="53"/>
      <c r="AI1011" s="53"/>
      <c r="AJ1011" s="53"/>
      <c r="AK1011" s="53"/>
      <c r="AL1011" s="53"/>
      <c r="AM1011" s="53"/>
      <c r="AN1011" s="53"/>
      <c r="AO1011" s="53"/>
      <c r="AP1011" s="53"/>
      <c r="AQ1011" s="53"/>
      <c r="AR1011" s="53"/>
      <c r="AS1011" s="53"/>
      <c r="AT1011" s="53"/>
      <c r="AU1011" s="53"/>
      <c r="AV1011" s="53"/>
      <c r="AW1011" s="53"/>
      <c r="AX1011" s="53"/>
      <c r="AY1011" s="53"/>
    </row>
    <row r="1012">
      <c r="A1012" s="53"/>
      <c r="B1012" s="53"/>
      <c r="C1012" s="53"/>
      <c r="D1012" s="53"/>
      <c r="E1012" s="53"/>
      <c r="F1012" s="53"/>
      <c r="G1012" s="53"/>
      <c r="H1012" s="53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  <c r="W1012" s="53"/>
      <c r="X1012" s="53"/>
      <c r="Y1012" s="53"/>
      <c r="Z1012" s="53"/>
      <c r="AA1012" s="53"/>
      <c r="AB1012" s="53"/>
      <c r="AC1012" s="53"/>
      <c r="AD1012" s="53"/>
      <c r="AE1012" s="53"/>
      <c r="AF1012" s="53"/>
      <c r="AG1012" s="53"/>
      <c r="AH1012" s="53"/>
      <c r="AI1012" s="53"/>
      <c r="AJ1012" s="53"/>
      <c r="AK1012" s="53"/>
      <c r="AL1012" s="53"/>
      <c r="AM1012" s="53"/>
      <c r="AN1012" s="53"/>
      <c r="AO1012" s="53"/>
      <c r="AP1012" s="53"/>
      <c r="AQ1012" s="53"/>
      <c r="AR1012" s="53"/>
      <c r="AS1012" s="53"/>
      <c r="AT1012" s="53"/>
      <c r="AU1012" s="53"/>
      <c r="AV1012" s="53"/>
      <c r="AW1012" s="53"/>
      <c r="AX1012" s="53"/>
      <c r="AY1012" s="53"/>
    </row>
    <row r="1013">
      <c r="A1013" s="53"/>
      <c r="B1013" s="53"/>
      <c r="C1013" s="53"/>
      <c r="D1013" s="53"/>
      <c r="E1013" s="53"/>
      <c r="F1013" s="53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  <c r="W1013" s="53"/>
      <c r="X1013" s="53"/>
      <c r="Y1013" s="53"/>
      <c r="Z1013" s="53"/>
      <c r="AA1013" s="53"/>
      <c r="AB1013" s="53"/>
      <c r="AC1013" s="53"/>
      <c r="AD1013" s="53"/>
      <c r="AE1013" s="53"/>
      <c r="AF1013" s="53"/>
      <c r="AG1013" s="53"/>
      <c r="AH1013" s="53"/>
      <c r="AI1013" s="53"/>
      <c r="AJ1013" s="53"/>
      <c r="AK1013" s="53"/>
      <c r="AL1013" s="53"/>
      <c r="AM1013" s="53"/>
      <c r="AN1013" s="53"/>
      <c r="AO1013" s="53"/>
      <c r="AP1013" s="53"/>
      <c r="AQ1013" s="53"/>
      <c r="AR1013" s="53"/>
      <c r="AS1013" s="53"/>
      <c r="AT1013" s="53"/>
      <c r="AU1013" s="53"/>
      <c r="AV1013" s="53"/>
      <c r="AW1013" s="53"/>
      <c r="AX1013" s="53"/>
      <c r="AY1013" s="53"/>
    </row>
    <row r="1014">
      <c r="A1014" s="53"/>
      <c r="B1014" s="53"/>
      <c r="C1014" s="53"/>
      <c r="D1014" s="53"/>
      <c r="E1014" s="53"/>
      <c r="F1014" s="53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3"/>
      <c r="X1014" s="53"/>
      <c r="Y1014" s="53"/>
      <c r="Z1014" s="53"/>
      <c r="AA1014" s="53"/>
      <c r="AB1014" s="53"/>
      <c r="AC1014" s="53"/>
      <c r="AD1014" s="53"/>
      <c r="AE1014" s="53"/>
      <c r="AF1014" s="53"/>
      <c r="AG1014" s="53"/>
      <c r="AH1014" s="53"/>
      <c r="AI1014" s="53"/>
      <c r="AJ1014" s="53"/>
      <c r="AK1014" s="53"/>
      <c r="AL1014" s="53"/>
      <c r="AM1014" s="53"/>
      <c r="AN1014" s="53"/>
      <c r="AO1014" s="53"/>
      <c r="AP1014" s="53"/>
      <c r="AQ1014" s="53"/>
      <c r="AR1014" s="53"/>
      <c r="AS1014" s="53"/>
      <c r="AT1014" s="53"/>
      <c r="AU1014" s="53"/>
      <c r="AV1014" s="53"/>
      <c r="AW1014" s="53"/>
      <c r="AX1014" s="53"/>
      <c r="AY1014" s="53"/>
    </row>
    <row r="1015">
      <c r="A1015" s="53"/>
      <c r="B1015" s="53"/>
      <c r="C1015" s="53"/>
      <c r="D1015" s="53"/>
      <c r="E1015" s="53"/>
      <c r="F1015" s="53"/>
      <c r="G1015" s="53"/>
      <c r="H1015" s="53"/>
      <c r="I1015" s="53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  <c r="W1015" s="53"/>
      <c r="X1015" s="53"/>
      <c r="Y1015" s="53"/>
      <c r="Z1015" s="53"/>
      <c r="AA1015" s="53"/>
      <c r="AB1015" s="53"/>
      <c r="AC1015" s="53"/>
      <c r="AD1015" s="53"/>
      <c r="AE1015" s="53"/>
      <c r="AF1015" s="53"/>
      <c r="AG1015" s="53"/>
      <c r="AH1015" s="53"/>
      <c r="AI1015" s="53"/>
      <c r="AJ1015" s="53"/>
      <c r="AK1015" s="53"/>
      <c r="AL1015" s="53"/>
      <c r="AM1015" s="53"/>
      <c r="AN1015" s="53"/>
      <c r="AO1015" s="53"/>
      <c r="AP1015" s="53"/>
      <c r="AQ1015" s="53"/>
      <c r="AR1015" s="53"/>
      <c r="AS1015" s="53"/>
      <c r="AT1015" s="53"/>
      <c r="AU1015" s="53"/>
      <c r="AV1015" s="53"/>
      <c r="AW1015" s="53"/>
      <c r="AX1015" s="53"/>
      <c r="AY1015" s="53"/>
    </row>
    <row r="1016">
      <c r="A1016" s="53"/>
      <c r="B1016" s="53"/>
      <c r="C1016" s="53"/>
      <c r="D1016" s="53"/>
      <c r="E1016" s="53"/>
      <c r="F1016" s="53"/>
      <c r="G1016" s="53"/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  <c r="W1016" s="53"/>
      <c r="X1016" s="53"/>
      <c r="Y1016" s="53"/>
      <c r="Z1016" s="53"/>
      <c r="AA1016" s="53"/>
      <c r="AB1016" s="53"/>
      <c r="AC1016" s="53"/>
      <c r="AD1016" s="53"/>
      <c r="AE1016" s="53"/>
      <c r="AF1016" s="53"/>
      <c r="AG1016" s="53"/>
      <c r="AH1016" s="53"/>
      <c r="AI1016" s="53"/>
      <c r="AJ1016" s="53"/>
      <c r="AK1016" s="53"/>
      <c r="AL1016" s="53"/>
      <c r="AM1016" s="53"/>
      <c r="AN1016" s="53"/>
      <c r="AO1016" s="53"/>
      <c r="AP1016" s="53"/>
      <c r="AQ1016" s="53"/>
      <c r="AR1016" s="53"/>
      <c r="AS1016" s="53"/>
      <c r="AT1016" s="53"/>
      <c r="AU1016" s="53"/>
      <c r="AV1016" s="53"/>
      <c r="AW1016" s="53"/>
      <c r="AX1016" s="53"/>
      <c r="AY1016" s="53"/>
    </row>
  </sheetData>
  <mergeCells count="17">
    <mergeCell ref="A1:W1"/>
    <mergeCell ref="B2:E2"/>
    <mergeCell ref="H2:L2"/>
    <mergeCell ref="N2:R2"/>
    <mergeCell ref="T2:W2"/>
    <mergeCell ref="A25:R25"/>
    <mergeCell ref="B26:E26"/>
    <mergeCell ref="O26:R26"/>
    <mergeCell ref="B63:C63"/>
    <mergeCell ref="E63:F63"/>
    <mergeCell ref="F26:I26"/>
    <mergeCell ref="J26:M26"/>
    <mergeCell ref="A40:L40"/>
    <mergeCell ref="B41:C41"/>
    <mergeCell ref="E41:G41"/>
    <mergeCell ref="H41:J41"/>
    <mergeCell ref="A62:F6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9.0"/>
    <col customWidth="1" min="3" max="3" width="8.63"/>
    <col customWidth="1" min="4" max="4" width="7.13"/>
    <col customWidth="1" min="5" max="7" width="8.13"/>
    <col customWidth="1" min="8" max="8" width="8.63"/>
    <col customWidth="1" min="9" max="9" width="7.88"/>
    <col customWidth="1" min="10" max="10" width="11.0"/>
    <col customWidth="1" min="11" max="11" width="8.5"/>
    <col customWidth="1" min="12" max="13" width="9.38"/>
    <col customWidth="1" min="14" max="14" width="8.63"/>
    <col customWidth="1" min="15" max="15" width="7.88"/>
    <col customWidth="1" min="16" max="16" width="9.25"/>
    <col customWidth="1" min="17" max="17" width="9.88"/>
    <col customWidth="1" min="18" max="18" width="9.38"/>
    <col customWidth="1" min="19" max="19" width="7.13"/>
    <col customWidth="1" min="20" max="20" width="10.13"/>
    <col customWidth="1" min="21" max="21" width="9.0"/>
    <col customWidth="1" min="22" max="22" width="11.38"/>
    <col customWidth="1" min="23" max="23" width="5.88"/>
    <col customWidth="1" min="24" max="24" width="7.13"/>
    <col customWidth="1" min="25" max="26" width="9.88"/>
    <col customWidth="1" min="27" max="27" width="7.75"/>
    <col customWidth="1" min="29" max="29" width="7.63"/>
    <col customWidth="1" min="30" max="30" width="4.5"/>
    <col customWidth="1" min="32" max="34" width="8.75"/>
    <col customWidth="1" min="35" max="35" width="10.5"/>
    <col customWidth="1" min="36" max="50" width="8.75"/>
  </cols>
  <sheetData>
    <row r="1">
      <c r="A1" s="124" t="s">
        <v>63</v>
      </c>
      <c r="AC1" s="40"/>
    </row>
    <row r="3">
      <c r="A3" s="125" t="s">
        <v>28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7"/>
      <c r="X3" s="128"/>
      <c r="Y3" s="129"/>
      <c r="Z3" s="129"/>
      <c r="AA3" s="130"/>
      <c r="AB3" s="131"/>
      <c r="AC3" s="110" t="s">
        <v>29</v>
      </c>
      <c r="AD3" s="132" t="s">
        <v>30</v>
      </c>
    </row>
    <row r="4">
      <c r="A4" s="133"/>
      <c r="B4" s="134" t="s">
        <v>64</v>
      </c>
      <c r="C4" s="90"/>
      <c r="D4" s="90"/>
      <c r="E4" s="90"/>
      <c r="F4" s="135"/>
      <c r="G4" s="135" t="s">
        <v>65</v>
      </c>
      <c r="H4" s="90"/>
      <c r="I4" s="90"/>
      <c r="J4" s="90"/>
      <c r="K4" s="90"/>
      <c r="L4" s="135"/>
      <c r="M4" s="135" t="s">
        <v>66</v>
      </c>
      <c r="N4" s="90"/>
      <c r="O4" s="90"/>
      <c r="P4" s="90"/>
      <c r="Q4" s="90"/>
      <c r="R4" s="136"/>
      <c r="S4" s="137"/>
      <c r="T4" s="135" t="s">
        <v>8</v>
      </c>
      <c r="U4" s="90"/>
      <c r="V4" s="90"/>
      <c r="W4" s="92"/>
      <c r="X4" s="9"/>
      <c r="Y4" s="9"/>
      <c r="Z4" s="9"/>
      <c r="AB4" s="138"/>
      <c r="AD4" s="136"/>
    </row>
    <row r="5">
      <c r="A5" s="139"/>
      <c r="B5" s="93" t="s">
        <v>34</v>
      </c>
      <c r="C5" s="93" t="s">
        <v>36</v>
      </c>
      <c r="D5" s="93" t="s">
        <v>37</v>
      </c>
      <c r="E5" s="93" t="s">
        <v>38</v>
      </c>
      <c r="F5" s="93"/>
      <c r="G5" s="93" t="s">
        <v>34</v>
      </c>
      <c r="H5" s="140" t="s">
        <v>35</v>
      </c>
      <c r="I5" s="93" t="s">
        <v>36</v>
      </c>
      <c r="J5" s="93" t="s">
        <v>37</v>
      </c>
      <c r="K5" s="93" t="s">
        <v>38</v>
      </c>
      <c r="L5" s="93"/>
      <c r="M5" s="93" t="s">
        <v>34</v>
      </c>
      <c r="N5" s="140" t="s">
        <v>35</v>
      </c>
      <c r="O5" s="93" t="s">
        <v>36</v>
      </c>
      <c r="P5" s="93" t="s">
        <v>37</v>
      </c>
      <c r="Q5" s="93" t="s">
        <v>38</v>
      </c>
      <c r="R5" s="93"/>
      <c r="S5" s="93" t="s">
        <v>7</v>
      </c>
      <c r="T5" s="93" t="s">
        <v>34</v>
      </c>
      <c r="U5" s="93" t="s">
        <v>36</v>
      </c>
      <c r="V5" s="93" t="s">
        <v>37</v>
      </c>
      <c r="W5" s="94" t="s">
        <v>38</v>
      </c>
      <c r="X5" s="141" t="s">
        <v>39</v>
      </c>
      <c r="Y5" s="142" t="s">
        <v>40</v>
      </c>
      <c r="Z5" s="142" t="s">
        <v>41</v>
      </c>
      <c r="AA5" s="8" t="s">
        <v>9</v>
      </c>
      <c r="AB5" s="143" t="s">
        <v>42</v>
      </c>
      <c r="AD5" s="136"/>
    </row>
    <row r="6">
      <c r="A6" s="144" t="s">
        <v>14</v>
      </c>
      <c r="B6" s="17">
        <v>26.0</v>
      </c>
      <c r="C6" s="17"/>
      <c r="D6" s="96">
        <f t="shared" ref="D6:D9" si="1">SUM(B6:C6)</f>
        <v>26</v>
      </c>
      <c r="E6" s="97">
        <v>21.0</v>
      </c>
      <c r="F6" s="116">
        <f t="shared" ref="F6:F19" si="2">D6/E6</f>
        <v>1.238095238</v>
      </c>
      <c r="G6" s="17">
        <v>31.0</v>
      </c>
      <c r="H6" s="17"/>
      <c r="I6" s="17">
        <v>1.0</v>
      </c>
      <c r="J6" s="96">
        <f t="shared" ref="J6:J9" si="3">SUM(G6:I6)</f>
        <v>32</v>
      </c>
      <c r="K6" s="97">
        <v>27.0</v>
      </c>
      <c r="L6" s="116">
        <f t="shared" ref="L6:L19" si="4">J6/K6</f>
        <v>1.185185185</v>
      </c>
      <c r="M6" s="145">
        <v>42.0</v>
      </c>
      <c r="N6" s="145">
        <v>0.0</v>
      </c>
      <c r="O6" s="145">
        <v>1.0</v>
      </c>
      <c r="P6" s="96">
        <f t="shared" ref="P6:P9" si="5">SUM(M6:O6)</f>
        <v>43</v>
      </c>
      <c r="Q6" s="97">
        <v>48.0</v>
      </c>
      <c r="R6" s="116">
        <f t="shared" ref="R6:R19" si="6">P6/Q6</f>
        <v>0.8958333333</v>
      </c>
      <c r="S6" s="99"/>
      <c r="T6" s="31">
        <f t="shared" ref="T6:T9" si="7">M6+G6+B6+N6+H6</f>
        <v>99</v>
      </c>
      <c r="U6" s="31">
        <f t="shared" ref="U6:U9" si="8">O6+I6+C6</f>
        <v>2</v>
      </c>
      <c r="V6" s="96">
        <f t="shared" ref="V6:V9" si="9">sum(S6:U6)</f>
        <v>101</v>
      </c>
      <c r="W6" s="100">
        <f t="shared" ref="W6:W9" si="10">E6+K6+Q6</f>
        <v>96</v>
      </c>
      <c r="X6" s="146">
        <f t="shared" ref="X6:X9" si="11">W6-V6</f>
        <v>-5</v>
      </c>
      <c r="Y6" s="16">
        <f t="shared" ref="Y6:Y9" si="12">round(X6/$Y$26*7,0)</f>
        <v>3</v>
      </c>
      <c r="Z6" s="16">
        <f t="shared" ref="Z6:Z9" si="13">U6+T6</f>
        <v>101</v>
      </c>
      <c r="AA6" s="31">
        <f t="shared" ref="AA6:AA9" si="14">W6</f>
        <v>96</v>
      </c>
      <c r="AB6" s="147">
        <f t="shared" ref="AB6:AB9" si="15">(T6+U6)/W6</f>
        <v>1.052083333</v>
      </c>
      <c r="AC6" s="148">
        <v>46203.0</v>
      </c>
      <c r="AD6" s="149" t="s">
        <v>57</v>
      </c>
      <c r="AR6" s="136"/>
      <c r="AS6" s="136"/>
      <c r="AT6" s="136"/>
      <c r="AU6" s="136"/>
      <c r="AV6" s="136"/>
      <c r="AW6" s="136"/>
      <c r="AX6" s="136"/>
      <c r="AY6" s="136"/>
      <c r="AZ6" s="136"/>
    </row>
    <row r="7">
      <c r="A7" s="144" t="s">
        <v>15</v>
      </c>
      <c r="B7" s="17">
        <v>23.0</v>
      </c>
      <c r="C7" s="17"/>
      <c r="D7" s="96">
        <f t="shared" si="1"/>
        <v>23</v>
      </c>
      <c r="E7" s="97">
        <v>15.0</v>
      </c>
      <c r="F7" s="116">
        <f t="shared" si="2"/>
        <v>1.533333333</v>
      </c>
      <c r="G7" s="17">
        <v>27.0</v>
      </c>
      <c r="H7" s="17"/>
      <c r="I7" s="17">
        <v>1.0</v>
      </c>
      <c r="J7" s="96">
        <f t="shared" si="3"/>
        <v>28</v>
      </c>
      <c r="K7" s="97">
        <v>20.0</v>
      </c>
      <c r="L7" s="116">
        <f t="shared" si="4"/>
        <v>1.4</v>
      </c>
      <c r="M7" s="145">
        <v>25.0</v>
      </c>
      <c r="N7" s="150"/>
      <c r="O7" s="145">
        <v>1.0</v>
      </c>
      <c r="P7" s="96">
        <f t="shared" si="5"/>
        <v>26</v>
      </c>
      <c r="Q7" s="97">
        <v>36.0</v>
      </c>
      <c r="R7" s="116">
        <f t="shared" si="6"/>
        <v>0.7222222222</v>
      </c>
      <c r="S7" s="99"/>
      <c r="T7" s="31">
        <f t="shared" si="7"/>
        <v>75</v>
      </c>
      <c r="U7" s="31">
        <f t="shared" si="8"/>
        <v>2</v>
      </c>
      <c r="V7" s="96">
        <f t="shared" si="9"/>
        <v>77</v>
      </c>
      <c r="W7" s="100">
        <f t="shared" si="10"/>
        <v>71</v>
      </c>
      <c r="X7" s="146">
        <f t="shared" si="11"/>
        <v>-6</v>
      </c>
      <c r="Y7" s="16">
        <f t="shared" si="12"/>
        <v>3</v>
      </c>
      <c r="Z7" s="16">
        <f t="shared" si="13"/>
        <v>77</v>
      </c>
      <c r="AA7" s="31">
        <f t="shared" si="14"/>
        <v>71</v>
      </c>
      <c r="AB7" s="147">
        <f t="shared" si="15"/>
        <v>1.084507042</v>
      </c>
      <c r="AC7" s="148">
        <v>46203.0</v>
      </c>
      <c r="AD7" s="149" t="s">
        <v>57</v>
      </c>
      <c r="AR7" s="136"/>
      <c r="AS7" s="136"/>
      <c r="AT7" s="136"/>
      <c r="AU7" s="136"/>
      <c r="AV7" s="136"/>
      <c r="AW7" s="136"/>
      <c r="AX7" s="136"/>
      <c r="AY7" s="136"/>
      <c r="AZ7" s="136"/>
    </row>
    <row r="8">
      <c r="A8" s="144" t="s">
        <v>16</v>
      </c>
      <c r="B8" s="17">
        <v>22.0</v>
      </c>
      <c r="C8" s="151"/>
      <c r="D8" s="96">
        <f t="shared" si="1"/>
        <v>22</v>
      </c>
      <c r="E8" s="97">
        <v>17.0</v>
      </c>
      <c r="F8" s="116">
        <f t="shared" si="2"/>
        <v>1.294117647</v>
      </c>
      <c r="G8" s="17">
        <v>41.0</v>
      </c>
      <c r="H8" s="17"/>
      <c r="I8" s="17"/>
      <c r="J8" s="96">
        <f t="shared" si="3"/>
        <v>41</v>
      </c>
      <c r="K8" s="97">
        <v>23.0</v>
      </c>
      <c r="L8" s="116">
        <f t="shared" si="4"/>
        <v>1.782608696</v>
      </c>
      <c r="M8" s="73">
        <v>25.0</v>
      </c>
      <c r="N8" s="145">
        <v>2.0</v>
      </c>
      <c r="O8" s="150"/>
      <c r="P8" s="96">
        <f t="shared" si="5"/>
        <v>27</v>
      </c>
      <c r="Q8" s="97">
        <v>40.0</v>
      </c>
      <c r="R8" s="116">
        <f t="shared" si="6"/>
        <v>0.675</v>
      </c>
      <c r="S8" s="99"/>
      <c r="T8" s="31">
        <f t="shared" si="7"/>
        <v>90</v>
      </c>
      <c r="U8" s="31">
        <f t="shared" si="8"/>
        <v>0</v>
      </c>
      <c r="V8" s="96">
        <f t="shared" si="9"/>
        <v>90</v>
      </c>
      <c r="W8" s="100">
        <f t="shared" si="10"/>
        <v>80</v>
      </c>
      <c r="X8" s="146">
        <f t="shared" si="11"/>
        <v>-10</v>
      </c>
      <c r="Y8" s="16">
        <f t="shared" si="12"/>
        <v>5</v>
      </c>
      <c r="Z8" s="16">
        <f t="shared" si="13"/>
        <v>90</v>
      </c>
      <c r="AA8" s="31">
        <f t="shared" si="14"/>
        <v>80</v>
      </c>
      <c r="AB8" s="147">
        <f t="shared" si="15"/>
        <v>1.125</v>
      </c>
      <c r="AC8" s="148">
        <v>46203.0</v>
      </c>
      <c r="AD8" s="149" t="s">
        <v>57</v>
      </c>
      <c r="AR8" s="136"/>
      <c r="AS8" s="136"/>
      <c r="AT8" s="136"/>
      <c r="AU8" s="136"/>
      <c r="AV8" s="136"/>
      <c r="AW8" s="136"/>
      <c r="AX8" s="136"/>
      <c r="AY8" s="136"/>
      <c r="AZ8" s="136"/>
    </row>
    <row r="9">
      <c r="A9" s="144" t="s">
        <v>46</v>
      </c>
      <c r="B9" s="25">
        <v>43.0</v>
      </c>
      <c r="C9" s="152">
        <v>9.0</v>
      </c>
      <c r="D9" s="96">
        <f t="shared" si="1"/>
        <v>52</v>
      </c>
      <c r="E9" s="97">
        <v>29.0</v>
      </c>
      <c r="F9" s="116">
        <f t="shared" si="2"/>
        <v>1.793103448</v>
      </c>
      <c r="G9" s="17">
        <v>38.0</v>
      </c>
      <c r="H9" s="17">
        <v>0.0</v>
      </c>
      <c r="I9" s="17">
        <v>7.0</v>
      </c>
      <c r="J9" s="96">
        <f t="shared" si="3"/>
        <v>45</v>
      </c>
      <c r="K9" s="97">
        <v>37.0</v>
      </c>
      <c r="L9" s="116">
        <f t="shared" si="4"/>
        <v>1.216216216</v>
      </c>
      <c r="M9" s="73">
        <v>43.0</v>
      </c>
      <c r="N9" s="145">
        <v>1.0</v>
      </c>
      <c r="O9" s="73">
        <v>6.0</v>
      </c>
      <c r="P9" s="96">
        <f t="shared" si="5"/>
        <v>50</v>
      </c>
      <c r="Q9" s="97">
        <v>60.0</v>
      </c>
      <c r="R9" s="116">
        <f t="shared" si="6"/>
        <v>0.8333333333</v>
      </c>
      <c r="S9" s="99"/>
      <c r="T9" s="31">
        <f t="shared" si="7"/>
        <v>125</v>
      </c>
      <c r="U9" s="31">
        <f t="shared" si="8"/>
        <v>22</v>
      </c>
      <c r="V9" s="96">
        <f t="shared" si="9"/>
        <v>147</v>
      </c>
      <c r="W9" s="100">
        <f t="shared" si="10"/>
        <v>126</v>
      </c>
      <c r="X9" s="146">
        <f t="shared" si="11"/>
        <v>-21</v>
      </c>
      <c r="Y9" s="16">
        <f t="shared" si="12"/>
        <v>11</v>
      </c>
      <c r="Z9" s="16">
        <f t="shared" si="13"/>
        <v>147</v>
      </c>
      <c r="AA9" s="31">
        <f t="shared" si="14"/>
        <v>126</v>
      </c>
      <c r="AB9" s="147">
        <f t="shared" si="15"/>
        <v>1.166666667</v>
      </c>
      <c r="AC9" s="148">
        <v>46203.0</v>
      </c>
      <c r="AD9" s="149" t="s">
        <v>57</v>
      </c>
      <c r="AR9" s="136"/>
      <c r="AS9" s="136"/>
      <c r="AT9" s="136"/>
      <c r="AU9" s="136"/>
      <c r="AV9" s="136"/>
      <c r="AW9" s="136"/>
      <c r="AX9" s="136"/>
      <c r="AY9" s="136"/>
      <c r="AZ9" s="136"/>
    </row>
    <row r="10">
      <c r="A10" s="153" t="s">
        <v>17</v>
      </c>
      <c r="B10" s="27">
        <f t="shared" ref="B10:E10" si="16">sum(B6:B9)</f>
        <v>114</v>
      </c>
      <c r="C10" s="27">
        <f t="shared" si="16"/>
        <v>9</v>
      </c>
      <c r="D10" s="27">
        <f t="shared" si="16"/>
        <v>123</v>
      </c>
      <c r="E10" s="27">
        <f t="shared" si="16"/>
        <v>82</v>
      </c>
      <c r="F10" s="154">
        <f t="shared" si="2"/>
        <v>1.5</v>
      </c>
      <c r="G10" s="27">
        <f t="shared" ref="G10:K10" si="17">sum(G6:G9)</f>
        <v>137</v>
      </c>
      <c r="H10" s="27">
        <f t="shared" si="17"/>
        <v>0</v>
      </c>
      <c r="I10" s="27">
        <f t="shared" si="17"/>
        <v>9</v>
      </c>
      <c r="J10" s="27">
        <f t="shared" si="17"/>
        <v>146</v>
      </c>
      <c r="K10" s="27">
        <f t="shared" si="17"/>
        <v>107</v>
      </c>
      <c r="L10" s="154">
        <f t="shared" si="4"/>
        <v>1.364485981</v>
      </c>
      <c r="M10" s="27">
        <f t="shared" ref="M10:Q10" si="18">sum(M6:M9)</f>
        <v>135</v>
      </c>
      <c r="N10" s="27">
        <f t="shared" si="18"/>
        <v>3</v>
      </c>
      <c r="O10" s="27">
        <f t="shared" si="18"/>
        <v>8</v>
      </c>
      <c r="P10" s="27">
        <f t="shared" si="18"/>
        <v>146</v>
      </c>
      <c r="Q10" s="27">
        <f t="shared" si="18"/>
        <v>184</v>
      </c>
      <c r="R10" s="154">
        <f t="shared" si="6"/>
        <v>0.7934782609</v>
      </c>
      <c r="S10" s="27">
        <f t="shared" ref="S10:X10" si="19">sum(S6:S9)</f>
        <v>0</v>
      </c>
      <c r="T10" s="27">
        <f t="shared" si="19"/>
        <v>389</v>
      </c>
      <c r="U10" s="27">
        <f t="shared" si="19"/>
        <v>26</v>
      </c>
      <c r="V10" s="27">
        <f t="shared" si="19"/>
        <v>415</v>
      </c>
      <c r="W10" s="104">
        <f t="shared" si="19"/>
        <v>373</v>
      </c>
      <c r="X10" s="155">
        <f t="shared" si="19"/>
        <v>-42</v>
      </c>
      <c r="Y10" s="155">
        <f>round(X10/Y26*7,0)</f>
        <v>23</v>
      </c>
      <c r="Z10" s="155">
        <f t="shared" ref="Z10:AA10" si="20">sum(Z6:Z9)</f>
        <v>415</v>
      </c>
      <c r="AA10" s="27">
        <f t="shared" si="20"/>
        <v>373</v>
      </c>
      <c r="AB10" s="156">
        <f>Z10/AA10</f>
        <v>1.112600536</v>
      </c>
      <c r="AD10" s="149"/>
      <c r="AR10" s="136"/>
      <c r="AS10" s="136"/>
      <c r="AT10" s="136"/>
      <c r="AU10" s="136"/>
      <c r="AV10" s="136"/>
      <c r="AW10" s="136"/>
      <c r="AX10" s="136"/>
      <c r="AY10" s="136"/>
      <c r="AZ10" s="136"/>
    </row>
    <row r="11">
      <c r="A11" s="144" t="s">
        <v>20</v>
      </c>
      <c r="B11" s="31">
        <v>10.0</v>
      </c>
      <c r="C11" s="31"/>
      <c r="D11" s="96">
        <f t="shared" ref="D11:D14" si="21">SUM(B11:C11)</f>
        <v>10</v>
      </c>
      <c r="E11" s="97">
        <v>16.0</v>
      </c>
      <c r="F11" s="116">
        <f t="shared" si="2"/>
        <v>0.625</v>
      </c>
      <c r="G11" s="17">
        <v>31.0</v>
      </c>
      <c r="H11" s="17"/>
      <c r="I11" s="17"/>
      <c r="J11" s="96">
        <f t="shared" ref="J11:J14" si="22">SUM(G11:I11)</f>
        <v>31</v>
      </c>
      <c r="K11" s="97">
        <v>21.0</v>
      </c>
      <c r="L11" s="116">
        <f t="shared" si="4"/>
        <v>1.476190476</v>
      </c>
      <c r="M11" s="17">
        <v>32.0</v>
      </c>
      <c r="N11" s="17"/>
      <c r="O11" s="17"/>
      <c r="P11" s="96">
        <f t="shared" ref="P11:P14" si="23">SUM(M11:O11)</f>
        <v>32</v>
      </c>
      <c r="Q11" s="97">
        <v>36.0</v>
      </c>
      <c r="R11" s="116">
        <f t="shared" si="6"/>
        <v>0.8888888889</v>
      </c>
      <c r="S11" s="99"/>
      <c r="T11" s="31">
        <f t="shared" ref="T11:T14" si="24">M11+G11+B11+N11+H11</f>
        <v>73</v>
      </c>
      <c r="U11" s="31">
        <f t="shared" ref="U11:U14" si="25">O11+I11+C11</f>
        <v>0</v>
      </c>
      <c r="V11" s="96">
        <f t="shared" ref="V11:V14" si="26">sum(S11:U11)</f>
        <v>73</v>
      </c>
      <c r="W11" s="100">
        <f t="shared" ref="W11:W14" si="27">E11+K11+Q11</f>
        <v>73</v>
      </c>
      <c r="X11" s="146">
        <f t="shared" ref="X11:X14" si="28">W11-V11</f>
        <v>0</v>
      </c>
      <c r="Y11" s="16">
        <f t="shared" ref="Y11:Y14" si="29">round(X11/$Y$26*7,0)</f>
        <v>0</v>
      </c>
      <c r="Z11" s="16">
        <f t="shared" ref="Z11:Z14" si="30">U11+T11</f>
        <v>73</v>
      </c>
      <c r="AA11" s="31">
        <f t="shared" ref="AA11:AA14" si="31">W11</f>
        <v>73</v>
      </c>
      <c r="AB11" s="147">
        <f t="shared" ref="AB11:AB14" si="32">(T11+U11)/W11</f>
        <v>1</v>
      </c>
      <c r="AC11" s="148">
        <v>46204.0</v>
      </c>
      <c r="AD11" s="149" t="s">
        <v>48</v>
      </c>
      <c r="AR11" s="136"/>
      <c r="AS11" s="136"/>
      <c r="AT11" s="136"/>
      <c r="AU11" s="136"/>
      <c r="AV11" s="136"/>
      <c r="AW11" s="136"/>
      <c r="AX11" s="136"/>
      <c r="AY11" s="136"/>
      <c r="AZ11" s="136"/>
    </row>
    <row r="12">
      <c r="A12" s="144" t="s">
        <v>19</v>
      </c>
      <c r="B12" s="31">
        <v>27.0</v>
      </c>
      <c r="C12" s="31">
        <v>1.0</v>
      </c>
      <c r="D12" s="96">
        <f t="shared" si="21"/>
        <v>28</v>
      </c>
      <c r="E12" s="97">
        <v>17.0</v>
      </c>
      <c r="F12" s="116">
        <f t="shared" si="2"/>
        <v>1.647058824</v>
      </c>
      <c r="G12" s="17">
        <v>25.0</v>
      </c>
      <c r="H12" s="17"/>
      <c r="I12" s="17">
        <v>1.0</v>
      </c>
      <c r="J12" s="96">
        <f t="shared" si="22"/>
        <v>26</v>
      </c>
      <c r="K12" s="97">
        <v>24.0</v>
      </c>
      <c r="L12" s="116">
        <f t="shared" si="4"/>
        <v>1.083333333</v>
      </c>
      <c r="M12" s="17">
        <v>28.0</v>
      </c>
      <c r="N12" s="17"/>
      <c r="O12" s="17">
        <v>5.0</v>
      </c>
      <c r="P12" s="96">
        <f t="shared" si="23"/>
        <v>33</v>
      </c>
      <c r="Q12" s="97">
        <v>42.0</v>
      </c>
      <c r="R12" s="116">
        <f t="shared" si="6"/>
        <v>0.7857142857</v>
      </c>
      <c r="S12" s="99"/>
      <c r="T12" s="31">
        <f t="shared" si="24"/>
        <v>80</v>
      </c>
      <c r="U12" s="31">
        <f t="shared" si="25"/>
        <v>7</v>
      </c>
      <c r="V12" s="96">
        <f t="shared" si="26"/>
        <v>87</v>
      </c>
      <c r="W12" s="100">
        <f t="shared" si="27"/>
        <v>83</v>
      </c>
      <c r="X12" s="146">
        <f t="shared" si="28"/>
        <v>-4</v>
      </c>
      <c r="Y12" s="16">
        <f t="shared" si="29"/>
        <v>2</v>
      </c>
      <c r="Z12" s="16">
        <f t="shared" si="30"/>
        <v>87</v>
      </c>
      <c r="AA12" s="31">
        <f t="shared" si="31"/>
        <v>83</v>
      </c>
      <c r="AB12" s="147">
        <f t="shared" si="32"/>
        <v>1.048192771</v>
      </c>
      <c r="AC12" s="148">
        <v>46204.0</v>
      </c>
      <c r="AD12" s="149" t="s">
        <v>48</v>
      </c>
      <c r="AE12" s="12"/>
      <c r="AR12" s="136"/>
      <c r="AS12" s="136"/>
      <c r="AT12" s="136"/>
      <c r="AU12" s="136"/>
      <c r="AV12" s="136"/>
      <c r="AW12" s="136"/>
      <c r="AX12" s="136"/>
      <c r="AY12" s="136"/>
      <c r="AZ12" s="136"/>
    </row>
    <row r="13">
      <c r="A13" s="144" t="s">
        <v>18</v>
      </c>
      <c r="B13" s="31">
        <v>18.0</v>
      </c>
      <c r="C13" s="31"/>
      <c r="D13" s="96">
        <f t="shared" si="21"/>
        <v>18</v>
      </c>
      <c r="E13" s="97">
        <v>18.0</v>
      </c>
      <c r="F13" s="116">
        <f t="shared" si="2"/>
        <v>1</v>
      </c>
      <c r="G13" s="17">
        <v>26.0</v>
      </c>
      <c r="H13" s="17"/>
      <c r="I13" s="17"/>
      <c r="J13" s="96">
        <f t="shared" si="22"/>
        <v>26</v>
      </c>
      <c r="K13" s="97">
        <v>23.0</v>
      </c>
      <c r="L13" s="116">
        <f t="shared" si="4"/>
        <v>1.130434783</v>
      </c>
      <c r="M13" s="17">
        <v>39.0</v>
      </c>
      <c r="N13" s="17"/>
      <c r="O13" s="17"/>
      <c r="P13" s="96">
        <f t="shared" si="23"/>
        <v>39</v>
      </c>
      <c r="Q13" s="97">
        <v>40.0</v>
      </c>
      <c r="R13" s="116">
        <f t="shared" si="6"/>
        <v>0.975</v>
      </c>
      <c r="S13" s="99"/>
      <c r="T13" s="31">
        <f t="shared" si="24"/>
        <v>83</v>
      </c>
      <c r="U13" s="31">
        <f t="shared" si="25"/>
        <v>0</v>
      </c>
      <c r="V13" s="96">
        <f t="shared" si="26"/>
        <v>83</v>
      </c>
      <c r="W13" s="100">
        <f t="shared" si="27"/>
        <v>81</v>
      </c>
      <c r="X13" s="146">
        <f t="shared" si="28"/>
        <v>-2</v>
      </c>
      <c r="Y13" s="16">
        <f t="shared" si="29"/>
        <v>1</v>
      </c>
      <c r="Z13" s="16">
        <f t="shared" si="30"/>
        <v>83</v>
      </c>
      <c r="AA13" s="31">
        <f t="shared" si="31"/>
        <v>81</v>
      </c>
      <c r="AB13" s="147">
        <f t="shared" si="32"/>
        <v>1.024691358</v>
      </c>
      <c r="AC13" s="148">
        <v>46204.0</v>
      </c>
      <c r="AD13" s="149" t="s">
        <v>48</v>
      </c>
      <c r="AR13" s="136"/>
      <c r="AS13" s="136"/>
      <c r="AT13" s="136"/>
      <c r="AU13" s="136"/>
      <c r="AV13" s="136"/>
      <c r="AW13" s="136"/>
      <c r="AX13" s="136"/>
      <c r="AY13" s="136"/>
      <c r="AZ13" s="136"/>
    </row>
    <row r="14">
      <c r="A14" s="144" t="s">
        <v>21</v>
      </c>
      <c r="B14" s="31">
        <v>30.0</v>
      </c>
      <c r="C14" s="31"/>
      <c r="D14" s="96">
        <f t="shared" si="21"/>
        <v>30</v>
      </c>
      <c r="E14" s="97">
        <v>30.0</v>
      </c>
      <c r="F14" s="116">
        <f t="shared" si="2"/>
        <v>1</v>
      </c>
      <c r="G14" s="17">
        <v>40.0</v>
      </c>
      <c r="H14" s="17"/>
      <c r="I14" s="17"/>
      <c r="J14" s="96">
        <f t="shared" si="22"/>
        <v>40</v>
      </c>
      <c r="K14" s="97">
        <v>39.0</v>
      </c>
      <c r="L14" s="116">
        <f t="shared" si="4"/>
        <v>1.025641026</v>
      </c>
      <c r="M14" s="17">
        <v>62.0</v>
      </c>
      <c r="N14" s="17"/>
      <c r="O14" s="17"/>
      <c r="P14" s="96">
        <f t="shared" si="23"/>
        <v>62</v>
      </c>
      <c r="Q14" s="97">
        <v>66.0</v>
      </c>
      <c r="R14" s="116">
        <f t="shared" si="6"/>
        <v>0.9393939394</v>
      </c>
      <c r="S14" s="99"/>
      <c r="T14" s="31">
        <f t="shared" si="24"/>
        <v>132</v>
      </c>
      <c r="U14" s="31">
        <f t="shared" si="25"/>
        <v>0</v>
      </c>
      <c r="V14" s="96">
        <f t="shared" si="26"/>
        <v>132</v>
      </c>
      <c r="W14" s="100">
        <f t="shared" si="27"/>
        <v>135</v>
      </c>
      <c r="X14" s="146">
        <f t="shared" si="28"/>
        <v>3</v>
      </c>
      <c r="Y14" s="16">
        <f t="shared" si="29"/>
        <v>-2</v>
      </c>
      <c r="Z14" s="16">
        <f t="shared" si="30"/>
        <v>132</v>
      </c>
      <c r="AA14" s="31">
        <f t="shared" si="31"/>
        <v>135</v>
      </c>
      <c r="AB14" s="147">
        <f t="shared" si="32"/>
        <v>0.9777777778</v>
      </c>
      <c r="AC14" s="148">
        <v>46204.0</v>
      </c>
      <c r="AD14" s="149" t="s">
        <v>48</v>
      </c>
      <c r="AR14" s="136"/>
      <c r="AS14" s="136"/>
      <c r="AT14" s="136"/>
      <c r="AU14" s="136"/>
      <c r="AV14" s="136"/>
      <c r="AW14" s="136"/>
      <c r="AX14" s="136"/>
      <c r="AY14" s="136"/>
      <c r="AZ14" s="136"/>
    </row>
    <row r="15">
      <c r="A15" s="153" t="s">
        <v>22</v>
      </c>
      <c r="B15" s="27">
        <f t="shared" ref="B15:E15" si="33">sum(B11:B14)</f>
        <v>85</v>
      </c>
      <c r="C15" s="27">
        <f t="shared" si="33"/>
        <v>1</v>
      </c>
      <c r="D15" s="27">
        <f t="shared" si="33"/>
        <v>86</v>
      </c>
      <c r="E15" s="27">
        <f t="shared" si="33"/>
        <v>81</v>
      </c>
      <c r="F15" s="154">
        <f t="shared" si="2"/>
        <v>1.061728395</v>
      </c>
      <c r="G15" s="27">
        <f t="shared" ref="G15:K15" si="34">sum(G11:G14)</f>
        <v>122</v>
      </c>
      <c r="H15" s="27">
        <f t="shared" si="34"/>
        <v>0</v>
      </c>
      <c r="I15" s="27">
        <f t="shared" si="34"/>
        <v>1</v>
      </c>
      <c r="J15" s="27">
        <f t="shared" si="34"/>
        <v>123</v>
      </c>
      <c r="K15" s="27">
        <f t="shared" si="34"/>
        <v>107</v>
      </c>
      <c r="L15" s="154">
        <f t="shared" si="4"/>
        <v>1.14953271</v>
      </c>
      <c r="M15" s="27">
        <f t="shared" ref="M15:Q15" si="35">sum(M11:M14)</f>
        <v>161</v>
      </c>
      <c r="N15" s="27">
        <f t="shared" si="35"/>
        <v>0</v>
      </c>
      <c r="O15" s="27">
        <f t="shared" si="35"/>
        <v>5</v>
      </c>
      <c r="P15" s="27">
        <f t="shared" si="35"/>
        <v>166</v>
      </c>
      <c r="Q15" s="27">
        <f t="shared" si="35"/>
        <v>184</v>
      </c>
      <c r="R15" s="154">
        <f t="shared" si="6"/>
        <v>0.902173913</v>
      </c>
      <c r="S15" s="27">
        <f t="shared" ref="S15:X15" si="36">sum(S11:S14)</f>
        <v>0</v>
      </c>
      <c r="T15" s="27">
        <f t="shared" si="36"/>
        <v>368</v>
      </c>
      <c r="U15" s="27">
        <f t="shared" si="36"/>
        <v>7</v>
      </c>
      <c r="V15" s="27">
        <f t="shared" si="36"/>
        <v>375</v>
      </c>
      <c r="W15" s="104">
        <f t="shared" si="36"/>
        <v>372</v>
      </c>
      <c r="X15" s="155">
        <f t="shared" si="36"/>
        <v>-3</v>
      </c>
      <c r="Y15" s="155">
        <f>round(X15/Y26*7,0)</f>
        <v>2</v>
      </c>
      <c r="Z15" s="155">
        <f t="shared" ref="Z15:AA15" si="37">sum(Z11:Z14)</f>
        <v>375</v>
      </c>
      <c r="AA15" s="27">
        <f t="shared" si="37"/>
        <v>372</v>
      </c>
      <c r="AB15" s="156">
        <f>Z15/AA15</f>
        <v>1.008064516</v>
      </c>
      <c r="AD15" s="149"/>
      <c r="AR15" s="136"/>
      <c r="AS15" s="136"/>
      <c r="AT15" s="136"/>
      <c r="AU15" s="136"/>
      <c r="AV15" s="136"/>
      <c r="AW15" s="136"/>
      <c r="AX15" s="136"/>
      <c r="AY15" s="136"/>
      <c r="AZ15" s="136"/>
    </row>
    <row r="16">
      <c r="A16" s="144" t="s">
        <v>23</v>
      </c>
      <c r="B16" s="31">
        <v>18.0</v>
      </c>
      <c r="C16" s="31">
        <v>4.0</v>
      </c>
      <c r="D16" s="96">
        <f t="shared" ref="D16:D18" si="38">SUM(B16:C16)</f>
        <v>22</v>
      </c>
      <c r="E16" s="97">
        <v>22.0</v>
      </c>
      <c r="F16" s="116">
        <f t="shared" si="2"/>
        <v>1</v>
      </c>
      <c r="G16" s="17">
        <v>21.0</v>
      </c>
      <c r="H16" s="17"/>
      <c r="I16" s="17">
        <v>6.0</v>
      </c>
      <c r="J16" s="96">
        <f t="shared" ref="J16:J18" si="39">SUM(G16:I16)</f>
        <v>27</v>
      </c>
      <c r="K16" s="97">
        <v>26.0</v>
      </c>
      <c r="L16" s="116">
        <f t="shared" si="4"/>
        <v>1.038461538</v>
      </c>
      <c r="M16" s="73">
        <v>23.0</v>
      </c>
      <c r="N16" s="73">
        <v>4.0</v>
      </c>
      <c r="O16" s="145">
        <v>3.0</v>
      </c>
      <c r="P16" s="96">
        <f t="shared" ref="P16:P18" si="40">SUM(M16:O16)</f>
        <v>30</v>
      </c>
      <c r="Q16" s="97">
        <v>44.0</v>
      </c>
      <c r="R16" s="116">
        <f t="shared" si="6"/>
        <v>0.6818181818</v>
      </c>
      <c r="S16" s="99"/>
      <c r="T16" s="31">
        <f t="shared" ref="T16:T18" si="41">M16+G16+B16+N16+H16</f>
        <v>66</v>
      </c>
      <c r="U16" s="31">
        <f t="shared" ref="U16:U18" si="42">O16+I16+C16</f>
        <v>13</v>
      </c>
      <c r="V16" s="96">
        <f t="shared" ref="V16:V18" si="43">sum(S16:U16)</f>
        <v>79</v>
      </c>
      <c r="W16" s="100">
        <f t="shared" ref="W16:W18" si="44">E16+K16+Q16</f>
        <v>92</v>
      </c>
      <c r="X16" s="146">
        <f t="shared" ref="X16:X18" si="45">W16-V16</f>
        <v>13</v>
      </c>
      <c r="Y16" s="16">
        <f t="shared" ref="Y16:Y18" si="46">round(X16/$Y$26*7,0)</f>
        <v>-7</v>
      </c>
      <c r="Z16" s="16">
        <f t="shared" ref="Z16:Z18" si="47">U16+T16</f>
        <v>79</v>
      </c>
      <c r="AA16" s="31">
        <f t="shared" ref="AA16:AA18" si="48">W16</f>
        <v>92</v>
      </c>
      <c r="AB16" s="147">
        <f t="shared" ref="AB16:AB18" si="49">(T16+U16)/W16</f>
        <v>0.8586956522</v>
      </c>
      <c r="AC16" s="148">
        <v>46203.0</v>
      </c>
      <c r="AD16" s="149" t="s">
        <v>57</v>
      </c>
      <c r="AR16" s="136"/>
      <c r="AS16" s="136"/>
      <c r="AT16" s="136"/>
      <c r="AU16" s="136"/>
      <c r="AV16" s="136"/>
      <c r="AW16" s="136"/>
      <c r="AX16" s="136"/>
      <c r="AY16" s="136"/>
      <c r="AZ16" s="136"/>
    </row>
    <row r="17">
      <c r="A17" s="144" t="s">
        <v>24</v>
      </c>
      <c r="B17" s="31">
        <v>19.0</v>
      </c>
      <c r="C17" s="31">
        <v>6.0</v>
      </c>
      <c r="D17" s="96">
        <f t="shared" si="38"/>
        <v>25</v>
      </c>
      <c r="E17" s="97">
        <v>21.0</v>
      </c>
      <c r="F17" s="116">
        <f t="shared" si="2"/>
        <v>1.19047619</v>
      </c>
      <c r="G17" s="17">
        <v>37.0</v>
      </c>
      <c r="H17" s="17">
        <v>1.0</v>
      </c>
      <c r="I17" s="17">
        <v>0.0</v>
      </c>
      <c r="J17" s="96">
        <f t="shared" si="39"/>
        <v>38</v>
      </c>
      <c r="K17" s="97">
        <v>27.0</v>
      </c>
      <c r="L17" s="116">
        <f t="shared" si="4"/>
        <v>1.407407407</v>
      </c>
      <c r="M17" s="145">
        <v>31.0</v>
      </c>
      <c r="N17" s="145">
        <v>1.0</v>
      </c>
      <c r="O17" s="145">
        <v>2.0</v>
      </c>
      <c r="P17" s="96">
        <f t="shared" si="40"/>
        <v>34</v>
      </c>
      <c r="Q17" s="97">
        <v>49.0</v>
      </c>
      <c r="R17" s="116">
        <f t="shared" si="6"/>
        <v>0.693877551</v>
      </c>
      <c r="S17" s="99"/>
      <c r="T17" s="31">
        <f t="shared" si="41"/>
        <v>89</v>
      </c>
      <c r="U17" s="31">
        <f t="shared" si="42"/>
        <v>8</v>
      </c>
      <c r="V17" s="96">
        <f t="shared" si="43"/>
        <v>97</v>
      </c>
      <c r="W17" s="100">
        <f t="shared" si="44"/>
        <v>97</v>
      </c>
      <c r="X17" s="146">
        <f t="shared" si="45"/>
        <v>0</v>
      </c>
      <c r="Y17" s="16">
        <f t="shared" si="46"/>
        <v>0</v>
      </c>
      <c r="Z17" s="16">
        <f t="shared" si="47"/>
        <v>97</v>
      </c>
      <c r="AA17" s="31">
        <f t="shared" si="48"/>
        <v>97</v>
      </c>
      <c r="AB17" s="147">
        <f t="shared" si="49"/>
        <v>1</v>
      </c>
      <c r="AC17" s="148">
        <v>46203.0</v>
      </c>
      <c r="AD17" s="149" t="s">
        <v>57</v>
      </c>
      <c r="AR17" s="136"/>
      <c r="AS17" s="136"/>
      <c r="AT17" s="136"/>
      <c r="AU17" s="136"/>
      <c r="AV17" s="136"/>
      <c r="AW17" s="136"/>
      <c r="AX17" s="136"/>
      <c r="AY17" s="136"/>
      <c r="AZ17" s="136"/>
    </row>
    <row r="18">
      <c r="A18" s="144" t="s">
        <v>25</v>
      </c>
      <c r="B18" s="31">
        <v>6.0</v>
      </c>
      <c r="C18" s="31"/>
      <c r="D18" s="96">
        <f t="shared" si="38"/>
        <v>6</v>
      </c>
      <c r="E18" s="97">
        <v>6.0</v>
      </c>
      <c r="F18" s="116">
        <f t="shared" si="2"/>
        <v>1</v>
      </c>
      <c r="G18" s="17">
        <v>7.0</v>
      </c>
      <c r="H18" s="17"/>
      <c r="I18" s="17"/>
      <c r="J18" s="96">
        <f t="shared" si="39"/>
        <v>7</v>
      </c>
      <c r="K18" s="97">
        <v>9.0</v>
      </c>
      <c r="L18" s="116">
        <f t="shared" si="4"/>
        <v>0.7777777778</v>
      </c>
      <c r="M18" s="73">
        <v>15.0</v>
      </c>
      <c r="N18" s="145">
        <v>2.0</v>
      </c>
      <c r="O18" s="150"/>
      <c r="P18" s="96">
        <f t="shared" si="40"/>
        <v>17</v>
      </c>
      <c r="Q18" s="97">
        <v>13.0</v>
      </c>
      <c r="R18" s="116">
        <f t="shared" si="6"/>
        <v>1.307692308</v>
      </c>
      <c r="S18" s="99"/>
      <c r="T18" s="31">
        <f t="shared" si="41"/>
        <v>30</v>
      </c>
      <c r="U18" s="31">
        <f t="shared" si="42"/>
        <v>0</v>
      </c>
      <c r="V18" s="96">
        <f t="shared" si="43"/>
        <v>30</v>
      </c>
      <c r="W18" s="100">
        <f t="shared" si="44"/>
        <v>28</v>
      </c>
      <c r="X18" s="146">
        <f t="shared" si="45"/>
        <v>-2</v>
      </c>
      <c r="Y18" s="16">
        <f t="shared" si="46"/>
        <v>1</v>
      </c>
      <c r="Z18" s="16">
        <f t="shared" si="47"/>
        <v>30</v>
      </c>
      <c r="AA18" s="31">
        <f t="shared" si="48"/>
        <v>28</v>
      </c>
      <c r="AB18" s="147">
        <f t="shared" si="49"/>
        <v>1.071428571</v>
      </c>
      <c r="AC18" s="148">
        <v>46203.0</v>
      </c>
      <c r="AD18" s="149" t="s">
        <v>57</v>
      </c>
      <c r="AR18" s="136"/>
      <c r="AS18" s="136"/>
      <c r="AT18" s="136"/>
      <c r="AU18" s="136"/>
      <c r="AV18" s="136"/>
      <c r="AW18" s="136"/>
      <c r="AX18" s="136"/>
      <c r="AY18" s="136"/>
      <c r="AZ18" s="136"/>
    </row>
    <row r="19">
      <c r="A19" s="153" t="s">
        <v>26</v>
      </c>
      <c r="B19" s="27">
        <f t="shared" ref="B19:E19" si="50">sum(B16:B18)</f>
        <v>43</v>
      </c>
      <c r="C19" s="27">
        <f t="shared" si="50"/>
        <v>10</v>
      </c>
      <c r="D19" s="27">
        <f t="shared" si="50"/>
        <v>53</v>
      </c>
      <c r="E19" s="27">
        <f t="shared" si="50"/>
        <v>49</v>
      </c>
      <c r="F19" s="154">
        <f t="shared" si="2"/>
        <v>1.081632653</v>
      </c>
      <c r="G19" s="27">
        <f t="shared" ref="G19:K19" si="51">sum(G16:G18)</f>
        <v>65</v>
      </c>
      <c r="H19" s="27">
        <f t="shared" si="51"/>
        <v>1</v>
      </c>
      <c r="I19" s="27">
        <f t="shared" si="51"/>
        <v>6</v>
      </c>
      <c r="J19" s="27">
        <f t="shared" si="51"/>
        <v>72</v>
      </c>
      <c r="K19" s="27">
        <f t="shared" si="51"/>
        <v>62</v>
      </c>
      <c r="L19" s="154">
        <f t="shared" si="4"/>
        <v>1.161290323</v>
      </c>
      <c r="M19" s="27">
        <f t="shared" ref="M19:Q19" si="52">sum(M16:M18)</f>
        <v>69</v>
      </c>
      <c r="N19" s="27">
        <f t="shared" si="52"/>
        <v>7</v>
      </c>
      <c r="O19" s="27">
        <f t="shared" si="52"/>
        <v>5</v>
      </c>
      <c r="P19" s="27">
        <f t="shared" si="52"/>
        <v>81</v>
      </c>
      <c r="Q19" s="27">
        <f t="shared" si="52"/>
        <v>106</v>
      </c>
      <c r="R19" s="154">
        <f t="shared" si="6"/>
        <v>0.7641509434</v>
      </c>
      <c r="S19" s="27">
        <f t="shared" ref="S19:X19" si="53">sum(S16:S18)</f>
        <v>0</v>
      </c>
      <c r="T19" s="27">
        <f t="shared" si="53"/>
        <v>185</v>
      </c>
      <c r="U19" s="27">
        <f t="shared" si="53"/>
        <v>21</v>
      </c>
      <c r="V19" s="27">
        <f t="shared" si="53"/>
        <v>206</v>
      </c>
      <c r="W19" s="104">
        <f t="shared" si="53"/>
        <v>217</v>
      </c>
      <c r="X19" s="155">
        <f t="shared" si="53"/>
        <v>11</v>
      </c>
      <c r="Y19" s="155">
        <f>round(X19/Y26*7,0)</f>
        <v>-6</v>
      </c>
      <c r="Z19" s="155">
        <f t="shared" ref="Z19:AA19" si="54">sum(Z16:Z18)</f>
        <v>206</v>
      </c>
      <c r="AA19" s="27">
        <f t="shared" si="54"/>
        <v>217</v>
      </c>
      <c r="AB19" s="156">
        <f>Z19/AA19</f>
        <v>0.9493087558</v>
      </c>
      <c r="AC19" s="157"/>
      <c r="AD19" s="149"/>
      <c r="AR19" s="136"/>
      <c r="AS19" s="136"/>
      <c r="AT19" s="136"/>
      <c r="AU19" s="136"/>
      <c r="AV19" s="136"/>
      <c r="AW19" s="136"/>
      <c r="AX19" s="136"/>
      <c r="AY19" s="136"/>
      <c r="AZ19" s="136"/>
    </row>
    <row r="20">
      <c r="A20" s="153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107"/>
      <c r="X20" s="33"/>
      <c r="Y20" s="158"/>
      <c r="Z20" s="158"/>
      <c r="AA20" s="159"/>
      <c r="AB20" s="160"/>
      <c r="AD20" s="136"/>
      <c r="AR20" s="136"/>
      <c r="AS20" s="136"/>
      <c r="AT20" s="136"/>
      <c r="AU20" s="136"/>
      <c r="AV20" s="136"/>
      <c r="AW20" s="136"/>
      <c r="AX20" s="136"/>
      <c r="AY20" s="136"/>
      <c r="AZ20" s="136"/>
    </row>
    <row r="21">
      <c r="A21" s="16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107"/>
      <c r="X21" s="33"/>
      <c r="Y21" s="158"/>
      <c r="Z21" s="158"/>
      <c r="AA21" s="159"/>
      <c r="AB21" s="160"/>
      <c r="AD21" s="136"/>
      <c r="AR21" s="136"/>
      <c r="AS21" s="136"/>
      <c r="AT21" s="136"/>
      <c r="AU21" s="136"/>
      <c r="AV21" s="136"/>
      <c r="AW21" s="136"/>
      <c r="AX21" s="136"/>
      <c r="AY21" s="136"/>
      <c r="AZ21" s="136"/>
    </row>
    <row r="22">
      <c r="A22" s="162" t="s">
        <v>8</v>
      </c>
      <c r="B22" s="163">
        <f t="shared" ref="B22:E22" si="55">B19+B15+B10</f>
        <v>242</v>
      </c>
      <c r="C22" s="163">
        <f t="shared" si="55"/>
        <v>20</v>
      </c>
      <c r="D22" s="163">
        <f t="shared" si="55"/>
        <v>262</v>
      </c>
      <c r="E22" s="163">
        <f t="shared" si="55"/>
        <v>212</v>
      </c>
      <c r="F22" s="164">
        <f>D22/E22</f>
        <v>1.235849057</v>
      </c>
      <c r="G22" s="163">
        <f t="shared" ref="G22:K22" si="56">G19+G15+G10</f>
        <v>324</v>
      </c>
      <c r="H22" s="163">
        <f t="shared" si="56"/>
        <v>1</v>
      </c>
      <c r="I22" s="163">
        <f t="shared" si="56"/>
        <v>16</v>
      </c>
      <c r="J22" s="163">
        <f t="shared" si="56"/>
        <v>341</v>
      </c>
      <c r="K22" s="163">
        <f t="shared" si="56"/>
        <v>276</v>
      </c>
      <c r="L22" s="164">
        <f>J22/K22</f>
        <v>1.235507246</v>
      </c>
      <c r="M22" s="163">
        <f t="shared" ref="M22:Q22" si="57">M19+M15+M10</f>
        <v>365</v>
      </c>
      <c r="N22" s="163">
        <f t="shared" si="57"/>
        <v>10</v>
      </c>
      <c r="O22" s="163">
        <f t="shared" si="57"/>
        <v>18</v>
      </c>
      <c r="P22" s="163">
        <f t="shared" si="57"/>
        <v>393</v>
      </c>
      <c r="Q22" s="163">
        <f t="shared" si="57"/>
        <v>474</v>
      </c>
      <c r="R22" s="164">
        <f>P22/Q22</f>
        <v>0.8291139241</v>
      </c>
      <c r="S22" s="163">
        <f t="shared" ref="S22:X22" si="58">S19+S15+S10</f>
        <v>0</v>
      </c>
      <c r="T22" s="163">
        <f t="shared" si="58"/>
        <v>942</v>
      </c>
      <c r="U22" s="163">
        <f t="shared" si="58"/>
        <v>54</v>
      </c>
      <c r="V22" s="163">
        <f t="shared" si="58"/>
        <v>996</v>
      </c>
      <c r="W22" s="165">
        <f t="shared" si="58"/>
        <v>962</v>
      </c>
      <c r="X22" s="166">
        <f t="shared" si="58"/>
        <v>-34</v>
      </c>
      <c r="Y22" s="167">
        <f>round(X22/Y26*7,0)</f>
        <v>18</v>
      </c>
      <c r="Z22" s="166">
        <f t="shared" ref="Z22:AA22" si="59">Z19+Z15+Z10</f>
        <v>996</v>
      </c>
      <c r="AA22" s="163">
        <f t="shared" si="59"/>
        <v>962</v>
      </c>
      <c r="AB22" s="168">
        <f>(T22+U22)/W22</f>
        <v>1.035343035</v>
      </c>
      <c r="AD22" s="136"/>
      <c r="AR22" s="136"/>
      <c r="AS22" s="136"/>
      <c r="AT22" s="136"/>
      <c r="AU22" s="136"/>
      <c r="AV22" s="136"/>
      <c r="AW22" s="136"/>
      <c r="AX22" s="136"/>
      <c r="AY22" s="136"/>
      <c r="AZ22" s="136"/>
    </row>
    <row r="23">
      <c r="AR23" s="136"/>
      <c r="AS23" s="136"/>
      <c r="AT23" s="136"/>
      <c r="AU23" s="136"/>
      <c r="AV23" s="136"/>
      <c r="AW23" s="136"/>
      <c r="AX23" s="136"/>
      <c r="AY23" s="136"/>
      <c r="AZ23" s="136"/>
    </row>
    <row r="24">
      <c r="Y24" s="1">
        <v>46203.0</v>
      </c>
      <c r="Z24" s="44"/>
      <c r="AA24" s="21">
        <f>AA22-Z22</f>
        <v>-34</v>
      </c>
      <c r="AR24" s="136"/>
      <c r="AS24" s="136"/>
      <c r="AT24" s="136"/>
      <c r="AU24" s="136"/>
      <c r="AV24" s="136"/>
      <c r="AW24" s="136"/>
      <c r="AX24" s="136"/>
      <c r="AY24" s="136"/>
      <c r="AZ24" s="136"/>
    </row>
    <row r="25">
      <c r="A25" s="86" t="s">
        <v>52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8"/>
      <c r="S25" s="110" t="s">
        <v>29</v>
      </c>
      <c r="T25" s="111" t="s">
        <v>30</v>
      </c>
      <c r="Y25" s="169">
        <f>today()</f>
        <v>46216</v>
      </c>
    </row>
    <row r="26">
      <c r="A26" s="13"/>
      <c r="B26" s="134" t="s">
        <v>67</v>
      </c>
      <c r="C26" s="90"/>
      <c r="D26" s="90"/>
      <c r="E26" s="90"/>
      <c r="F26" s="134" t="s">
        <v>65</v>
      </c>
      <c r="G26" s="90"/>
      <c r="H26" s="90"/>
      <c r="I26" s="90"/>
      <c r="J26" s="134" t="s">
        <v>66</v>
      </c>
      <c r="K26" s="90"/>
      <c r="L26" s="90"/>
      <c r="M26" s="90"/>
      <c r="N26" s="134"/>
      <c r="O26" s="135" t="s">
        <v>8</v>
      </c>
      <c r="P26" s="90"/>
      <c r="Q26" s="90"/>
      <c r="R26" s="92"/>
      <c r="Y26" s="20">
        <f>Y24-Y25</f>
        <v>-13</v>
      </c>
    </row>
    <row r="27">
      <c r="A27" s="13"/>
      <c r="B27" s="93" t="s">
        <v>54</v>
      </c>
      <c r="C27" s="93" t="s">
        <v>55</v>
      </c>
      <c r="D27" s="93" t="s">
        <v>37</v>
      </c>
      <c r="E27" s="93" t="s">
        <v>56</v>
      </c>
      <c r="F27" s="93" t="s">
        <v>54</v>
      </c>
      <c r="G27" s="93" t="s">
        <v>55</v>
      </c>
      <c r="H27" s="93" t="s">
        <v>37</v>
      </c>
      <c r="I27" s="93" t="s">
        <v>56</v>
      </c>
      <c r="J27" s="93" t="s">
        <v>54</v>
      </c>
      <c r="K27" s="93" t="s">
        <v>55</v>
      </c>
      <c r="L27" s="93" t="s">
        <v>37</v>
      </c>
      <c r="M27" s="93" t="s">
        <v>56</v>
      </c>
      <c r="N27" s="93"/>
      <c r="O27" s="93" t="s">
        <v>54</v>
      </c>
      <c r="P27" s="93" t="s">
        <v>55</v>
      </c>
      <c r="Q27" s="93" t="s">
        <v>37</v>
      </c>
      <c r="R27" s="94" t="s">
        <v>56</v>
      </c>
      <c r="W27" s="136"/>
    </row>
    <row r="28">
      <c r="A28" s="95" t="s">
        <v>13</v>
      </c>
      <c r="B28" s="17">
        <v>198.0</v>
      </c>
      <c r="C28" s="17">
        <v>0.0</v>
      </c>
      <c r="D28" s="96">
        <f>SUM(B28:C28)</f>
        <v>198</v>
      </c>
      <c r="E28" s="97">
        <v>100.0</v>
      </c>
      <c r="F28" s="98">
        <v>128.0</v>
      </c>
      <c r="G28" s="17">
        <v>0.0</v>
      </c>
      <c r="H28" s="96">
        <f>SUM(F28:G28)</f>
        <v>128</v>
      </c>
      <c r="I28" s="97">
        <v>100.0</v>
      </c>
      <c r="J28" s="98">
        <v>328.0</v>
      </c>
      <c r="K28" s="98">
        <v>0.0</v>
      </c>
      <c r="L28" s="96">
        <v>0.0</v>
      </c>
      <c r="M28" s="97">
        <v>157.0</v>
      </c>
      <c r="N28" s="99"/>
      <c r="O28" s="31">
        <f t="shared" ref="O28:P28" si="60">J28+F28+B28</f>
        <v>654</v>
      </c>
      <c r="P28" s="31">
        <f t="shared" si="60"/>
        <v>0</v>
      </c>
      <c r="Q28" s="96">
        <f>P28+O28</f>
        <v>654</v>
      </c>
      <c r="R28" s="100">
        <f>M28+I28+E28</f>
        <v>357</v>
      </c>
      <c r="S28" s="157">
        <v>46203.0</v>
      </c>
      <c r="T28" s="12" t="s">
        <v>57</v>
      </c>
      <c r="W28" s="136"/>
      <c r="Z28" s="12" t="s">
        <v>68</v>
      </c>
    </row>
    <row r="29">
      <c r="A29" s="103" t="s">
        <v>17</v>
      </c>
      <c r="B29" s="27">
        <f t="shared" ref="B29:M29" si="61">sum(B28)</f>
        <v>198</v>
      </c>
      <c r="C29" s="27">
        <f t="shared" si="61"/>
        <v>0</v>
      </c>
      <c r="D29" s="27">
        <f t="shared" si="61"/>
        <v>198</v>
      </c>
      <c r="E29" s="27">
        <f t="shared" si="61"/>
        <v>100</v>
      </c>
      <c r="F29" s="27">
        <f t="shared" si="61"/>
        <v>128</v>
      </c>
      <c r="G29" s="27">
        <f t="shared" si="61"/>
        <v>0</v>
      </c>
      <c r="H29" s="27">
        <f t="shared" si="61"/>
        <v>128</v>
      </c>
      <c r="I29" s="27">
        <f t="shared" si="61"/>
        <v>100</v>
      </c>
      <c r="J29" s="27">
        <f t="shared" si="61"/>
        <v>328</v>
      </c>
      <c r="K29" s="27">
        <f t="shared" si="61"/>
        <v>0</v>
      </c>
      <c r="L29" s="27">
        <f t="shared" si="61"/>
        <v>0</v>
      </c>
      <c r="M29" s="27">
        <f t="shared" si="61"/>
        <v>157</v>
      </c>
      <c r="N29" s="99"/>
      <c r="O29" s="27">
        <f t="shared" ref="O29:R29" si="62">sum(O28)</f>
        <v>654</v>
      </c>
      <c r="P29" s="27">
        <f t="shared" si="62"/>
        <v>0</v>
      </c>
      <c r="Q29" s="27">
        <f t="shared" si="62"/>
        <v>654</v>
      </c>
      <c r="R29" s="104">
        <f t="shared" si="62"/>
        <v>357</v>
      </c>
      <c r="V29" s="157"/>
      <c r="W29" s="149"/>
    </row>
    <row r="30">
      <c r="A30" s="95" t="s">
        <v>19</v>
      </c>
      <c r="B30" s="17">
        <v>27.0</v>
      </c>
      <c r="C30" s="31"/>
      <c r="D30" s="96">
        <f>SUM(B30:C30)</f>
        <v>27</v>
      </c>
      <c r="E30" s="97">
        <v>20.0</v>
      </c>
      <c r="F30" s="98">
        <v>8.0</v>
      </c>
      <c r="G30" s="31">
        <v>0.0</v>
      </c>
      <c r="H30" s="96">
        <f>SUM(F30:G30)</f>
        <v>8</v>
      </c>
      <c r="I30" s="97">
        <v>20.0</v>
      </c>
      <c r="J30" s="98">
        <v>45.0</v>
      </c>
      <c r="K30" s="98">
        <v>0.0</v>
      </c>
      <c r="L30" s="96">
        <f>K30+J30</f>
        <v>45</v>
      </c>
      <c r="M30" s="97">
        <v>47.0</v>
      </c>
      <c r="N30" s="99"/>
      <c r="O30" s="31">
        <f>J30+F30+B30</f>
        <v>80</v>
      </c>
      <c r="P30" s="31">
        <f>C30+G30+K30</f>
        <v>0</v>
      </c>
      <c r="Q30" s="96">
        <f>P30+O30</f>
        <v>80</v>
      </c>
      <c r="R30" s="100">
        <f>M30+I30+E30</f>
        <v>87</v>
      </c>
      <c r="S30" s="157">
        <v>46204.0</v>
      </c>
      <c r="T30" s="12" t="s">
        <v>48</v>
      </c>
      <c r="W30" s="136"/>
    </row>
    <row r="31">
      <c r="A31" s="103" t="s">
        <v>22</v>
      </c>
      <c r="B31" s="27">
        <f t="shared" ref="B31:M31" si="63">sum(B30)</f>
        <v>27</v>
      </c>
      <c r="C31" s="27">
        <f t="shared" si="63"/>
        <v>0</v>
      </c>
      <c r="D31" s="27">
        <f t="shared" si="63"/>
        <v>27</v>
      </c>
      <c r="E31" s="27">
        <f t="shared" si="63"/>
        <v>20</v>
      </c>
      <c r="F31" s="27">
        <f t="shared" si="63"/>
        <v>8</v>
      </c>
      <c r="G31" s="27">
        <f t="shared" si="63"/>
        <v>0</v>
      </c>
      <c r="H31" s="27">
        <f t="shared" si="63"/>
        <v>8</v>
      </c>
      <c r="I31" s="27">
        <f t="shared" si="63"/>
        <v>20</v>
      </c>
      <c r="J31" s="27">
        <f t="shared" si="63"/>
        <v>45</v>
      </c>
      <c r="K31" s="27">
        <f t="shared" si="63"/>
        <v>0</v>
      </c>
      <c r="L31" s="27">
        <f t="shared" si="63"/>
        <v>45</v>
      </c>
      <c r="M31" s="27">
        <f t="shared" si="63"/>
        <v>47</v>
      </c>
      <c r="N31" s="99"/>
      <c r="O31" s="27">
        <f t="shared" ref="O31:R31" si="64">sum(O30)</f>
        <v>80</v>
      </c>
      <c r="P31" s="27">
        <f t="shared" si="64"/>
        <v>0</v>
      </c>
      <c r="Q31" s="27">
        <f t="shared" si="64"/>
        <v>80</v>
      </c>
      <c r="R31" s="104">
        <f t="shared" si="64"/>
        <v>87</v>
      </c>
      <c r="V31" s="157"/>
      <c r="W31" s="149"/>
      <c r="X31" s="12"/>
    </row>
    <row r="32">
      <c r="A32" s="95" t="s">
        <v>23</v>
      </c>
      <c r="B32" s="17">
        <v>13.0</v>
      </c>
      <c r="C32" s="31">
        <v>0.0</v>
      </c>
      <c r="D32" s="96">
        <f>SUM(B32:C32)</f>
        <v>13</v>
      </c>
      <c r="E32" s="97">
        <v>27.0</v>
      </c>
      <c r="F32" s="98">
        <v>237.0</v>
      </c>
      <c r="G32" s="31">
        <v>0.0</v>
      </c>
      <c r="H32" s="96">
        <f>SUM(F32:G32)</f>
        <v>237</v>
      </c>
      <c r="I32" s="97">
        <v>45.0</v>
      </c>
      <c r="J32" s="98">
        <v>34.0</v>
      </c>
      <c r="K32" s="98">
        <v>0.0</v>
      </c>
      <c r="L32" s="96">
        <f>K32+J32</f>
        <v>34</v>
      </c>
      <c r="M32" s="97">
        <v>57.0</v>
      </c>
      <c r="N32" s="99"/>
      <c r="O32" s="31">
        <f t="shared" ref="O32:P32" si="65">J32+F32+B32</f>
        <v>284</v>
      </c>
      <c r="P32" s="31">
        <f t="shared" si="65"/>
        <v>0</v>
      </c>
      <c r="Q32" s="96">
        <f>P32+O32</f>
        <v>284</v>
      </c>
      <c r="R32" s="100">
        <f>M32+I32+E32</f>
        <v>129</v>
      </c>
      <c r="S32" s="157">
        <v>46203.0</v>
      </c>
      <c r="T32" s="12" t="s">
        <v>57</v>
      </c>
      <c r="W32" s="136"/>
    </row>
    <row r="33">
      <c r="A33" s="103" t="s">
        <v>26</v>
      </c>
      <c r="B33" s="27">
        <f t="shared" ref="B33:M33" si="66">sum(B32)</f>
        <v>13</v>
      </c>
      <c r="C33" s="27">
        <f t="shared" si="66"/>
        <v>0</v>
      </c>
      <c r="D33" s="27">
        <f t="shared" si="66"/>
        <v>13</v>
      </c>
      <c r="E33" s="27">
        <f t="shared" si="66"/>
        <v>27</v>
      </c>
      <c r="F33" s="27">
        <f t="shared" si="66"/>
        <v>237</v>
      </c>
      <c r="G33" s="27">
        <f t="shared" si="66"/>
        <v>0</v>
      </c>
      <c r="H33" s="27">
        <f t="shared" si="66"/>
        <v>237</v>
      </c>
      <c r="I33" s="27">
        <f t="shared" si="66"/>
        <v>45</v>
      </c>
      <c r="J33" s="27">
        <f t="shared" si="66"/>
        <v>34</v>
      </c>
      <c r="K33" s="27">
        <f t="shared" si="66"/>
        <v>0</v>
      </c>
      <c r="L33" s="27">
        <f t="shared" si="66"/>
        <v>34</v>
      </c>
      <c r="M33" s="27">
        <f t="shared" si="66"/>
        <v>57</v>
      </c>
      <c r="N33" s="99"/>
      <c r="O33" s="27">
        <f t="shared" ref="O33:R33" si="67">sum(O32)</f>
        <v>284</v>
      </c>
      <c r="P33" s="27">
        <f t="shared" si="67"/>
        <v>0</v>
      </c>
      <c r="Q33" s="27">
        <f t="shared" si="67"/>
        <v>284</v>
      </c>
      <c r="R33" s="104">
        <f t="shared" si="67"/>
        <v>129</v>
      </c>
      <c r="W33" s="149"/>
    </row>
    <row r="34">
      <c r="A34" s="103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99"/>
      <c r="O34" s="32"/>
      <c r="P34" s="32"/>
      <c r="Q34" s="32"/>
      <c r="R34" s="107"/>
      <c r="V34" s="157"/>
      <c r="W34" s="149"/>
    </row>
    <row r="35">
      <c r="A35" s="13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107"/>
    </row>
    <row r="36">
      <c r="A36" s="108" t="s">
        <v>8</v>
      </c>
      <c r="B36" s="35">
        <f t="shared" ref="B36:M36" si="68">B33+B31+B29</f>
        <v>238</v>
      </c>
      <c r="C36" s="35">
        <f t="shared" si="68"/>
        <v>0</v>
      </c>
      <c r="D36" s="35">
        <f t="shared" si="68"/>
        <v>238</v>
      </c>
      <c r="E36" s="35">
        <f t="shared" si="68"/>
        <v>147</v>
      </c>
      <c r="F36" s="35">
        <f t="shared" si="68"/>
        <v>373</v>
      </c>
      <c r="G36" s="35">
        <f t="shared" si="68"/>
        <v>0</v>
      </c>
      <c r="H36" s="35">
        <f t="shared" si="68"/>
        <v>373</v>
      </c>
      <c r="I36" s="35">
        <f t="shared" si="68"/>
        <v>165</v>
      </c>
      <c r="J36" s="35">
        <f t="shared" si="68"/>
        <v>407</v>
      </c>
      <c r="K36" s="35">
        <f t="shared" si="68"/>
        <v>0</v>
      </c>
      <c r="L36" s="35">
        <f t="shared" si="68"/>
        <v>79</v>
      </c>
      <c r="M36" s="35">
        <f t="shared" si="68"/>
        <v>261</v>
      </c>
      <c r="N36" s="109"/>
      <c r="O36" s="35">
        <f t="shared" ref="O36:R36" si="69">O33+O31+O29</f>
        <v>1018</v>
      </c>
      <c r="P36" s="35">
        <f t="shared" si="69"/>
        <v>0</v>
      </c>
      <c r="Q36" s="35">
        <f t="shared" si="69"/>
        <v>1018</v>
      </c>
      <c r="R36" s="37">
        <f t="shared" si="69"/>
        <v>573</v>
      </c>
    </row>
    <row r="38">
      <c r="O38" s="110"/>
      <c r="P38" s="111"/>
      <c r="R38" s="112">
        <f>Q36/R36</f>
        <v>1.776614311</v>
      </c>
    </row>
    <row r="40">
      <c r="A40" s="170" t="s">
        <v>58</v>
      </c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2"/>
      <c r="M40" s="110" t="s">
        <v>29</v>
      </c>
      <c r="N40" s="111" t="s">
        <v>30</v>
      </c>
      <c r="P40" s="111"/>
    </row>
    <row r="41">
      <c r="A41" s="133"/>
      <c r="B41" s="173" t="s">
        <v>67</v>
      </c>
      <c r="D41" s="173"/>
      <c r="E41" s="137" t="s">
        <v>65</v>
      </c>
      <c r="H41" s="137" t="s">
        <v>66</v>
      </c>
      <c r="K41" s="137" t="s">
        <v>8</v>
      </c>
      <c r="L41" s="174"/>
      <c r="Q41" s="136"/>
    </row>
    <row r="42">
      <c r="A42" s="133"/>
      <c r="B42" s="93" t="s">
        <v>34</v>
      </c>
      <c r="C42" s="93" t="s">
        <v>38</v>
      </c>
      <c r="D42" s="93"/>
      <c r="E42" s="93" t="s">
        <v>34</v>
      </c>
      <c r="F42" s="93" t="s">
        <v>38</v>
      </c>
      <c r="G42" s="93"/>
      <c r="H42" s="93" t="s">
        <v>34</v>
      </c>
      <c r="I42" s="93" t="s">
        <v>38</v>
      </c>
      <c r="J42" s="93"/>
      <c r="K42" s="93" t="s">
        <v>34</v>
      </c>
      <c r="L42" s="94" t="s">
        <v>38</v>
      </c>
      <c r="Q42" s="136"/>
    </row>
    <row r="43">
      <c r="A43" s="144" t="s">
        <v>14</v>
      </c>
      <c r="B43" s="145">
        <v>68.0</v>
      </c>
      <c r="C43" s="97">
        <v>59.0</v>
      </c>
      <c r="D43" s="116">
        <f t="shared" ref="D43:D56" si="71">B43/C43</f>
        <v>1.152542373</v>
      </c>
      <c r="E43" s="145">
        <v>57.0</v>
      </c>
      <c r="F43" s="97">
        <v>59.0</v>
      </c>
      <c r="G43" s="116">
        <f t="shared" ref="G43:G56" si="72">E43/F43</f>
        <v>0.9661016949</v>
      </c>
      <c r="H43" s="73">
        <v>56.0</v>
      </c>
      <c r="I43" s="97">
        <v>62.0</v>
      </c>
      <c r="J43" s="116">
        <f t="shared" ref="J43:J56" si="73">H43/I43</f>
        <v>0.9032258065</v>
      </c>
      <c r="K43" s="31">
        <f t="shared" ref="K43:L43" si="70">H43+E43+B43</f>
        <v>181</v>
      </c>
      <c r="L43" s="100">
        <f t="shared" si="70"/>
        <v>180</v>
      </c>
      <c r="M43" s="148">
        <v>46203.0</v>
      </c>
      <c r="N43" s="12" t="s">
        <v>57</v>
      </c>
      <c r="Q43" s="149"/>
      <c r="R43" s="148"/>
    </row>
    <row r="44">
      <c r="A44" s="144" t="s">
        <v>15</v>
      </c>
      <c r="B44" s="145">
        <v>59.0</v>
      </c>
      <c r="C44" s="97">
        <v>51.0</v>
      </c>
      <c r="D44" s="116">
        <f t="shared" si="71"/>
        <v>1.156862745</v>
      </c>
      <c r="E44" s="145">
        <v>42.0</v>
      </c>
      <c r="F44" s="97">
        <v>51.0</v>
      </c>
      <c r="G44" s="116">
        <f t="shared" si="72"/>
        <v>0.8235294118</v>
      </c>
      <c r="H44" s="73">
        <v>42.0</v>
      </c>
      <c r="I44" s="97">
        <v>54.0</v>
      </c>
      <c r="J44" s="116">
        <f t="shared" si="73"/>
        <v>0.7777777778</v>
      </c>
      <c r="K44" s="31">
        <f t="shared" ref="K44:L44" si="74">H44+E44+B44</f>
        <v>143</v>
      </c>
      <c r="L44" s="100">
        <f t="shared" si="74"/>
        <v>156</v>
      </c>
      <c r="M44" s="148">
        <v>46203.0</v>
      </c>
      <c r="N44" s="12" t="s">
        <v>57</v>
      </c>
      <c r="Q44" s="149"/>
      <c r="R44" s="148"/>
    </row>
    <row r="45">
      <c r="A45" s="144" t="s">
        <v>16</v>
      </c>
      <c r="B45" s="145">
        <v>49.0</v>
      </c>
      <c r="C45" s="97">
        <v>47.0</v>
      </c>
      <c r="D45" s="116">
        <f t="shared" si="71"/>
        <v>1.042553191</v>
      </c>
      <c r="E45" s="145">
        <v>47.0</v>
      </c>
      <c r="F45" s="97">
        <v>47.0</v>
      </c>
      <c r="G45" s="116">
        <f t="shared" si="72"/>
        <v>1</v>
      </c>
      <c r="H45" s="73">
        <v>44.0</v>
      </c>
      <c r="I45" s="97">
        <v>50.0</v>
      </c>
      <c r="J45" s="116">
        <f t="shared" si="73"/>
        <v>0.88</v>
      </c>
      <c r="K45" s="31">
        <f t="shared" ref="K45:L45" si="75">H45+E45+B45</f>
        <v>140</v>
      </c>
      <c r="L45" s="100">
        <f t="shared" si="75"/>
        <v>144</v>
      </c>
      <c r="M45" s="148">
        <v>46203.0</v>
      </c>
      <c r="N45" s="12" t="s">
        <v>57</v>
      </c>
      <c r="Q45" s="149"/>
      <c r="R45" s="148"/>
    </row>
    <row r="46">
      <c r="A46" s="144" t="s">
        <v>46</v>
      </c>
      <c r="B46" s="175">
        <v>59.0</v>
      </c>
      <c r="C46" s="97">
        <v>56.0</v>
      </c>
      <c r="D46" s="116">
        <f t="shared" si="71"/>
        <v>1.053571429</v>
      </c>
      <c r="E46" s="145">
        <v>52.0</v>
      </c>
      <c r="F46" s="97">
        <v>56.0</v>
      </c>
      <c r="G46" s="116">
        <f t="shared" si="72"/>
        <v>0.9285714286</v>
      </c>
      <c r="H46" s="73">
        <v>49.0</v>
      </c>
      <c r="I46" s="97">
        <v>59.0</v>
      </c>
      <c r="J46" s="116">
        <f t="shared" si="73"/>
        <v>0.8305084746</v>
      </c>
      <c r="K46" s="31">
        <f t="shared" ref="K46:L46" si="76">H46+E46+B46</f>
        <v>160</v>
      </c>
      <c r="L46" s="100">
        <f t="shared" si="76"/>
        <v>171</v>
      </c>
      <c r="M46" s="148">
        <v>46203.0</v>
      </c>
      <c r="N46" s="12" t="s">
        <v>57</v>
      </c>
      <c r="O46" s="176">
        <f>K47/L47</f>
        <v>0.9585253456</v>
      </c>
      <c r="Q46" s="20">
        <f>K47-L47</f>
        <v>-27</v>
      </c>
    </row>
    <row r="47">
      <c r="A47" s="153" t="s">
        <v>17</v>
      </c>
      <c r="B47" s="27">
        <f t="shared" ref="B47:C47" si="77">sum(B43:B46)</f>
        <v>235</v>
      </c>
      <c r="C47" s="27">
        <f t="shared" si="77"/>
        <v>213</v>
      </c>
      <c r="D47" s="116">
        <f t="shared" si="71"/>
        <v>1.103286385</v>
      </c>
      <c r="E47" s="27">
        <f t="shared" ref="E47:F47" si="78">sum(E43:E46)</f>
        <v>198</v>
      </c>
      <c r="F47" s="27">
        <f t="shared" si="78"/>
        <v>213</v>
      </c>
      <c r="G47" s="116">
        <f t="shared" si="72"/>
        <v>0.9295774648</v>
      </c>
      <c r="H47" s="27">
        <f t="shared" ref="H47:I47" si="79">sum(H43:H46)</f>
        <v>191</v>
      </c>
      <c r="I47" s="27">
        <f t="shared" si="79"/>
        <v>225</v>
      </c>
      <c r="J47" s="116">
        <f t="shared" si="73"/>
        <v>0.8488888889</v>
      </c>
      <c r="K47" s="27">
        <f t="shared" ref="K47:L47" si="80">sum(K43:K46)</f>
        <v>624</v>
      </c>
      <c r="L47" s="104">
        <f t="shared" si="80"/>
        <v>651</v>
      </c>
      <c r="O47" s="149"/>
      <c r="P47" s="157"/>
    </row>
    <row r="48">
      <c r="A48" s="144" t="s">
        <v>20</v>
      </c>
      <c r="B48" s="31">
        <v>49.0</v>
      </c>
      <c r="C48" s="97">
        <v>47.0</v>
      </c>
      <c r="D48" s="116">
        <f t="shared" si="71"/>
        <v>1.042553191</v>
      </c>
      <c r="E48" s="17">
        <v>41.0</v>
      </c>
      <c r="F48" s="97">
        <v>47.0</v>
      </c>
      <c r="G48" s="116">
        <f t="shared" si="72"/>
        <v>0.8723404255</v>
      </c>
      <c r="H48" s="17">
        <v>48.0</v>
      </c>
      <c r="I48" s="97">
        <v>50.0</v>
      </c>
      <c r="J48" s="116">
        <f t="shared" si="73"/>
        <v>0.96</v>
      </c>
      <c r="K48" s="31">
        <f t="shared" ref="K48:L48" si="81">H48+E48+B48</f>
        <v>138</v>
      </c>
      <c r="L48" s="100">
        <f t="shared" si="81"/>
        <v>144</v>
      </c>
      <c r="M48" s="157">
        <v>46204.0</v>
      </c>
      <c r="N48" s="12" t="s">
        <v>48</v>
      </c>
      <c r="O48" s="149"/>
      <c r="P48" s="157"/>
    </row>
    <row r="49">
      <c r="A49" s="144" t="s">
        <v>19</v>
      </c>
      <c r="B49" s="31">
        <v>41.0</v>
      </c>
      <c r="C49" s="97">
        <v>42.0</v>
      </c>
      <c r="D49" s="116">
        <f t="shared" si="71"/>
        <v>0.9761904762</v>
      </c>
      <c r="E49" s="17">
        <v>42.0</v>
      </c>
      <c r="F49" s="97">
        <v>42.0</v>
      </c>
      <c r="G49" s="116">
        <f t="shared" si="72"/>
        <v>1</v>
      </c>
      <c r="H49" s="17">
        <v>39.0</v>
      </c>
      <c r="I49" s="97">
        <v>44.0</v>
      </c>
      <c r="J49" s="116">
        <f t="shared" si="73"/>
        <v>0.8863636364</v>
      </c>
      <c r="K49" s="31">
        <f t="shared" ref="K49:L49" si="82">H49+E49+B49</f>
        <v>122</v>
      </c>
      <c r="L49" s="100">
        <f t="shared" si="82"/>
        <v>128</v>
      </c>
      <c r="M49" s="157">
        <v>46204.0</v>
      </c>
      <c r="N49" s="12" t="s">
        <v>48</v>
      </c>
      <c r="O49" s="149"/>
      <c r="P49" s="157"/>
    </row>
    <row r="50">
      <c r="A50" s="144" t="s">
        <v>18</v>
      </c>
      <c r="B50" s="31">
        <v>44.0</v>
      </c>
      <c r="C50" s="97">
        <v>44.0</v>
      </c>
      <c r="D50" s="116">
        <f t="shared" si="71"/>
        <v>1</v>
      </c>
      <c r="E50" s="17">
        <v>44.0</v>
      </c>
      <c r="F50" s="97">
        <v>44.0</v>
      </c>
      <c r="G50" s="116">
        <f t="shared" si="72"/>
        <v>1</v>
      </c>
      <c r="H50" s="17">
        <v>49.0</v>
      </c>
      <c r="I50" s="97">
        <v>46.0</v>
      </c>
      <c r="J50" s="116">
        <f t="shared" si="73"/>
        <v>1.065217391</v>
      </c>
      <c r="K50" s="31">
        <f t="shared" ref="K50:L50" si="83">H50+E50+B50</f>
        <v>137</v>
      </c>
      <c r="L50" s="100">
        <f t="shared" si="83"/>
        <v>134</v>
      </c>
      <c r="M50" s="157">
        <v>46204.0</v>
      </c>
      <c r="N50" s="12" t="s">
        <v>48</v>
      </c>
      <c r="O50" s="149"/>
      <c r="P50" s="157"/>
    </row>
    <row r="51">
      <c r="A51" s="144" t="s">
        <v>21</v>
      </c>
      <c r="B51" s="31">
        <v>94.0</v>
      </c>
      <c r="C51" s="97">
        <v>85.0</v>
      </c>
      <c r="D51" s="116">
        <f t="shared" si="71"/>
        <v>1.105882353</v>
      </c>
      <c r="E51" s="17">
        <v>79.0</v>
      </c>
      <c r="F51" s="97">
        <v>85.0</v>
      </c>
      <c r="G51" s="116">
        <f t="shared" si="72"/>
        <v>0.9294117647</v>
      </c>
      <c r="H51" s="17">
        <v>98.0</v>
      </c>
      <c r="I51" s="97">
        <v>89.0</v>
      </c>
      <c r="J51" s="116">
        <f t="shared" si="73"/>
        <v>1.101123596</v>
      </c>
      <c r="K51" s="31">
        <f t="shared" ref="K51:L51" si="84">H51+E51+B51</f>
        <v>271</v>
      </c>
      <c r="L51" s="100">
        <f t="shared" si="84"/>
        <v>259</v>
      </c>
      <c r="M51" s="157">
        <v>46204.0</v>
      </c>
      <c r="N51" s="12" t="s">
        <v>48</v>
      </c>
      <c r="O51" s="176">
        <f>K52/L52</f>
        <v>1.004511278</v>
      </c>
      <c r="Q51" s="20">
        <f>K52-L52</f>
        <v>3</v>
      </c>
    </row>
    <row r="52">
      <c r="A52" s="153" t="s">
        <v>22</v>
      </c>
      <c r="B52" s="27">
        <f t="shared" ref="B52:C52" si="85">sum(B48:B51)</f>
        <v>228</v>
      </c>
      <c r="C52" s="27">
        <f t="shared" si="85"/>
        <v>218</v>
      </c>
      <c r="D52" s="116">
        <f t="shared" si="71"/>
        <v>1.04587156</v>
      </c>
      <c r="E52" s="27">
        <f t="shared" ref="E52:F52" si="86">sum(E48:E51)</f>
        <v>206</v>
      </c>
      <c r="F52" s="27">
        <f t="shared" si="86"/>
        <v>218</v>
      </c>
      <c r="G52" s="116">
        <f t="shared" si="72"/>
        <v>0.9449541284</v>
      </c>
      <c r="H52" s="27">
        <f t="shared" ref="H52:I52" si="87">sum(H48:H51)</f>
        <v>234</v>
      </c>
      <c r="I52" s="27">
        <f t="shared" si="87"/>
        <v>229</v>
      </c>
      <c r="J52" s="116">
        <f t="shared" si="73"/>
        <v>1.021834061</v>
      </c>
      <c r="K52" s="27">
        <f t="shared" ref="K52:L52" si="88">sum(K48:K51)</f>
        <v>668</v>
      </c>
      <c r="L52" s="104">
        <f t="shared" si="88"/>
        <v>665</v>
      </c>
      <c r="O52" s="149"/>
      <c r="P52" s="157"/>
    </row>
    <row r="53">
      <c r="A53" s="144" t="s">
        <v>23</v>
      </c>
      <c r="B53" s="145">
        <v>40.0</v>
      </c>
      <c r="C53" s="97">
        <v>34.0</v>
      </c>
      <c r="D53" s="116">
        <f t="shared" si="71"/>
        <v>1.176470588</v>
      </c>
      <c r="E53" s="145">
        <v>37.0</v>
      </c>
      <c r="F53" s="97">
        <v>34.0</v>
      </c>
      <c r="G53" s="116">
        <f t="shared" si="72"/>
        <v>1.088235294</v>
      </c>
      <c r="H53" s="73">
        <v>40.0</v>
      </c>
      <c r="I53" s="97">
        <v>36.0</v>
      </c>
      <c r="J53" s="116">
        <f t="shared" si="73"/>
        <v>1.111111111</v>
      </c>
      <c r="K53" s="31">
        <f t="shared" ref="K53:L53" si="89">H53+E53+B53</f>
        <v>117</v>
      </c>
      <c r="L53" s="100">
        <f t="shared" si="89"/>
        <v>104</v>
      </c>
      <c r="M53" s="148">
        <v>46203.0</v>
      </c>
      <c r="N53" s="12" t="s">
        <v>57</v>
      </c>
      <c r="O53" s="149"/>
      <c r="P53" s="157"/>
    </row>
    <row r="54">
      <c r="A54" s="144" t="s">
        <v>24</v>
      </c>
      <c r="B54" s="145">
        <v>32.0</v>
      </c>
      <c r="C54" s="97">
        <v>44.0</v>
      </c>
      <c r="D54" s="116">
        <f t="shared" si="71"/>
        <v>0.7272727273</v>
      </c>
      <c r="E54" s="145">
        <v>52.0</v>
      </c>
      <c r="F54" s="97">
        <v>44.0</v>
      </c>
      <c r="G54" s="116">
        <f t="shared" si="72"/>
        <v>1.181818182</v>
      </c>
      <c r="H54" s="73">
        <v>35.0</v>
      </c>
      <c r="I54" s="97">
        <v>46.0</v>
      </c>
      <c r="J54" s="116">
        <f t="shared" si="73"/>
        <v>0.7608695652</v>
      </c>
      <c r="K54" s="31">
        <f t="shared" ref="K54:L54" si="90">H54+E54+B54</f>
        <v>119</v>
      </c>
      <c r="L54" s="100">
        <f t="shared" si="90"/>
        <v>134</v>
      </c>
      <c r="M54" s="148">
        <v>46203.0</v>
      </c>
      <c r="N54" s="12" t="s">
        <v>57</v>
      </c>
      <c r="O54" s="149"/>
      <c r="P54" s="157"/>
    </row>
    <row r="55">
      <c r="A55" s="144" t="s">
        <v>25</v>
      </c>
      <c r="B55" s="145">
        <v>20.0</v>
      </c>
      <c r="C55" s="97">
        <v>20.0</v>
      </c>
      <c r="D55" s="116">
        <f t="shared" si="71"/>
        <v>1</v>
      </c>
      <c r="E55" s="145">
        <v>20.0</v>
      </c>
      <c r="F55" s="97">
        <v>20.0</v>
      </c>
      <c r="G55" s="116">
        <f t="shared" si="72"/>
        <v>1</v>
      </c>
      <c r="H55" s="73">
        <v>31.0</v>
      </c>
      <c r="I55" s="97">
        <v>21.0</v>
      </c>
      <c r="J55" s="116">
        <f t="shared" si="73"/>
        <v>1.476190476</v>
      </c>
      <c r="K55" s="31">
        <f t="shared" ref="K55:L55" si="91">H55+E55+B55</f>
        <v>71</v>
      </c>
      <c r="L55" s="100">
        <f t="shared" si="91"/>
        <v>61</v>
      </c>
      <c r="M55" s="148">
        <v>46203.0</v>
      </c>
      <c r="N55" s="12" t="s">
        <v>57</v>
      </c>
      <c r="O55" s="176">
        <f>K56/L56</f>
        <v>1.026755853</v>
      </c>
      <c r="Q55" s="20">
        <f>K56-L56</f>
        <v>8</v>
      </c>
    </row>
    <row r="56">
      <c r="A56" s="153" t="s">
        <v>26</v>
      </c>
      <c r="B56" s="27">
        <f t="shared" ref="B56:C56" si="92">sum(B53:B55)</f>
        <v>92</v>
      </c>
      <c r="C56" s="27">
        <f t="shared" si="92"/>
        <v>98</v>
      </c>
      <c r="D56" s="116">
        <f t="shared" si="71"/>
        <v>0.9387755102</v>
      </c>
      <c r="E56" s="27">
        <f t="shared" ref="E56:F56" si="93">sum(E53:E55)</f>
        <v>109</v>
      </c>
      <c r="F56" s="27">
        <f t="shared" si="93"/>
        <v>98</v>
      </c>
      <c r="G56" s="116">
        <f t="shared" si="72"/>
        <v>1.112244898</v>
      </c>
      <c r="H56" s="27">
        <f t="shared" ref="H56:I56" si="94">sum(H53:H55)</f>
        <v>106</v>
      </c>
      <c r="I56" s="27">
        <f t="shared" si="94"/>
        <v>103</v>
      </c>
      <c r="J56" s="116">
        <f t="shared" si="73"/>
        <v>1.029126214</v>
      </c>
      <c r="K56" s="27">
        <f t="shared" ref="K56:L56" si="95">sum(K53:K55)</f>
        <v>307</v>
      </c>
      <c r="L56" s="104">
        <f t="shared" si="95"/>
        <v>299</v>
      </c>
      <c r="O56" s="136"/>
    </row>
    <row r="57">
      <c r="A57" s="153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107"/>
    </row>
    <row r="58">
      <c r="A58" s="16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107"/>
      <c r="O58" s="176">
        <f>K59/L59</f>
        <v>0.9900928793</v>
      </c>
      <c r="Q58" s="21">
        <f>L59-K59</f>
        <v>16</v>
      </c>
      <c r="R58" s="20">
        <f>Q58/1.2</f>
        <v>13.33333333</v>
      </c>
    </row>
    <row r="59">
      <c r="A59" s="162" t="s">
        <v>8</v>
      </c>
      <c r="B59" s="163">
        <f t="shared" ref="B59:C59" si="96">B56+B52+B47</f>
        <v>555</v>
      </c>
      <c r="C59" s="163">
        <f t="shared" si="96"/>
        <v>529</v>
      </c>
      <c r="D59" s="164">
        <f>B59/C59</f>
        <v>1.049149338</v>
      </c>
      <c r="E59" s="163">
        <f t="shared" ref="E59:F59" si="97">E56+E52+E47</f>
        <v>513</v>
      </c>
      <c r="F59" s="163">
        <f t="shared" si="97"/>
        <v>529</v>
      </c>
      <c r="G59" s="164">
        <f>E59/F59</f>
        <v>0.9697542533</v>
      </c>
      <c r="H59" s="163">
        <f t="shared" ref="H59:I59" si="98">H56+H52+H47</f>
        <v>531</v>
      </c>
      <c r="I59" s="163">
        <f t="shared" si="98"/>
        <v>557</v>
      </c>
      <c r="J59" s="164">
        <f>H59/I59</f>
        <v>0.9533213645</v>
      </c>
      <c r="K59" s="163">
        <f t="shared" ref="K59:L59" si="99">K56+K52+K47</f>
        <v>1599</v>
      </c>
      <c r="L59" s="165">
        <f t="shared" si="99"/>
        <v>1615</v>
      </c>
    </row>
  </sheetData>
  <mergeCells count="14">
    <mergeCell ref="F26:I26"/>
    <mergeCell ref="J26:M26"/>
    <mergeCell ref="A40:L40"/>
    <mergeCell ref="B41:C41"/>
    <mergeCell ref="E41:G41"/>
    <mergeCell ref="H41:J41"/>
    <mergeCell ref="A3:W3"/>
    <mergeCell ref="B4:E4"/>
    <mergeCell ref="G4:K4"/>
    <mergeCell ref="M4:Q4"/>
    <mergeCell ref="T4:W4"/>
    <mergeCell ref="A25:R25"/>
    <mergeCell ref="B26:E26"/>
    <mergeCell ref="O26:R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9.0"/>
    <col customWidth="1" min="3" max="3" width="8.63"/>
    <col customWidth="1" min="4" max="4" width="7.13"/>
    <col customWidth="1" min="5" max="7" width="8.13"/>
    <col customWidth="1" min="8" max="8" width="8.63"/>
    <col customWidth="1" min="9" max="9" width="7.88"/>
    <col customWidth="1" min="10" max="10" width="11.0"/>
    <col customWidth="1" min="11" max="11" width="8.5"/>
    <col customWidth="1" min="12" max="12" width="9.38"/>
    <col customWidth="1" min="13" max="13" width="8.63"/>
    <col customWidth="1" min="14" max="14" width="7.88"/>
    <col customWidth="1" min="15" max="15" width="9.25"/>
    <col customWidth="1" min="16" max="16" width="9.88"/>
    <col customWidth="1" min="17" max="17" width="9.38"/>
    <col customWidth="1" min="18" max="18" width="7.13"/>
    <col customWidth="1" min="19" max="19" width="10.13"/>
    <col customWidth="1" min="20" max="20" width="9.0"/>
    <col customWidth="1" min="21" max="21" width="11.38"/>
    <col customWidth="1" min="22" max="22" width="5.88"/>
    <col customWidth="1" min="23" max="23" width="7.13"/>
    <col customWidth="1" min="24" max="25" width="9.88"/>
    <col customWidth="1" min="26" max="26" width="7.75"/>
    <col customWidth="1" min="28" max="28" width="9.0"/>
    <col customWidth="1" min="29" max="29" width="10.25"/>
    <col customWidth="1" min="30" max="31" width="7.63"/>
    <col customWidth="1" min="32" max="32" width="3.0"/>
    <col customWidth="1" min="34" max="36" width="8.75"/>
    <col customWidth="1" min="37" max="37" width="10.5"/>
    <col customWidth="1" min="38" max="52" width="8.75"/>
  </cols>
  <sheetData>
    <row r="1">
      <c r="A1" s="124" t="s">
        <v>63</v>
      </c>
      <c r="AB1" s="40"/>
      <c r="AC1" s="40"/>
      <c r="AD1" s="40"/>
      <c r="AE1" s="40"/>
    </row>
    <row r="3">
      <c r="A3" s="177" t="s">
        <v>28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7"/>
      <c r="W3" s="128"/>
      <c r="X3" s="129"/>
      <c r="Y3" s="129"/>
      <c r="Z3" s="130"/>
      <c r="AA3" s="131"/>
      <c r="AB3" s="110"/>
      <c r="AC3" s="110"/>
      <c r="AD3" s="110"/>
      <c r="AE3" s="110" t="s">
        <v>29</v>
      </c>
      <c r="AF3" s="111" t="s">
        <v>30</v>
      </c>
    </row>
    <row r="4">
      <c r="A4" s="133"/>
      <c r="B4" s="89" t="s">
        <v>69</v>
      </c>
      <c r="C4" s="90"/>
      <c r="D4" s="90"/>
      <c r="E4" s="90"/>
      <c r="F4" s="91"/>
      <c r="G4" s="91" t="s">
        <v>70</v>
      </c>
      <c r="H4" s="90"/>
      <c r="I4" s="90"/>
      <c r="J4" s="90"/>
      <c r="K4" s="90"/>
      <c r="L4" s="91" t="s">
        <v>71</v>
      </c>
      <c r="M4" s="90"/>
      <c r="N4" s="90"/>
      <c r="O4" s="90"/>
      <c r="P4" s="90"/>
      <c r="Q4" s="136"/>
      <c r="R4" s="178"/>
      <c r="S4" s="91" t="s">
        <v>8</v>
      </c>
      <c r="T4" s="90"/>
      <c r="U4" s="90"/>
      <c r="V4" s="92"/>
      <c r="W4" s="9"/>
      <c r="X4" s="9"/>
      <c r="Y4" s="9"/>
      <c r="AA4" s="138"/>
      <c r="AF4" s="136"/>
    </row>
    <row r="5">
      <c r="A5" s="139"/>
      <c r="B5" s="179" t="s">
        <v>34</v>
      </c>
      <c r="C5" s="179" t="s">
        <v>36</v>
      </c>
      <c r="D5" s="179" t="s">
        <v>37</v>
      </c>
      <c r="E5" s="179" t="s">
        <v>38</v>
      </c>
      <c r="F5" s="179"/>
      <c r="G5" s="179" t="s">
        <v>34</v>
      </c>
      <c r="H5" s="180" t="s">
        <v>35</v>
      </c>
      <c r="I5" s="179" t="s">
        <v>36</v>
      </c>
      <c r="J5" s="179" t="s">
        <v>37</v>
      </c>
      <c r="K5" s="179" t="s">
        <v>38</v>
      </c>
      <c r="L5" s="179" t="s">
        <v>34</v>
      </c>
      <c r="M5" s="180" t="s">
        <v>35</v>
      </c>
      <c r="N5" s="179" t="s">
        <v>36</v>
      </c>
      <c r="O5" s="179" t="s">
        <v>37</v>
      </c>
      <c r="P5" s="179" t="s">
        <v>38</v>
      </c>
      <c r="Q5" s="179"/>
      <c r="R5" s="179" t="s">
        <v>7</v>
      </c>
      <c r="S5" s="179" t="s">
        <v>34</v>
      </c>
      <c r="T5" s="179" t="s">
        <v>36</v>
      </c>
      <c r="U5" s="179" t="s">
        <v>37</v>
      </c>
      <c r="V5" s="181" t="s">
        <v>38</v>
      </c>
      <c r="W5" s="182" t="s">
        <v>39</v>
      </c>
      <c r="X5" s="142" t="s">
        <v>40</v>
      </c>
      <c r="Y5" s="142" t="s">
        <v>41</v>
      </c>
      <c r="Z5" s="8" t="s">
        <v>9</v>
      </c>
      <c r="AA5" s="143" t="s">
        <v>42</v>
      </c>
      <c r="AB5" s="183" t="s">
        <v>72</v>
      </c>
      <c r="AC5" s="183" t="s">
        <v>73</v>
      </c>
      <c r="AD5" s="184" t="s">
        <v>74</v>
      </c>
      <c r="AF5" s="136"/>
    </row>
    <row r="6">
      <c r="A6" s="144" t="s">
        <v>14</v>
      </c>
      <c r="B6" s="17">
        <v>25.0</v>
      </c>
      <c r="C6" s="17"/>
      <c r="D6" s="96">
        <f t="shared" ref="D6:D9" si="1">SUM(B6:C6)</f>
        <v>25</v>
      </c>
      <c r="E6" s="97">
        <v>22.0</v>
      </c>
      <c r="F6" s="116">
        <f t="shared" ref="F6:F19" si="2">D6/E6</f>
        <v>1.136363636</v>
      </c>
      <c r="G6" s="17">
        <v>10.0</v>
      </c>
      <c r="H6" s="17"/>
      <c r="I6" s="17"/>
      <c r="J6" s="96">
        <f t="shared" ref="J6:J9" si="3">SUM(G6:I6)</f>
        <v>10</v>
      </c>
      <c r="K6" s="97">
        <v>11.0</v>
      </c>
      <c r="L6" s="17">
        <v>80.0</v>
      </c>
      <c r="M6" s="17"/>
      <c r="N6" s="17"/>
      <c r="O6" s="96">
        <f t="shared" ref="O6:O9" si="4">SUM(L6:N6)</f>
        <v>80</v>
      </c>
      <c r="P6" s="97">
        <v>90.0</v>
      </c>
      <c r="Q6" s="116">
        <f t="shared" ref="Q6:Q19" si="5">O6/P6</f>
        <v>0.8888888889</v>
      </c>
      <c r="R6" s="99"/>
      <c r="S6" s="31">
        <f t="shared" ref="S6:S9" si="6">L6+G6+B6+M6+H6</f>
        <v>115</v>
      </c>
      <c r="T6" s="31">
        <f t="shared" ref="T6:T9" si="7">N6+I6+C6</f>
        <v>0</v>
      </c>
      <c r="U6" s="96">
        <f t="shared" ref="U6:U9" si="8">sum(R6:T6)</f>
        <v>115</v>
      </c>
      <c r="V6" s="100">
        <f t="shared" ref="V6:V9" si="9">E6+K6+P6</f>
        <v>123</v>
      </c>
      <c r="W6" s="146">
        <f t="shared" ref="W6:W9" si="10">V6-U6</f>
        <v>8</v>
      </c>
      <c r="X6" s="16">
        <f t="shared" ref="X6:X9" si="11">round(W6/$X$26*7,0)</f>
        <v>-1</v>
      </c>
      <c r="Y6" s="16">
        <f t="shared" ref="Y6:Y9" si="12">T6+S6</f>
        <v>115</v>
      </c>
      <c r="Z6" s="31">
        <f t="shared" ref="Z6:Z9" si="13">V6</f>
        <v>123</v>
      </c>
      <c r="AA6" s="147">
        <f t="shared" ref="AA6:AA9" si="14">(S6+T6)/V6</f>
        <v>0.9349593496</v>
      </c>
      <c r="AB6" s="31">
        <v>20.0</v>
      </c>
      <c r="AC6" s="31">
        <v>17.0</v>
      </c>
      <c r="AD6" s="185">
        <f t="shared" ref="AD6:AD9" si="15">AB6-AC6</f>
        <v>3</v>
      </c>
      <c r="AE6" s="148">
        <v>46112.0</v>
      </c>
      <c r="AF6" s="149" t="s">
        <v>75</v>
      </c>
      <c r="AG6" s="12" t="s">
        <v>76</v>
      </c>
      <c r="AT6" s="136"/>
      <c r="AU6" s="136"/>
      <c r="AV6" s="136"/>
      <c r="AW6" s="136"/>
      <c r="AX6" s="136"/>
      <c r="AY6" s="136"/>
      <c r="AZ6" s="136"/>
      <c r="BA6" s="136"/>
      <c r="BB6" s="136"/>
    </row>
    <row r="7">
      <c r="A7" s="144" t="s">
        <v>15</v>
      </c>
      <c r="B7" s="17">
        <v>17.0</v>
      </c>
      <c r="C7" s="17"/>
      <c r="D7" s="96">
        <f t="shared" si="1"/>
        <v>17</v>
      </c>
      <c r="E7" s="97">
        <v>15.0</v>
      </c>
      <c r="F7" s="116">
        <f t="shared" si="2"/>
        <v>1.133333333</v>
      </c>
      <c r="G7" s="17">
        <v>7.0</v>
      </c>
      <c r="H7" s="17"/>
      <c r="I7" s="17"/>
      <c r="J7" s="96">
        <f t="shared" si="3"/>
        <v>7</v>
      </c>
      <c r="K7" s="97">
        <v>9.0</v>
      </c>
      <c r="L7" s="17">
        <v>71.0</v>
      </c>
      <c r="M7" s="17"/>
      <c r="N7" s="17"/>
      <c r="O7" s="96">
        <f t="shared" si="4"/>
        <v>71</v>
      </c>
      <c r="P7" s="97">
        <v>64.0</v>
      </c>
      <c r="Q7" s="116">
        <f t="shared" si="5"/>
        <v>1.109375</v>
      </c>
      <c r="R7" s="99"/>
      <c r="S7" s="31">
        <f t="shared" si="6"/>
        <v>95</v>
      </c>
      <c r="T7" s="31">
        <f t="shared" si="7"/>
        <v>0</v>
      </c>
      <c r="U7" s="96">
        <f t="shared" si="8"/>
        <v>95</v>
      </c>
      <c r="V7" s="100">
        <f t="shared" si="9"/>
        <v>88</v>
      </c>
      <c r="W7" s="146">
        <f t="shared" si="10"/>
        <v>-7</v>
      </c>
      <c r="X7" s="16">
        <f t="shared" si="11"/>
        <v>0</v>
      </c>
      <c r="Y7" s="16">
        <f t="shared" si="12"/>
        <v>95</v>
      </c>
      <c r="Z7" s="31">
        <f t="shared" si="13"/>
        <v>88</v>
      </c>
      <c r="AA7" s="147">
        <f t="shared" si="14"/>
        <v>1.079545455</v>
      </c>
      <c r="AB7" s="31">
        <v>15.0</v>
      </c>
      <c r="AC7" s="31">
        <v>15.0</v>
      </c>
      <c r="AD7" s="185">
        <f t="shared" si="15"/>
        <v>0</v>
      </c>
      <c r="AE7" s="148">
        <v>46112.0</v>
      </c>
      <c r="AF7" s="149" t="s">
        <v>75</v>
      </c>
      <c r="AG7" s="12" t="s">
        <v>76</v>
      </c>
      <c r="AT7" s="136"/>
      <c r="AU7" s="136"/>
      <c r="AV7" s="136"/>
      <c r="AW7" s="136"/>
      <c r="AX7" s="136"/>
      <c r="AY7" s="136"/>
      <c r="AZ7" s="136"/>
      <c r="BA7" s="136"/>
      <c r="BB7" s="136"/>
    </row>
    <row r="8">
      <c r="A8" s="144" t="s">
        <v>16</v>
      </c>
      <c r="B8" s="17">
        <v>28.0</v>
      </c>
      <c r="C8" s="151"/>
      <c r="D8" s="96">
        <f t="shared" si="1"/>
        <v>28</v>
      </c>
      <c r="E8" s="97">
        <v>16.0</v>
      </c>
      <c r="F8" s="116">
        <f t="shared" si="2"/>
        <v>1.75</v>
      </c>
      <c r="G8" s="17">
        <v>6.0</v>
      </c>
      <c r="H8" s="17"/>
      <c r="I8" s="17"/>
      <c r="J8" s="96">
        <f t="shared" si="3"/>
        <v>6</v>
      </c>
      <c r="K8" s="97">
        <v>9.0</v>
      </c>
      <c r="L8" s="17">
        <v>83.0</v>
      </c>
      <c r="M8" s="17"/>
      <c r="N8" s="17"/>
      <c r="O8" s="96">
        <f t="shared" si="4"/>
        <v>83</v>
      </c>
      <c r="P8" s="97">
        <v>74.0</v>
      </c>
      <c r="Q8" s="116">
        <f t="shared" si="5"/>
        <v>1.121621622</v>
      </c>
      <c r="R8" s="99"/>
      <c r="S8" s="31">
        <f t="shared" si="6"/>
        <v>117</v>
      </c>
      <c r="T8" s="31">
        <f t="shared" si="7"/>
        <v>0</v>
      </c>
      <c r="U8" s="96">
        <f t="shared" si="8"/>
        <v>117</v>
      </c>
      <c r="V8" s="100">
        <f t="shared" si="9"/>
        <v>99</v>
      </c>
      <c r="W8" s="146">
        <f t="shared" si="10"/>
        <v>-18</v>
      </c>
      <c r="X8" s="16">
        <f t="shared" si="11"/>
        <v>1</v>
      </c>
      <c r="Y8" s="16">
        <f t="shared" si="12"/>
        <v>117</v>
      </c>
      <c r="Z8" s="31">
        <f t="shared" si="13"/>
        <v>99</v>
      </c>
      <c r="AA8" s="147">
        <f t="shared" si="14"/>
        <v>1.181818182</v>
      </c>
      <c r="AB8" s="31">
        <v>20.0</v>
      </c>
      <c r="AC8" s="31">
        <v>20.0</v>
      </c>
      <c r="AD8" s="185">
        <f t="shared" si="15"/>
        <v>0</v>
      </c>
      <c r="AE8" s="148">
        <v>46112.0</v>
      </c>
      <c r="AF8" s="149" t="s">
        <v>75</v>
      </c>
      <c r="AG8" s="12" t="s">
        <v>76</v>
      </c>
      <c r="AT8" s="136"/>
      <c r="AU8" s="136"/>
      <c r="AV8" s="136"/>
      <c r="AW8" s="136"/>
      <c r="AX8" s="136"/>
      <c r="AY8" s="136"/>
      <c r="AZ8" s="136"/>
      <c r="BA8" s="136"/>
      <c r="BB8" s="136"/>
    </row>
    <row r="9">
      <c r="A9" s="144" t="s">
        <v>46</v>
      </c>
      <c r="B9" s="25">
        <v>30.0</v>
      </c>
      <c r="C9" s="152">
        <v>9.0</v>
      </c>
      <c r="D9" s="96">
        <f t="shared" si="1"/>
        <v>39</v>
      </c>
      <c r="E9" s="97">
        <v>31.0</v>
      </c>
      <c r="F9" s="116">
        <f t="shared" si="2"/>
        <v>1.258064516</v>
      </c>
      <c r="G9" s="17">
        <v>25.0</v>
      </c>
      <c r="H9" s="17"/>
      <c r="I9" s="17">
        <v>2.0</v>
      </c>
      <c r="J9" s="96">
        <f t="shared" si="3"/>
        <v>27</v>
      </c>
      <c r="K9" s="97">
        <v>15.0</v>
      </c>
      <c r="L9" s="17">
        <v>75.0</v>
      </c>
      <c r="M9" s="17"/>
      <c r="N9" s="17">
        <v>7.0</v>
      </c>
      <c r="O9" s="96">
        <f t="shared" si="4"/>
        <v>82</v>
      </c>
      <c r="P9" s="97">
        <v>109.0</v>
      </c>
      <c r="Q9" s="116">
        <f t="shared" si="5"/>
        <v>0.752293578</v>
      </c>
      <c r="R9" s="99"/>
      <c r="S9" s="31">
        <f t="shared" si="6"/>
        <v>130</v>
      </c>
      <c r="T9" s="31">
        <f t="shared" si="7"/>
        <v>18</v>
      </c>
      <c r="U9" s="96">
        <f t="shared" si="8"/>
        <v>148</v>
      </c>
      <c r="V9" s="100">
        <f t="shared" si="9"/>
        <v>155</v>
      </c>
      <c r="W9" s="146">
        <f t="shared" si="10"/>
        <v>7</v>
      </c>
      <c r="X9" s="16">
        <f t="shared" si="11"/>
        <v>0</v>
      </c>
      <c r="Y9" s="16">
        <f t="shared" si="12"/>
        <v>148</v>
      </c>
      <c r="Z9" s="31">
        <f t="shared" si="13"/>
        <v>155</v>
      </c>
      <c r="AA9" s="147">
        <f t="shared" si="14"/>
        <v>0.9548387097</v>
      </c>
      <c r="AB9" s="31">
        <v>30.0</v>
      </c>
      <c r="AC9" s="31">
        <v>30.0</v>
      </c>
      <c r="AD9" s="185">
        <f t="shared" si="15"/>
        <v>0</v>
      </c>
      <c r="AE9" s="148">
        <v>46112.0</v>
      </c>
      <c r="AF9" s="149" t="s">
        <v>75</v>
      </c>
      <c r="AG9" s="12" t="s">
        <v>76</v>
      </c>
      <c r="AT9" s="136"/>
      <c r="AU9" s="136"/>
      <c r="AV9" s="136"/>
      <c r="AW9" s="136"/>
      <c r="AX9" s="136"/>
      <c r="AY9" s="136"/>
      <c r="AZ9" s="136"/>
      <c r="BA9" s="136"/>
      <c r="BB9" s="136"/>
    </row>
    <row r="10">
      <c r="A10" s="153" t="s">
        <v>17</v>
      </c>
      <c r="B10" s="27">
        <f t="shared" ref="B10:E10" si="16">sum(B6:B9)</f>
        <v>100</v>
      </c>
      <c r="C10" s="27">
        <f t="shared" si="16"/>
        <v>9</v>
      </c>
      <c r="D10" s="27">
        <f t="shared" si="16"/>
        <v>109</v>
      </c>
      <c r="E10" s="27">
        <f t="shared" si="16"/>
        <v>84</v>
      </c>
      <c r="F10" s="154">
        <f t="shared" si="2"/>
        <v>1.297619048</v>
      </c>
      <c r="G10" s="27">
        <f t="shared" ref="G10:P10" si="17">sum(G6:G9)</f>
        <v>48</v>
      </c>
      <c r="H10" s="27">
        <f t="shared" si="17"/>
        <v>0</v>
      </c>
      <c r="I10" s="27">
        <f t="shared" si="17"/>
        <v>2</v>
      </c>
      <c r="J10" s="27">
        <f t="shared" si="17"/>
        <v>50</v>
      </c>
      <c r="K10" s="27">
        <f t="shared" si="17"/>
        <v>44</v>
      </c>
      <c r="L10" s="27">
        <f t="shared" si="17"/>
        <v>309</v>
      </c>
      <c r="M10" s="27">
        <f t="shared" si="17"/>
        <v>0</v>
      </c>
      <c r="N10" s="27">
        <f t="shared" si="17"/>
        <v>7</v>
      </c>
      <c r="O10" s="27">
        <f t="shared" si="17"/>
        <v>316</v>
      </c>
      <c r="P10" s="27">
        <f t="shared" si="17"/>
        <v>337</v>
      </c>
      <c r="Q10" s="154">
        <f t="shared" si="5"/>
        <v>0.9376854599</v>
      </c>
      <c r="R10" s="27">
        <f t="shared" ref="R10:W10" si="18">sum(R6:R9)</f>
        <v>0</v>
      </c>
      <c r="S10" s="27">
        <f t="shared" si="18"/>
        <v>457</v>
      </c>
      <c r="T10" s="27">
        <f t="shared" si="18"/>
        <v>18</v>
      </c>
      <c r="U10" s="27">
        <f t="shared" si="18"/>
        <v>475</v>
      </c>
      <c r="V10" s="104">
        <f t="shared" si="18"/>
        <v>465</v>
      </c>
      <c r="W10" s="155">
        <f t="shared" si="18"/>
        <v>-10</v>
      </c>
      <c r="X10" s="155">
        <f>round(W10/X26*7,0)</f>
        <v>1</v>
      </c>
      <c r="Y10" s="155">
        <f t="shared" ref="Y10:Z10" si="19">sum(Y6:Y9)</f>
        <v>475</v>
      </c>
      <c r="Z10" s="27">
        <f t="shared" si="19"/>
        <v>465</v>
      </c>
      <c r="AA10" s="156">
        <f>Y10/Z10</f>
        <v>1.021505376</v>
      </c>
      <c r="AB10" s="27">
        <f t="shared" ref="AB10:AD10" si="20">sum(AB6:AB9)</f>
        <v>85</v>
      </c>
      <c r="AC10" s="27">
        <f t="shared" si="20"/>
        <v>82</v>
      </c>
      <c r="AD10" s="27">
        <f t="shared" si="20"/>
        <v>3</v>
      </c>
      <c r="AF10" s="149"/>
      <c r="AT10" s="136"/>
      <c r="AU10" s="136"/>
      <c r="AV10" s="136"/>
      <c r="AW10" s="136"/>
      <c r="AX10" s="136"/>
      <c r="AY10" s="136"/>
      <c r="AZ10" s="136"/>
      <c r="BA10" s="136"/>
      <c r="BB10" s="136"/>
    </row>
    <row r="11">
      <c r="A11" s="144" t="s">
        <v>20</v>
      </c>
      <c r="B11" s="31">
        <v>20.0</v>
      </c>
      <c r="C11" s="31"/>
      <c r="D11" s="96">
        <f t="shared" ref="D11:D14" si="21">SUM(B11:C11)</f>
        <v>20</v>
      </c>
      <c r="E11" s="97">
        <v>16.0</v>
      </c>
      <c r="F11" s="116">
        <f t="shared" si="2"/>
        <v>1.25</v>
      </c>
      <c r="G11" s="17">
        <v>14.0</v>
      </c>
      <c r="H11" s="17"/>
      <c r="I11" s="17"/>
      <c r="J11" s="96">
        <f t="shared" ref="J11:J14" si="22">SUM(G11:I11)</f>
        <v>14</v>
      </c>
      <c r="K11" s="97">
        <v>9.0</v>
      </c>
      <c r="L11" s="17">
        <v>58.0</v>
      </c>
      <c r="M11" s="17"/>
      <c r="N11" s="17">
        <v>1.0</v>
      </c>
      <c r="O11" s="96">
        <f t="shared" ref="O11:O14" si="23">SUM(L11:N11)</f>
        <v>59</v>
      </c>
      <c r="P11" s="97">
        <v>68.0</v>
      </c>
      <c r="Q11" s="116">
        <f t="shared" si="5"/>
        <v>0.8676470588</v>
      </c>
      <c r="R11" s="99"/>
      <c r="S11" s="31">
        <f t="shared" ref="S11:S12" si="24">L11+G11+B11+M11+H11</f>
        <v>92</v>
      </c>
      <c r="T11" s="31">
        <f t="shared" ref="T11:T14" si="25">N11+I11+C11</f>
        <v>1</v>
      </c>
      <c r="U11" s="96">
        <f t="shared" ref="U11:U14" si="26">sum(R11:T11)</f>
        <v>93</v>
      </c>
      <c r="V11" s="100">
        <f t="shared" ref="V11:V14" si="27">E11+K11+P11</f>
        <v>93</v>
      </c>
      <c r="W11" s="146">
        <f t="shared" ref="W11:W14" si="28">V11-U11</f>
        <v>0</v>
      </c>
      <c r="X11" s="16">
        <f t="shared" ref="X11:X14" si="29">round(W11/$X$26*7,0)</f>
        <v>0</v>
      </c>
      <c r="Y11" s="16">
        <f t="shared" ref="Y11:Y14" si="30">T11+S11</f>
        <v>93</v>
      </c>
      <c r="Z11" s="31">
        <f t="shared" ref="Z11:Z14" si="31">V11</f>
        <v>93</v>
      </c>
      <c r="AA11" s="147">
        <f t="shared" ref="AA11:AA14" si="32">(S11+T11)/V11</f>
        <v>1</v>
      </c>
      <c r="AB11" s="31">
        <v>15.0</v>
      </c>
      <c r="AC11" s="31">
        <v>15.0</v>
      </c>
      <c r="AD11" s="185">
        <f t="shared" ref="AD11:AD14" si="33">AB11-AC11</f>
        <v>0</v>
      </c>
      <c r="AE11" s="148">
        <v>46112.0</v>
      </c>
      <c r="AF11" s="149" t="s">
        <v>48</v>
      </c>
      <c r="AG11" s="12" t="s">
        <v>76</v>
      </c>
      <c r="AT11" s="136"/>
      <c r="AU11" s="136"/>
      <c r="AV11" s="136"/>
      <c r="AW11" s="136"/>
      <c r="AX11" s="136"/>
      <c r="AY11" s="136"/>
      <c r="AZ11" s="136"/>
      <c r="BA11" s="136"/>
      <c r="BB11" s="136"/>
    </row>
    <row r="12">
      <c r="A12" s="144" t="s">
        <v>19</v>
      </c>
      <c r="B12" s="31">
        <v>21.0</v>
      </c>
      <c r="C12" s="31">
        <v>2.0</v>
      </c>
      <c r="D12" s="96">
        <f t="shared" si="21"/>
        <v>23</v>
      </c>
      <c r="E12" s="97">
        <v>17.0</v>
      </c>
      <c r="F12" s="116">
        <f t="shared" si="2"/>
        <v>1.352941176</v>
      </c>
      <c r="G12" s="17">
        <v>16.0</v>
      </c>
      <c r="H12" s="17"/>
      <c r="I12" s="17">
        <v>0.0</v>
      </c>
      <c r="J12" s="96">
        <f t="shared" si="22"/>
        <v>16</v>
      </c>
      <c r="K12" s="97">
        <v>9.0</v>
      </c>
      <c r="L12" s="17">
        <v>60.0</v>
      </c>
      <c r="M12" s="17"/>
      <c r="N12" s="17">
        <v>3.0</v>
      </c>
      <c r="O12" s="96">
        <f t="shared" si="23"/>
        <v>63</v>
      </c>
      <c r="P12" s="97">
        <v>76.0</v>
      </c>
      <c r="Q12" s="116">
        <f t="shared" si="5"/>
        <v>0.8289473684</v>
      </c>
      <c r="R12" s="99"/>
      <c r="S12" s="31">
        <f t="shared" si="24"/>
        <v>97</v>
      </c>
      <c r="T12" s="31">
        <f t="shared" si="25"/>
        <v>5</v>
      </c>
      <c r="U12" s="96">
        <f t="shared" si="26"/>
        <v>102</v>
      </c>
      <c r="V12" s="100">
        <f t="shared" si="27"/>
        <v>102</v>
      </c>
      <c r="W12" s="146">
        <f t="shared" si="28"/>
        <v>0</v>
      </c>
      <c r="X12" s="16">
        <f t="shared" si="29"/>
        <v>0</v>
      </c>
      <c r="Y12" s="16">
        <f t="shared" si="30"/>
        <v>102</v>
      </c>
      <c r="Z12" s="31">
        <f t="shared" si="31"/>
        <v>102</v>
      </c>
      <c r="AA12" s="147">
        <f t="shared" si="32"/>
        <v>1</v>
      </c>
      <c r="AB12" s="31">
        <v>20.0</v>
      </c>
      <c r="AC12" s="31">
        <v>20.0</v>
      </c>
      <c r="AD12" s="185">
        <f t="shared" si="33"/>
        <v>0</v>
      </c>
      <c r="AE12" s="148">
        <v>46112.0</v>
      </c>
      <c r="AF12" s="149" t="s">
        <v>48</v>
      </c>
      <c r="AG12" s="186" t="s">
        <v>76</v>
      </c>
      <c r="AT12" s="136"/>
      <c r="AU12" s="136"/>
      <c r="AV12" s="136"/>
      <c r="AW12" s="136"/>
      <c r="AX12" s="136"/>
      <c r="AY12" s="136"/>
      <c r="AZ12" s="136"/>
      <c r="BA12" s="136"/>
      <c r="BB12" s="136"/>
    </row>
    <row r="13">
      <c r="A13" s="144" t="s">
        <v>18</v>
      </c>
      <c r="B13" s="31">
        <v>19.0</v>
      </c>
      <c r="C13" s="31"/>
      <c r="D13" s="96">
        <f t="shared" si="21"/>
        <v>19</v>
      </c>
      <c r="E13" s="97">
        <v>18.0</v>
      </c>
      <c r="F13" s="116">
        <f t="shared" si="2"/>
        <v>1.055555556</v>
      </c>
      <c r="G13" s="17">
        <v>11.0</v>
      </c>
      <c r="H13" s="17"/>
      <c r="I13" s="17"/>
      <c r="J13" s="96">
        <f t="shared" si="22"/>
        <v>11</v>
      </c>
      <c r="K13" s="97">
        <v>9.0</v>
      </c>
      <c r="L13" s="17">
        <v>89.0</v>
      </c>
      <c r="M13" s="17"/>
      <c r="N13" s="17"/>
      <c r="O13" s="96">
        <f t="shared" si="23"/>
        <v>89</v>
      </c>
      <c r="P13" s="97">
        <v>75.0</v>
      </c>
      <c r="Q13" s="116">
        <f t="shared" si="5"/>
        <v>1.186666667</v>
      </c>
      <c r="R13" s="99"/>
      <c r="S13" s="31">
        <v>119.0</v>
      </c>
      <c r="T13" s="31">
        <f t="shared" si="25"/>
        <v>0</v>
      </c>
      <c r="U13" s="96">
        <f t="shared" si="26"/>
        <v>119</v>
      </c>
      <c r="V13" s="100">
        <f t="shared" si="27"/>
        <v>102</v>
      </c>
      <c r="W13" s="146">
        <f t="shared" si="28"/>
        <v>-17</v>
      </c>
      <c r="X13" s="16">
        <f t="shared" si="29"/>
        <v>1</v>
      </c>
      <c r="Y13" s="16">
        <f t="shared" si="30"/>
        <v>119</v>
      </c>
      <c r="Z13" s="31">
        <f t="shared" si="31"/>
        <v>102</v>
      </c>
      <c r="AA13" s="147">
        <f t="shared" si="32"/>
        <v>1.166666667</v>
      </c>
      <c r="AB13" s="31">
        <v>20.0</v>
      </c>
      <c r="AC13" s="31">
        <v>20.0</v>
      </c>
      <c r="AD13" s="185">
        <f t="shared" si="33"/>
        <v>0</v>
      </c>
      <c r="AE13" s="148">
        <v>46112.0</v>
      </c>
      <c r="AF13" s="149" t="s">
        <v>48</v>
      </c>
      <c r="AG13" s="12" t="s">
        <v>76</v>
      </c>
      <c r="AT13" s="136"/>
      <c r="AU13" s="136"/>
      <c r="AV13" s="136"/>
      <c r="AW13" s="136"/>
      <c r="AX13" s="136"/>
      <c r="AY13" s="136"/>
      <c r="AZ13" s="136"/>
      <c r="BA13" s="136"/>
      <c r="BB13" s="136"/>
    </row>
    <row r="14">
      <c r="A14" s="144" t="s">
        <v>21</v>
      </c>
      <c r="B14" s="31">
        <v>46.0</v>
      </c>
      <c r="C14" s="31"/>
      <c r="D14" s="96">
        <f t="shared" si="21"/>
        <v>46</v>
      </c>
      <c r="E14" s="97">
        <v>31.0</v>
      </c>
      <c r="F14" s="116">
        <f t="shared" si="2"/>
        <v>1.483870968</v>
      </c>
      <c r="G14" s="17">
        <v>8.0</v>
      </c>
      <c r="H14" s="17"/>
      <c r="I14" s="17"/>
      <c r="J14" s="96">
        <f t="shared" si="22"/>
        <v>8</v>
      </c>
      <c r="K14" s="97">
        <v>15.0</v>
      </c>
      <c r="L14" s="17">
        <v>103.0</v>
      </c>
      <c r="M14" s="17"/>
      <c r="N14" s="17"/>
      <c r="O14" s="96">
        <f t="shared" si="23"/>
        <v>103</v>
      </c>
      <c r="P14" s="97">
        <v>117.0</v>
      </c>
      <c r="Q14" s="116">
        <f t="shared" si="5"/>
        <v>0.8803418803</v>
      </c>
      <c r="R14" s="99"/>
      <c r="S14" s="31">
        <f>L14+G14+B14+M14+H14</f>
        <v>157</v>
      </c>
      <c r="T14" s="31">
        <f t="shared" si="25"/>
        <v>0</v>
      </c>
      <c r="U14" s="96">
        <f t="shared" si="26"/>
        <v>157</v>
      </c>
      <c r="V14" s="100">
        <f t="shared" si="27"/>
        <v>163</v>
      </c>
      <c r="W14" s="146">
        <f t="shared" si="28"/>
        <v>6</v>
      </c>
      <c r="X14" s="16">
        <f t="shared" si="29"/>
        <v>0</v>
      </c>
      <c r="Y14" s="16">
        <f t="shared" si="30"/>
        <v>157</v>
      </c>
      <c r="Z14" s="31">
        <f t="shared" si="31"/>
        <v>163</v>
      </c>
      <c r="AA14" s="147">
        <f t="shared" si="32"/>
        <v>0.963190184</v>
      </c>
      <c r="AB14" s="31">
        <v>30.0</v>
      </c>
      <c r="AC14" s="31">
        <v>30.0</v>
      </c>
      <c r="AD14" s="185">
        <f t="shared" si="33"/>
        <v>0</v>
      </c>
      <c r="AE14" s="148">
        <v>46112.0</v>
      </c>
      <c r="AF14" s="149" t="s">
        <v>48</v>
      </c>
      <c r="AG14" s="12" t="s">
        <v>76</v>
      </c>
      <c r="AT14" s="136"/>
      <c r="AU14" s="136"/>
      <c r="AV14" s="136"/>
      <c r="AW14" s="136"/>
      <c r="AX14" s="136"/>
      <c r="AY14" s="136"/>
      <c r="AZ14" s="136"/>
      <c r="BA14" s="136"/>
      <c r="BB14" s="136"/>
    </row>
    <row r="15">
      <c r="A15" s="153" t="s">
        <v>22</v>
      </c>
      <c r="B15" s="27">
        <f t="shared" ref="B15:E15" si="34">sum(B11:B14)</f>
        <v>106</v>
      </c>
      <c r="C15" s="27">
        <f t="shared" si="34"/>
        <v>2</v>
      </c>
      <c r="D15" s="27">
        <f t="shared" si="34"/>
        <v>108</v>
      </c>
      <c r="E15" s="27">
        <f t="shared" si="34"/>
        <v>82</v>
      </c>
      <c r="F15" s="154">
        <f t="shared" si="2"/>
        <v>1.317073171</v>
      </c>
      <c r="G15" s="27">
        <f t="shared" ref="G15:P15" si="35">sum(G11:G14)</f>
        <v>49</v>
      </c>
      <c r="H15" s="27">
        <f t="shared" si="35"/>
        <v>0</v>
      </c>
      <c r="I15" s="27">
        <f t="shared" si="35"/>
        <v>0</v>
      </c>
      <c r="J15" s="27">
        <f t="shared" si="35"/>
        <v>49</v>
      </c>
      <c r="K15" s="27">
        <f t="shared" si="35"/>
        <v>42</v>
      </c>
      <c r="L15" s="27">
        <f t="shared" si="35"/>
        <v>310</v>
      </c>
      <c r="M15" s="27">
        <f t="shared" si="35"/>
        <v>0</v>
      </c>
      <c r="N15" s="27">
        <f t="shared" si="35"/>
        <v>4</v>
      </c>
      <c r="O15" s="27">
        <f t="shared" si="35"/>
        <v>314</v>
      </c>
      <c r="P15" s="27">
        <f t="shared" si="35"/>
        <v>336</v>
      </c>
      <c r="Q15" s="154">
        <f t="shared" si="5"/>
        <v>0.9345238095</v>
      </c>
      <c r="R15" s="27">
        <f t="shared" ref="R15:W15" si="36">sum(R11:R14)</f>
        <v>0</v>
      </c>
      <c r="S15" s="27">
        <f t="shared" si="36"/>
        <v>465</v>
      </c>
      <c r="T15" s="27">
        <f t="shared" si="36"/>
        <v>6</v>
      </c>
      <c r="U15" s="27">
        <f t="shared" si="36"/>
        <v>471</v>
      </c>
      <c r="V15" s="104">
        <f t="shared" si="36"/>
        <v>460</v>
      </c>
      <c r="W15" s="155">
        <f t="shared" si="36"/>
        <v>-11</v>
      </c>
      <c r="X15" s="155">
        <f>round(W15/X26*7,0)</f>
        <v>1</v>
      </c>
      <c r="Y15" s="155">
        <f t="shared" ref="Y15:Z15" si="37">sum(Y11:Y14)</f>
        <v>471</v>
      </c>
      <c r="Z15" s="27">
        <f t="shared" si="37"/>
        <v>460</v>
      </c>
      <c r="AA15" s="156">
        <f>Y15/Z15</f>
        <v>1.023913043</v>
      </c>
      <c r="AB15" s="27">
        <f t="shared" ref="AB15:AD15" si="38">sum(AB11:AB14)</f>
        <v>85</v>
      </c>
      <c r="AC15" s="27">
        <f t="shared" si="38"/>
        <v>85</v>
      </c>
      <c r="AD15" s="27">
        <f t="shared" si="38"/>
        <v>0</v>
      </c>
      <c r="AF15" s="149"/>
      <c r="AT15" s="136"/>
      <c r="AU15" s="136"/>
      <c r="AV15" s="136"/>
      <c r="AW15" s="136"/>
      <c r="AX15" s="136"/>
      <c r="AY15" s="136"/>
      <c r="AZ15" s="136"/>
      <c r="BA15" s="136"/>
      <c r="BB15" s="136"/>
    </row>
    <row r="16">
      <c r="A16" s="144" t="s">
        <v>23</v>
      </c>
      <c r="B16" s="31">
        <v>13.0</v>
      </c>
      <c r="C16" s="31">
        <v>4.0</v>
      </c>
      <c r="D16" s="96">
        <f t="shared" ref="D16:D18" si="39">SUM(B16:C16)</f>
        <v>17</v>
      </c>
      <c r="E16" s="97">
        <v>22.0</v>
      </c>
      <c r="F16" s="116">
        <f t="shared" si="2"/>
        <v>0.7727272727</v>
      </c>
      <c r="G16" s="17">
        <v>9.0</v>
      </c>
      <c r="H16" s="17"/>
      <c r="I16" s="17">
        <v>2.0</v>
      </c>
      <c r="J16" s="96">
        <f t="shared" ref="J16:J18" si="40">SUM(G16:I16)</f>
        <v>11</v>
      </c>
      <c r="K16" s="97">
        <v>9.0</v>
      </c>
      <c r="L16" s="17">
        <v>55.0</v>
      </c>
      <c r="M16" s="17"/>
      <c r="N16" s="17">
        <v>9.0</v>
      </c>
      <c r="O16" s="96">
        <f t="shared" ref="O16:O18" si="41">SUM(L16:N16)</f>
        <v>64</v>
      </c>
      <c r="P16" s="97">
        <v>82.0</v>
      </c>
      <c r="Q16" s="116">
        <f t="shared" si="5"/>
        <v>0.7804878049</v>
      </c>
      <c r="R16" s="99"/>
      <c r="S16" s="31">
        <f t="shared" ref="S16:S18" si="42">L16+G16+B16+M16+H16</f>
        <v>77</v>
      </c>
      <c r="T16" s="31">
        <f t="shared" ref="T16:T18" si="43">N16+I16+C16</f>
        <v>15</v>
      </c>
      <c r="U16" s="96">
        <f t="shared" ref="U16:U18" si="44">sum(R16:T16)</f>
        <v>92</v>
      </c>
      <c r="V16" s="100">
        <f t="shared" ref="V16:V18" si="45">E16+K16+P16</f>
        <v>113</v>
      </c>
      <c r="W16" s="146">
        <f t="shared" ref="W16:W18" si="46">V16-U16</f>
        <v>21</v>
      </c>
      <c r="X16" s="16">
        <f t="shared" ref="X16:X18" si="47">round(W16/$X$26*7,0)</f>
        <v>-1</v>
      </c>
      <c r="Y16" s="16">
        <f t="shared" ref="Y16:Y18" si="48">T16+S16</f>
        <v>92</v>
      </c>
      <c r="Z16" s="31">
        <f t="shared" ref="Z16:Z18" si="49">V16</f>
        <v>113</v>
      </c>
      <c r="AA16" s="147">
        <f t="shared" ref="AA16:AA18" si="50">(S16+T16)/V16</f>
        <v>0.814159292</v>
      </c>
      <c r="AB16" s="31">
        <v>20.0</v>
      </c>
      <c r="AC16" s="31">
        <v>20.0</v>
      </c>
      <c r="AD16" s="185"/>
      <c r="AE16" s="157">
        <v>46112.0</v>
      </c>
      <c r="AF16" s="149" t="s">
        <v>77</v>
      </c>
      <c r="AG16" s="12" t="s">
        <v>76</v>
      </c>
      <c r="AT16" s="136"/>
      <c r="AU16" s="136"/>
      <c r="AV16" s="136"/>
      <c r="AW16" s="136"/>
      <c r="AX16" s="136"/>
      <c r="AY16" s="136"/>
      <c r="AZ16" s="136"/>
      <c r="BA16" s="136"/>
      <c r="BB16" s="136"/>
    </row>
    <row r="17">
      <c r="A17" s="144" t="s">
        <v>24</v>
      </c>
      <c r="B17" s="31">
        <v>23.0</v>
      </c>
      <c r="C17" s="31">
        <v>1.0</v>
      </c>
      <c r="D17" s="96">
        <f t="shared" si="39"/>
        <v>24</v>
      </c>
      <c r="E17" s="97">
        <v>21.0</v>
      </c>
      <c r="F17" s="116">
        <f t="shared" si="2"/>
        <v>1.142857143</v>
      </c>
      <c r="G17" s="17">
        <v>8.0</v>
      </c>
      <c r="H17" s="17"/>
      <c r="I17" s="17">
        <v>1.0</v>
      </c>
      <c r="J17" s="96">
        <f t="shared" si="40"/>
        <v>9</v>
      </c>
      <c r="K17" s="97">
        <v>11.0</v>
      </c>
      <c r="L17" s="17">
        <v>86.0</v>
      </c>
      <c r="M17" s="17"/>
      <c r="N17" s="17">
        <v>1.0</v>
      </c>
      <c r="O17" s="96">
        <f t="shared" si="41"/>
        <v>87</v>
      </c>
      <c r="P17" s="97">
        <v>86.0</v>
      </c>
      <c r="Q17" s="116">
        <f t="shared" si="5"/>
        <v>1.011627907</v>
      </c>
      <c r="R17" s="99"/>
      <c r="S17" s="31">
        <f t="shared" si="42"/>
        <v>117</v>
      </c>
      <c r="T17" s="31">
        <f t="shared" si="43"/>
        <v>3</v>
      </c>
      <c r="U17" s="96">
        <f t="shared" si="44"/>
        <v>120</v>
      </c>
      <c r="V17" s="100">
        <f t="shared" si="45"/>
        <v>118</v>
      </c>
      <c r="W17" s="146">
        <f t="shared" si="46"/>
        <v>-2</v>
      </c>
      <c r="X17" s="16">
        <f t="shared" si="47"/>
        <v>0</v>
      </c>
      <c r="Y17" s="16">
        <f t="shared" si="48"/>
        <v>120</v>
      </c>
      <c r="Z17" s="31">
        <f t="shared" si="49"/>
        <v>118</v>
      </c>
      <c r="AA17" s="147">
        <f t="shared" si="50"/>
        <v>1.016949153</v>
      </c>
      <c r="AB17" s="31">
        <v>20.0</v>
      </c>
      <c r="AC17" s="31">
        <v>20.0</v>
      </c>
      <c r="AD17" s="185">
        <f t="shared" ref="AD17:AD18" si="51">AB17-AC17</f>
        <v>0</v>
      </c>
      <c r="AE17" s="157">
        <v>46112.0</v>
      </c>
      <c r="AF17" s="149" t="s">
        <v>77</v>
      </c>
      <c r="AG17" s="12" t="s">
        <v>76</v>
      </c>
      <c r="AT17" s="136"/>
      <c r="AU17" s="136"/>
      <c r="AV17" s="136"/>
      <c r="AW17" s="136"/>
      <c r="AX17" s="136"/>
      <c r="AY17" s="136"/>
      <c r="AZ17" s="136"/>
      <c r="BA17" s="136"/>
      <c r="BB17" s="136"/>
    </row>
    <row r="18">
      <c r="A18" s="144" t="s">
        <v>25</v>
      </c>
      <c r="B18" s="31">
        <v>15.0</v>
      </c>
      <c r="C18" s="31"/>
      <c r="D18" s="96">
        <f t="shared" si="39"/>
        <v>15</v>
      </c>
      <c r="E18" s="97">
        <v>9.0</v>
      </c>
      <c r="F18" s="116">
        <f t="shared" si="2"/>
        <v>1.666666667</v>
      </c>
      <c r="G18" s="17">
        <v>13.0</v>
      </c>
      <c r="H18" s="17"/>
      <c r="I18" s="17"/>
      <c r="J18" s="96">
        <f t="shared" si="40"/>
        <v>13</v>
      </c>
      <c r="K18" s="97">
        <v>3.0</v>
      </c>
      <c r="L18" s="17">
        <v>26.0</v>
      </c>
      <c r="M18" s="17"/>
      <c r="N18" s="17"/>
      <c r="O18" s="96">
        <f t="shared" si="41"/>
        <v>26</v>
      </c>
      <c r="P18" s="97">
        <v>31.0</v>
      </c>
      <c r="Q18" s="116">
        <f t="shared" si="5"/>
        <v>0.8387096774</v>
      </c>
      <c r="R18" s="99"/>
      <c r="S18" s="31">
        <f t="shared" si="42"/>
        <v>54</v>
      </c>
      <c r="T18" s="31">
        <f t="shared" si="43"/>
        <v>0</v>
      </c>
      <c r="U18" s="96">
        <f t="shared" si="44"/>
        <v>54</v>
      </c>
      <c r="V18" s="100">
        <f t="shared" si="45"/>
        <v>43</v>
      </c>
      <c r="W18" s="146">
        <f t="shared" si="46"/>
        <v>-11</v>
      </c>
      <c r="X18" s="16">
        <f t="shared" si="47"/>
        <v>1</v>
      </c>
      <c r="Y18" s="16">
        <f t="shared" si="48"/>
        <v>54</v>
      </c>
      <c r="Z18" s="31">
        <f t="shared" si="49"/>
        <v>43</v>
      </c>
      <c r="AA18" s="147">
        <f t="shared" si="50"/>
        <v>1.255813953</v>
      </c>
      <c r="AB18" s="31">
        <v>5.0</v>
      </c>
      <c r="AC18" s="31">
        <v>5.0</v>
      </c>
      <c r="AD18" s="185">
        <f t="shared" si="51"/>
        <v>0</v>
      </c>
      <c r="AE18" s="157">
        <v>46112.0</v>
      </c>
      <c r="AF18" s="149" t="s">
        <v>77</v>
      </c>
      <c r="AG18" s="12" t="s">
        <v>76</v>
      </c>
      <c r="AT18" s="136"/>
      <c r="AU18" s="136"/>
      <c r="AV18" s="136"/>
      <c r="AW18" s="136"/>
      <c r="AX18" s="136"/>
      <c r="AY18" s="136"/>
      <c r="AZ18" s="136"/>
      <c r="BA18" s="136"/>
      <c r="BB18" s="136"/>
    </row>
    <row r="19">
      <c r="A19" s="153" t="s">
        <v>26</v>
      </c>
      <c r="B19" s="27">
        <f t="shared" ref="B19:E19" si="52">sum(B16:B18)</f>
        <v>51</v>
      </c>
      <c r="C19" s="27">
        <f t="shared" si="52"/>
        <v>5</v>
      </c>
      <c r="D19" s="27">
        <f t="shared" si="52"/>
        <v>56</v>
      </c>
      <c r="E19" s="27">
        <f t="shared" si="52"/>
        <v>52</v>
      </c>
      <c r="F19" s="154">
        <f t="shared" si="2"/>
        <v>1.076923077</v>
      </c>
      <c r="G19" s="27">
        <f t="shared" ref="G19:P19" si="53">sum(G16:G18)</f>
        <v>30</v>
      </c>
      <c r="H19" s="27">
        <f t="shared" si="53"/>
        <v>0</v>
      </c>
      <c r="I19" s="27">
        <f t="shared" si="53"/>
        <v>3</v>
      </c>
      <c r="J19" s="27">
        <f t="shared" si="53"/>
        <v>33</v>
      </c>
      <c r="K19" s="27">
        <f t="shared" si="53"/>
        <v>23</v>
      </c>
      <c r="L19" s="27">
        <f t="shared" si="53"/>
        <v>167</v>
      </c>
      <c r="M19" s="27">
        <f t="shared" si="53"/>
        <v>0</v>
      </c>
      <c r="N19" s="27">
        <f t="shared" si="53"/>
        <v>10</v>
      </c>
      <c r="O19" s="27">
        <f t="shared" si="53"/>
        <v>177</v>
      </c>
      <c r="P19" s="27">
        <f t="shared" si="53"/>
        <v>199</v>
      </c>
      <c r="Q19" s="154">
        <f t="shared" si="5"/>
        <v>0.8894472362</v>
      </c>
      <c r="R19" s="27">
        <f t="shared" ref="R19:W19" si="54">sum(R16:R18)</f>
        <v>0</v>
      </c>
      <c r="S19" s="27">
        <f t="shared" si="54"/>
        <v>248</v>
      </c>
      <c r="T19" s="27">
        <f t="shared" si="54"/>
        <v>18</v>
      </c>
      <c r="U19" s="27">
        <f t="shared" si="54"/>
        <v>266</v>
      </c>
      <c r="V19" s="104">
        <f t="shared" si="54"/>
        <v>274</v>
      </c>
      <c r="W19" s="155">
        <f t="shared" si="54"/>
        <v>8</v>
      </c>
      <c r="X19" s="155">
        <f>round(W19/X26*7,0)</f>
        <v>-1</v>
      </c>
      <c r="Y19" s="155">
        <f t="shared" ref="Y19:Z19" si="55">sum(Y16:Y18)</f>
        <v>266</v>
      </c>
      <c r="Z19" s="27">
        <f t="shared" si="55"/>
        <v>274</v>
      </c>
      <c r="AA19" s="156">
        <f>Y19/Z19</f>
        <v>0.9708029197</v>
      </c>
      <c r="AB19" s="27">
        <f t="shared" ref="AB19:AD19" si="56">sum(AB16:AB18)</f>
        <v>45</v>
      </c>
      <c r="AC19" s="27">
        <f t="shared" si="56"/>
        <v>45</v>
      </c>
      <c r="AD19" s="27">
        <f t="shared" si="56"/>
        <v>0</v>
      </c>
      <c r="AE19" s="157"/>
      <c r="AF19" s="149"/>
      <c r="AT19" s="136"/>
      <c r="AU19" s="136"/>
      <c r="AV19" s="136"/>
      <c r="AW19" s="136"/>
      <c r="AX19" s="136"/>
      <c r="AY19" s="136"/>
      <c r="AZ19" s="136"/>
      <c r="BA19" s="136"/>
      <c r="BB19" s="136"/>
    </row>
    <row r="20">
      <c r="A20" s="153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107"/>
      <c r="W20" s="33"/>
      <c r="X20" s="158"/>
      <c r="Y20" s="158"/>
      <c r="Z20" s="159"/>
      <c r="AA20" s="160"/>
      <c r="AB20" s="32"/>
      <c r="AC20" s="32"/>
      <c r="AD20" s="185">
        <f t="shared" ref="AD20:AD21" si="57">AB20-AC20</f>
        <v>0</v>
      </c>
      <c r="AF20" s="136"/>
      <c r="AT20" s="136"/>
      <c r="AU20" s="136"/>
      <c r="AV20" s="136"/>
      <c r="AW20" s="136"/>
      <c r="AX20" s="136"/>
      <c r="AY20" s="136"/>
      <c r="AZ20" s="136"/>
      <c r="BA20" s="136"/>
      <c r="BB20" s="136"/>
    </row>
    <row r="21">
      <c r="A21" s="16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107"/>
      <c r="W21" s="33"/>
      <c r="X21" s="158"/>
      <c r="Y21" s="158"/>
      <c r="Z21" s="159"/>
      <c r="AA21" s="160"/>
      <c r="AB21" s="32"/>
      <c r="AC21" s="32"/>
      <c r="AD21" s="185">
        <f t="shared" si="57"/>
        <v>0</v>
      </c>
      <c r="AF21" s="136"/>
      <c r="AT21" s="136"/>
      <c r="AU21" s="136"/>
      <c r="AV21" s="136"/>
      <c r="AW21" s="136"/>
      <c r="AX21" s="136"/>
      <c r="AY21" s="136"/>
      <c r="AZ21" s="136"/>
      <c r="BA21" s="136"/>
      <c r="BB21" s="136"/>
    </row>
    <row r="22">
      <c r="A22" s="162" t="s">
        <v>8</v>
      </c>
      <c r="B22" s="163">
        <f t="shared" ref="B22:E22" si="58">B19+B15+B10</f>
        <v>257</v>
      </c>
      <c r="C22" s="163">
        <f t="shared" si="58"/>
        <v>16</v>
      </c>
      <c r="D22" s="163">
        <f t="shared" si="58"/>
        <v>273</v>
      </c>
      <c r="E22" s="163">
        <f t="shared" si="58"/>
        <v>218</v>
      </c>
      <c r="F22" s="164">
        <f>D22/E22</f>
        <v>1.252293578</v>
      </c>
      <c r="G22" s="163">
        <f t="shared" ref="G22:P22" si="59">G19+G15+G10</f>
        <v>127</v>
      </c>
      <c r="H22" s="163">
        <f t="shared" si="59"/>
        <v>0</v>
      </c>
      <c r="I22" s="163">
        <f t="shared" si="59"/>
        <v>5</v>
      </c>
      <c r="J22" s="163">
        <f t="shared" si="59"/>
        <v>132</v>
      </c>
      <c r="K22" s="163">
        <f t="shared" si="59"/>
        <v>109</v>
      </c>
      <c r="L22" s="163">
        <f t="shared" si="59"/>
        <v>786</v>
      </c>
      <c r="M22" s="163">
        <f t="shared" si="59"/>
        <v>0</v>
      </c>
      <c r="N22" s="163">
        <f t="shared" si="59"/>
        <v>21</v>
      </c>
      <c r="O22" s="163">
        <f t="shared" si="59"/>
        <v>807</v>
      </c>
      <c r="P22" s="163">
        <f t="shared" si="59"/>
        <v>872</v>
      </c>
      <c r="Q22" s="164">
        <f>O22/P22</f>
        <v>0.9254587156</v>
      </c>
      <c r="R22" s="163">
        <f t="shared" ref="R22:W22" si="60">R19+R15+R10</f>
        <v>0</v>
      </c>
      <c r="S22" s="163">
        <f t="shared" si="60"/>
        <v>1170</v>
      </c>
      <c r="T22" s="163">
        <f t="shared" si="60"/>
        <v>42</v>
      </c>
      <c r="U22" s="163">
        <f t="shared" si="60"/>
        <v>1212</v>
      </c>
      <c r="V22" s="165">
        <f t="shared" si="60"/>
        <v>1199</v>
      </c>
      <c r="W22" s="166">
        <f t="shared" si="60"/>
        <v>-13</v>
      </c>
      <c r="X22" s="167">
        <f>round(W22/X26*7,0)</f>
        <v>1</v>
      </c>
      <c r="Y22" s="166">
        <f t="shared" ref="Y22:Z22" si="61">Y19+Y15+Y10</f>
        <v>1212</v>
      </c>
      <c r="Z22" s="163">
        <f t="shared" si="61"/>
        <v>1199</v>
      </c>
      <c r="AA22" s="168">
        <f>(S22+T22)/V22</f>
        <v>1.010842369</v>
      </c>
      <c r="AB22" s="163">
        <f t="shared" ref="AB22:AD22" si="62">AB19+AB15+AB10</f>
        <v>215</v>
      </c>
      <c r="AC22" s="163">
        <f t="shared" si="62"/>
        <v>212</v>
      </c>
      <c r="AD22" s="163">
        <f t="shared" si="62"/>
        <v>3</v>
      </c>
      <c r="AF22" s="136"/>
      <c r="AT22" s="136"/>
      <c r="AU22" s="136"/>
      <c r="AV22" s="136"/>
      <c r="AW22" s="136"/>
      <c r="AX22" s="136"/>
      <c r="AY22" s="136"/>
      <c r="AZ22" s="136"/>
      <c r="BA22" s="136"/>
      <c r="BB22" s="136"/>
    </row>
    <row r="23">
      <c r="AB23" s="20">
        <f t="shared" ref="AB23:AD23" si="63">AB22*250</f>
        <v>53750</v>
      </c>
      <c r="AC23" s="20">
        <f t="shared" si="63"/>
        <v>53000</v>
      </c>
      <c r="AD23" s="20">
        <f t="shared" si="63"/>
        <v>750</v>
      </c>
      <c r="AT23" s="136"/>
      <c r="AU23" s="136"/>
      <c r="AV23" s="136"/>
      <c r="AW23" s="136"/>
      <c r="AX23" s="136"/>
      <c r="AY23" s="136"/>
      <c r="AZ23" s="136"/>
      <c r="BA23" s="136"/>
      <c r="BB23" s="136"/>
    </row>
    <row r="24">
      <c r="X24" s="1">
        <v>46112.0</v>
      </c>
      <c r="Y24" s="44"/>
      <c r="Z24" s="21">
        <f>Z22-Y22</f>
        <v>-13</v>
      </c>
      <c r="AT24" s="136"/>
      <c r="AU24" s="136"/>
      <c r="AV24" s="136"/>
      <c r="AW24" s="136"/>
      <c r="AX24" s="136"/>
      <c r="AY24" s="136"/>
      <c r="AZ24" s="136"/>
      <c r="BA24" s="136"/>
      <c r="BB24" s="136"/>
    </row>
    <row r="25">
      <c r="X25" s="169">
        <f>today()</f>
        <v>46216</v>
      </c>
    </row>
    <row r="26">
      <c r="A26" s="187" t="s">
        <v>52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8"/>
      <c r="U26" s="110" t="s">
        <v>29</v>
      </c>
      <c r="V26" s="111" t="s">
        <v>30</v>
      </c>
      <c r="X26" s="20">
        <f>X24-X25</f>
        <v>-104</v>
      </c>
    </row>
    <row r="27">
      <c r="A27" s="13"/>
      <c r="B27" s="89" t="str">
        <f>'2026 - Q1'!B4</f>
        <v>JAN</v>
      </c>
      <c r="C27" s="90"/>
      <c r="D27" s="90"/>
      <c r="E27" s="90"/>
      <c r="F27" s="89" t="str">
        <f>'2026 - Q1'!G4</f>
        <v>FEB</v>
      </c>
      <c r="G27" s="90"/>
      <c r="H27" s="90"/>
      <c r="I27" s="90"/>
      <c r="J27" s="89" t="str">
        <f>'2026 - Q1'!L4</f>
        <v>MAR</v>
      </c>
      <c r="K27" s="90"/>
      <c r="L27" s="90"/>
      <c r="M27" s="90"/>
      <c r="N27" s="89"/>
      <c r="O27" s="91" t="s">
        <v>8</v>
      </c>
      <c r="P27" s="90"/>
      <c r="Q27" s="90"/>
      <c r="R27" s="92"/>
      <c r="V27" s="136"/>
    </row>
    <row r="28">
      <c r="A28" s="15"/>
      <c r="B28" s="179" t="s">
        <v>54</v>
      </c>
      <c r="C28" s="179" t="s">
        <v>55</v>
      </c>
      <c r="D28" s="179" t="s">
        <v>37</v>
      </c>
      <c r="E28" s="179" t="s">
        <v>56</v>
      </c>
      <c r="F28" s="179" t="s">
        <v>54</v>
      </c>
      <c r="G28" s="179" t="s">
        <v>55</v>
      </c>
      <c r="H28" s="179" t="s">
        <v>37</v>
      </c>
      <c r="I28" s="179" t="s">
        <v>56</v>
      </c>
      <c r="J28" s="179" t="s">
        <v>54</v>
      </c>
      <c r="K28" s="179" t="s">
        <v>55</v>
      </c>
      <c r="L28" s="179" t="s">
        <v>37</v>
      </c>
      <c r="M28" s="179" t="s">
        <v>56</v>
      </c>
      <c r="N28" s="179"/>
      <c r="O28" s="179" t="s">
        <v>54</v>
      </c>
      <c r="P28" s="179" t="s">
        <v>55</v>
      </c>
      <c r="Q28" s="179" t="s">
        <v>37</v>
      </c>
      <c r="R28" s="181" t="s">
        <v>56</v>
      </c>
      <c r="V28" s="136"/>
      <c r="Y28" s="12" t="s">
        <v>68</v>
      </c>
    </row>
    <row r="29">
      <c r="A29" s="95" t="s">
        <v>13</v>
      </c>
      <c r="B29" s="17">
        <v>124.0</v>
      </c>
      <c r="C29" s="17">
        <v>0.0</v>
      </c>
      <c r="D29" s="96">
        <f>SUM(B29:C29)</f>
        <v>124</v>
      </c>
      <c r="E29" s="97">
        <v>134.0</v>
      </c>
      <c r="F29" s="98">
        <v>55.0</v>
      </c>
      <c r="G29" s="17">
        <v>0.0</v>
      </c>
      <c r="H29" s="96">
        <f>SUM(F29:G29)</f>
        <v>55</v>
      </c>
      <c r="I29" s="97">
        <v>78.0</v>
      </c>
      <c r="J29" s="98">
        <v>230.0</v>
      </c>
      <c r="K29" s="98">
        <v>0.0</v>
      </c>
      <c r="L29" s="96">
        <v>0.0</v>
      </c>
      <c r="M29" s="97">
        <v>315.0</v>
      </c>
      <c r="N29" s="99"/>
      <c r="O29" s="31">
        <f t="shared" ref="O29:P29" si="64">J29+F29+B29</f>
        <v>409</v>
      </c>
      <c r="P29" s="31">
        <f t="shared" si="64"/>
        <v>0</v>
      </c>
      <c r="Q29" s="96">
        <f>P29+O29</f>
        <v>409</v>
      </c>
      <c r="R29" s="100">
        <f>M29+I29+E29</f>
        <v>527</v>
      </c>
      <c r="S29" s="157"/>
      <c r="U29" s="157">
        <v>46112.0</v>
      </c>
      <c r="V29" s="149" t="s">
        <v>75</v>
      </c>
      <c r="W29" s="12" t="s">
        <v>76</v>
      </c>
    </row>
    <row r="30">
      <c r="A30" s="103" t="s">
        <v>17</v>
      </c>
      <c r="B30" s="27">
        <f t="shared" ref="B30:M30" si="65">sum(B29)</f>
        <v>124</v>
      </c>
      <c r="C30" s="27">
        <f t="shared" si="65"/>
        <v>0</v>
      </c>
      <c r="D30" s="27">
        <f t="shared" si="65"/>
        <v>124</v>
      </c>
      <c r="E30" s="27">
        <f t="shared" si="65"/>
        <v>134</v>
      </c>
      <c r="F30" s="27">
        <f t="shared" si="65"/>
        <v>55</v>
      </c>
      <c r="G30" s="27">
        <f t="shared" si="65"/>
        <v>0</v>
      </c>
      <c r="H30" s="27">
        <f t="shared" si="65"/>
        <v>55</v>
      </c>
      <c r="I30" s="27">
        <f t="shared" si="65"/>
        <v>78</v>
      </c>
      <c r="J30" s="27">
        <f t="shared" si="65"/>
        <v>230</v>
      </c>
      <c r="K30" s="27">
        <f t="shared" si="65"/>
        <v>0</v>
      </c>
      <c r="L30" s="27">
        <f t="shared" si="65"/>
        <v>0</v>
      </c>
      <c r="M30" s="27">
        <f t="shared" si="65"/>
        <v>315</v>
      </c>
      <c r="N30" s="99"/>
      <c r="O30" s="27">
        <f t="shared" ref="O30:R30" si="66">sum(O29)</f>
        <v>409</v>
      </c>
      <c r="P30" s="27">
        <f t="shared" si="66"/>
        <v>0</v>
      </c>
      <c r="Q30" s="27">
        <f t="shared" si="66"/>
        <v>409</v>
      </c>
      <c r="R30" s="104">
        <f t="shared" si="66"/>
        <v>527</v>
      </c>
      <c r="V30" s="136"/>
    </row>
    <row r="31">
      <c r="A31" s="95" t="s">
        <v>19</v>
      </c>
      <c r="B31" s="17">
        <v>29.0</v>
      </c>
      <c r="C31" s="31">
        <v>0.0</v>
      </c>
      <c r="D31" s="96">
        <f>SUM(B31:C31)</f>
        <v>29</v>
      </c>
      <c r="E31" s="97">
        <v>26.0</v>
      </c>
      <c r="F31" s="98">
        <v>16.0</v>
      </c>
      <c r="G31" s="31"/>
      <c r="H31" s="96">
        <v>20.0</v>
      </c>
      <c r="I31" s="97">
        <v>15.0</v>
      </c>
      <c r="J31" s="98">
        <v>42.0</v>
      </c>
      <c r="K31" s="98">
        <v>0.0</v>
      </c>
      <c r="L31" s="96">
        <f>K31+J31</f>
        <v>42</v>
      </c>
      <c r="M31" s="97">
        <v>72.0</v>
      </c>
      <c r="N31" s="99"/>
      <c r="O31" s="31">
        <f>J31+F31+B31</f>
        <v>87</v>
      </c>
      <c r="P31" s="31">
        <f>C31+G31+K31</f>
        <v>0</v>
      </c>
      <c r="Q31" s="96">
        <f>P31+O31</f>
        <v>87</v>
      </c>
      <c r="R31" s="100">
        <f>M31+I31+E31</f>
        <v>113</v>
      </c>
      <c r="S31" s="157"/>
      <c r="U31" s="157">
        <v>46112.0</v>
      </c>
      <c r="V31" s="149" t="s">
        <v>48</v>
      </c>
      <c r="W31" s="186" t="s">
        <v>76</v>
      </c>
      <c r="X31" s="188"/>
    </row>
    <row r="32">
      <c r="A32" s="103" t="s">
        <v>22</v>
      </c>
      <c r="B32" s="27">
        <f t="shared" ref="B32:M32" si="67">sum(B31)</f>
        <v>29</v>
      </c>
      <c r="C32" s="27">
        <f t="shared" si="67"/>
        <v>0</v>
      </c>
      <c r="D32" s="27">
        <f t="shared" si="67"/>
        <v>29</v>
      </c>
      <c r="E32" s="27">
        <f t="shared" si="67"/>
        <v>26</v>
      </c>
      <c r="F32" s="27">
        <f t="shared" si="67"/>
        <v>16</v>
      </c>
      <c r="G32" s="27">
        <f t="shared" si="67"/>
        <v>0</v>
      </c>
      <c r="H32" s="27">
        <f t="shared" si="67"/>
        <v>20</v>
      </c>
      <c r="I32" s="27">
        <f t="shared" si="67"/>
        <v>15</v>
      </c>
      <c r="J32" s="27">
        <f t="shared" si="67"/>
        <v>42</v>
      </c>
      <c r="K32" s="27">
        <f t="shared" si="67"/>
        <v>0</v>
      </c>
      <c r="L32" s="27">
        <f t="shared" si="67"/>
        <v>42</v>
      </c>
      <c r="M32" s="27">
        <f t="shared" si="67"/>
        <v>72</v>
      </c>
      <c r="N32" s="99"/>
      <c r="O32" s="27">
        <f t="shared" ref="O32:R32" si="68">sum(O31)</f>
        <v>87</v>
      </c>
      <c r="P32" s="27">
        <f t="shared" si="68"/>
        <v>0</v>
      </c>
      <c r="Q32" s="27">
        <f t="shared" si="68"/>
        <v>87</v>
      </c>
      <c r="R32" s="104">
        <f t="shared" si="68"/>
        <v>113</v>
      </c>
      <c r="V32" s="136"/>
    </row>
    <row r="33">
      <c r="A33" s="95" t="s">
        <v>23</v>
      </c>
      <c r="B33" s="17">
        <v>34.0</v>
      </c>
      <c r="C33" s="31">
        <v>0.0</v>
      </c>
      <c r="D33" s="96">
        <f>SUM(B33:C33)</f>
        <v>34</v>
      </c>
      <c r="E33" s="97">
        <v>20.0</v>
      </c>
      <c r="F33" s="98">
        <v>89.0</v>
      </c>
      <c r="G33" s="31">
        <v>0.0</v>
      </c>
      <c r="H33" s="96">
        <f>SUM(F33:G33)</f>
        <v>89</v>
      </c>
      <c r="I33" s="97">
        <v>12.0</v>
      </c>
      <c r="J33" s="98">
        <v>110.0</v>
      </c>
      <c r="K33" s="98">
        <v>0.0</v>
      </c>
      <c r="L33" s="96">
        <f>K33+J33</f>
        <v>110</v>
      </c>
      <c r="M33" s="97">
        <v>79.0</v>
      </c>
      <c r="N33" s="99"/>
      <c r="O33" s="31">
        <f t="shared" ref="O33:P33" si="69">J33+F33+B33</f>
        <v>233</v>
      </c>
      <c r="P33" s="31">
        <f t="shared" si="69"/>
        <v>0</v>
      </c>
      <c r="Q33" s="96">
        <f>P33+O33</f>
        <v>233</v>
      </c>
      <c r="R33" s="100">
        <f>M33+I33+E33</f>
        <v>111</v>
      </c>
      <c r="S33" s="157"/>
      <c r="U33" s="12" t="s">
        <v>78</v>
      </c>
      <c r="V33" s="149" t="s">
        <v>77</v>
      </c>
      <c r="W33" s="12" t="s">
        <v>76</v>
      </c>
    </row>
    <row r="34">
      <c r="A34" s="103" t="s">
        <v>26</v>
      </c>
      <c r="B34" s="27">
        <f t="shared" ref="B34:M34" si="70">sum(B33)</f>
        <v>34</v>
      </c>
      <c r="C34" s="27">
        <f t="shared" si="70"/>
        <v>0</v>
      </c>
      <c r="D34" s="27">
        <f t="shared" si="70"/>
        <v>34</v>
      </c>
      <c r="E34" s="27">
        <f t="shared" si="70"/>
        <v>20</v>
      </c>
      <c r="F34" s="27">
        <f t="shared" si="70"/>
        <v>89</v>
      </c>
      <c r="G34" s="27">
        <f t="shared" si="70"/>
        <v>0</v>
      </c>
      <c r="H34" s="27">
        <f t="shared" si="70"/>
        <v>89</v>
      </c>
      <c r="I34" s="27">
        <f t="shared" si="70"/>
        <v>12</v>
      </c>
      <c r="J34" s="27">
        <f t="shared" si="70"/>
        <v>110</v>
      </c>
      <c r="K34" s="27">
        <f t="shared" si="70"/>
        <v>0</v>
      </c>
      <c r="L34" s="27">
        <f t="shared" si="70"/>
        <v>110</v>
      </c>
      <c r="M34" s="27">
        <f t="shared" si="70"/>
        <v>79</v>
      </c>
      <c r="N34" s="99"/>
      <c r="O34" s="27">
        <f t="shared" ref="O34:R34" si="71">sum(O33)</f>
        <v>233</v>
      </c>
      <c r="P34" s="27">
        <f t="shared" si="71"/>
        <v>0</v>
      </c>
      <c r="Q34" s="27">
        <f t="shared" si="71"/>
        <v>233</v>
      </c>
      <c r="R34" s="104">
        <f t="shared" si="71"/>
        <v>111</v>
      </c>
      <c r="U34" s="157"/>
      <c r="V34" s="149"/>
    </row>
    <row r="35">
      <c r="A35" s="103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99"/>
      <c r="O35" s="32"/>
      <c r="P35" s="32"/>
      <c r="Q35" s="32"/>
      <c r="R35" s="107"/>
    </row>
    <row r="36">
      <c r="A36" s="13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107"/>
    </row>
    <row r="37">
      <c r="A37" s="108" t="s">
        <v>8</v>
      </c>
      <c r="B37" s="35">
        <f t="shared" ref="B37:M37" si="72">B34+B32+B30</f>
        <v>187</v>
      </c>
      <c r="C37" s="35">
        <f t="shared" si="72"/>
        <v>0</v>
      </c>
      <c r="D37" s="35">
        <f t="shared" si="72"/>
        <v>187</v>
      </c>
      <c r="E37" s="35">
        <f t="shared" si="72"/>
        <v>180</v>
      </c>
      <c r="F37" s="35">
        <f t="shared" si="72"/>
        <v>160</v>
      </c>
      <c r="G37" s="35">
        <f t="shared" si="72"/>
        <v>0</v>
      </c>
      <c r="H37" s="35">
        <f t="shared" si="72"/>
        <v>164</v>
      </c>
      <c r="I37" s="35">
        <f t="shared" si="72"/>
        <v>105</v>
      </c>
      <c r="J37" s="35">
        <f t="shared" si="72"/>
        <v>382</v>
      </c>
      <c r="K37" s="35">
        <f t="shared" si="72"/>
        <v>0</v>
      </c>
      <c r="L37" s="35">
        <f t="shared" si="72"/>
        <v>152</v>
      </c>
      <c r="M37" s="35">
        <f t="shared" si="72"/>
        <v>466</v>
      </c>
      <c r="N37" s="109"/>
      <c r="O37" s="35">
        <f t="shared" ref="O37:R37" si="73">O34+O32+O30</f>
        <v>729</v>
      </c>
      <c r="P37" s="35">
        <f t="shared" si="73"/>
        <v>0</v>
      </c>
      <c r="Q37" s="35">
        <f t="shared" si="73"/>
        <v>729</v>
      </c>
      <c r="R37" s="37">
        <f t="shared" si="73"/>
        <v>751</v>
      </c>
    </row>
    <row r="39">
      <c r="O39" s="110"/>
      <c r="P39" s="111"/>
    </row>
    <row r="41">
      <c r="A41" s="189" t="s">
        <v>58</v>
      </c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2"/>
      <c r="N41" s="111" t="s">
        <v>30</v>
      </c>
    </row>
    <row r="42">
      <c r="A42" s="133"/>
      <c r="B42" s="190"/>
      <c r="D42" s="190"/>
      <c r="E42" s="178" t="str">
        <f>'2026 - Q1'!F27</f>
        <v>FEB</v>
      </c>
      <c r="H42" s="178"/>
      <c r="I42" s="178" t="str">
        <f>'2026 - Q1'!J27</f>
        <v>MAR</v>
      </c>
      <c r="L42" s="178" t="s">
        <v>8</v>
      </c>
      <c r="M42" s="191"/>
      <c r="N42" s="136"/>
    </row>
    <row r="43">
      <c r="A43" s="139"/>
      <c r="B43" s="179" t="s">
        <v>34</v>
      </c>
      <c r="C43" s="179" t="s">
        <v>38</v>
      </c>
      <c r="D43" s="179"/>
      <c r="E43" s="179" t="s">
        <v>34</v>
      </c>
      <c r="F43" s="179" t="s">
        <v>38</v>
      </c>
      <c r="G43" s="179"/>
      <c r="H43" s="179"/>
      <c r="I43" s="179" t="s">
        <v>34</v>
      </c>
      <c r="J43" s="179" t="s">
        <v>38</v>
      </c>
      <c r="K43" s="179"/>
      <c r="L43" s="179" t="s">
        <v>34</v>
      </c>
      <c r="M43" s="181" t="s">
        <v>38</v>
      </c>
      <c r="N43" s="136"/>
    </row>
    <row r="44">
      <c r="A44" s="144" t="s">
        <v>14</v>
      </c>
      <c r="B44" s="17">
        <v>53.0</v>
      </c>
      <c r="C44" s="97">
        <v>66.0</v>
      </c>
      <c r="D44" s="116">
        <f t="shared" ref="D44:D57" si="75">B44/C44</f>
        <v>0.803030303</v>
      </c>
      <c r="E44" s="17">
        <v>67.0</v>
      </c>
      <c r="F44" s="97">
        <v>61.0</v>
      </c>
      <c r="G44" s="116">
        <f t="shared" ref="G44:G57" si="76">E44/F44</f>
        <v>1.098360656</v>
      </c>
      <c r="H44" s="17"/>
      <c r="I44" s="17">
        <v>58.0</v>
      </c>
      <c r="J44" s="97">
        <v>64.0</v>
      </c>
      <c r="K44" s="116">
        <f t="shared" ref="K44:K57" si="77">I44/J44</f>
        <v>0.90625</v>
      </c>
      <c r="L44" s="31">
        <f t="shared" ref="L44:M44" si="74">I44+E44+B44</f>
        <v>178</v>
      </c>
      <c r="M44" s="100">
        <f t="shared" si="74"/>
        <v>191</v>
      </c>
      <c r="N44" s="149" t="s">
        <v>75</v>
      </c>
      <c r="O44" s="148">
        <v>46112.0</v>
      </c>
    </row>
    <row r="45">
      <c r="A45" s="144" t="s">
        <v>15</v>
      </c>
      <c r="B45" s="17">
        <v>40.0</v>
      </c>
      <c r="C45" s="97">
        <v>57.0</v>
      </c>
      <c r="D45" s="116">
        <f t="shared" si="75"/>
        <v>0.701754386</v>
      </c>
      <c r="E45" s="17">
        <v>39.0</v>
      </c>
      <c r="F45" s="97">
        <v>53.0</v>
      </c>
      <c r="G45" s="116">
        <f t="shared" si="76"/>
        <v>0.7358490566</v>
      </c>
      <c r="H45" s="17"/>
      <c r="I45" s="17">
        <v>47.0</v>
      </c>
      <c r="J45" s="97">
        <v>56.0</v>
      </c>
      <c r="K45" s="116">
        <f t="shared" si="77"/>
        <v>0.8392857143</v>
      </c>
      <c r="L45" s="31">
        <f t="shared" ref="L45:M45" si="78">I45+E45+B45</f>
        <v>126</v>
      </c>
      <c r="M45" s="100">
        <f t="shared" si="78"/>
        <v>166</v>
      </c>
      <c r="N45" s="149" t="s">
        <v>75</v>
      </c>
      <c r="O45" s="148">
        <v>46112.0</v>
      </c>
    </row>
    <row r="46">
      <c r="A46" s="144" t="s">
        <v>16</v>
      </c>
      <c r="B46" s="17">
        <v>48.0</v>
      </c>
      <c r="C46" s="97">
        <v>53.0</v>
      </c>
      <c r="D46" s="116">
        <f t="shared" si="75"/>
        <v>0.9056603774</v>
      </c>
      <c r="E46" s="17">
        <v>56.0</v>
      </c>
      <c r="F46" s="97">
        <v>50.0</v>
      </c>
      <c r="G46" s="116">
        <f t="shared" si="76"/>
        <v>1.12</v>
      </c>
      <c r="H46" s="17"/>
      <c r="I46" s="17">
        <v>54.0</v>
      </c>
      <c r="J46" s="97">
        <v>51.0</v>
      </c>
      <c r="K46" s="116">
        <f t="shared" si="77"/>
        <v>1.058823529</v>
      </c>
      <c r="L46" s="31">
        <f t="shared" ref="L46:M46" si="79">I46+E46+B46</f>
        <v>158</v>
      </c>
      <c r="M46" s="100">
        <f t="shared" si="79"/>
        <v>154</v>
      </c>
      <c r="N46" s="149" t="s">
        <v>75</v>
      </c>
      <c r="O46" s="148">
        <v>46112.0</v>
      </c>
    </row>
    <row r="47">
      <c r="A47" s="144" t="s">
        <v>46</v>
      </c>
      <c r="B47" s="25">
        <v>55.0</v>
      </c>
      <c r="C47" s="97">
        <v>63.0</v>
      </c>
      <c r="D47" s="116">
        <f t="shared" si="75"/>
        <v>0.873015873</v>
      </c>
      <c r="E47" s="17">
        <v>46.0</v>
      </c>
      <c r="F47" s="97">
        <v>59.0</v>
      </c>
      <c r="G47" s="116">
        <f t="shared" si="76"/>
        <v>0.7796610169</v>
      </c>
      <c r="H47" s="17"/>
      <c r="I47" s="17">
        <v>61.0</v>
      </c>
      <c r="J47" s="97">
        <v>61.0</v>
      </c>
      <c r="K47" s="116">
        <f t="shared" si="77"/>
        <v>1</v>
      </c>
      <c r="L47" s="31">
        <f t="shared" ref="L47:M47" si="80">I47+E47+B47</f>
        <v>162</v>
      </c>
      <c r="M47" s="100">
        <f t="shared" si="80"/>
        <v>183</v>
      </c>
      <c r="N47" s="149" t="s">
        <v>75</v>
      </c>
      <c r="O47" s="148">
        <v>46112.0</v>
      </c>
    </row>
    <row r="48">
      <c r="A48" s="153" t="s">
        <v>17</v>
      </c>
      <c r="B48" s="27">
        <f t="shared" ref="B48:C48" si="81">sum(B44:B47)</f>
        <v>196</v>
      </c>
      <c r="C48" s="27">
        <f t="shared" si="81"/>
        <v>239</v>
      </c>
      <c r="D48" s="116">
        <f t="shared" si="75"/>
        <v>0.820083682</v>
      </c>
      <c r="E48" s="27">
        <f t="shared" ref="E48:F48" si="82">sum(E44:E47)</f>
        <v>208</v>
      </c>
      <c r="F48" s="27">
        <f t="shared" si="82"/>
        <v>223</v>
      </c>
      <c r="G48" s="116">
        <f t="shared" si="76"/>
        <v>0.932735426</v>
      </c>
      <c r="H48" s="192"/>
      <c r="I48" s="27">
        <f t="shared" ref="I48:J48" si="83">sum(I44:I47)</f>
        <v>220</v>
      </c>
      <c r="J48" s="27">
        <f t="shared" si="83"/>
        <v>232</v>
      </c>
      <c r="K48" s="116">
        <f t="shared" si="77"/>
        <v>0.9482758621</v>
      </c>
      <c r="L48" s="27">
        <f t="shared" ref="L48:M48" si="84">sum(L44:L47)</f>
        <v>624</v>
      </c>
      <c r="M48" s="104">
        <f t="shared" si="84"/>
        <v>694</v>
      </c>
      <c r="N48" s="176">
        <f>L48/M48</f>
        <v>0.8991354467</v>
      </c>
      <c r="P48" s="20">
        <f>L48-M48</f>
        <v>-70</v>
      </c>
    </row>
    <row r="49">
      <c r="A49" s="144" t="s">
        <v>20</v>
      </c>
      <c r="B49" s="31">
        <v>49.0</v>
      </c>
      <c r="C49" s="97">
        <v>53.0</v>
      </c>
      <c r="D49" s="116">
        <f t="shared" si="75"/>
        <v>0.9245283019</v>
      </c>
      <c r="E49" s="17">
        <v>35.0</v>
      </c>
      <c r="F49" s="97">
        <v>50.0</v>
      </c>
      <c r="G49" s="116">
        <f t="shared" si="76"/>
        <v>0.7</v>
      </c>
      <c r="H49" s="17"/>
      <c r="I49" s="17">
        <v>49.0</v>
      </c>
      <c r="J49" s="97">
        <v>51.0</v>
      </c>
      <c r="K49" s="116">
        <f t="shared" si="77"/>
        <v>0.9607843137</v>
      </c>
      <c r="L49" s="31">
        <f t="shared" ref="L49:M49" si="85">I49+E49+B49</f>
        <v>133</v>
      </c>
      <c r="M49" s="100">
        <f t="shared" si="85"/>
        <v>154</v>
      </c>
      <c r="N49" s="149" t="s">
        <v>48</v>
      </c>
      <c r="O49" s="157">
        <v>46112.0</v>
      </c>
    </row>
    <row r="50">
      <c r="A50" s="144" t="s">
        <v>19</v>
      </c>
      <c r="B50" s="31">
        <v>33.0</v>
      </c>
      <c r="C50" s="97">
        <v>47.0</v>
      </c>
      <c r="D50" s="116">
        <f t="shared" si="75"/>
        <v>0.7021276596</v>
      </c>
      <c r="E50" s="17">
        <v>36.0</v>
      </c>
      <c r="F50" s="97">
        <v>44.0</v>
      </c>
      <c r="G50" s="116">
        <f t="shared" si="76"/>
        <v>0.8181818182</v>
      </c>
      <c r="H50" s="17"/>
      <c r="I50" s="17">
        <v>35.0</v>
      </c>
      <c r="J50" s="97">
        <v>45.0</v>
      </c>
      <c r="K50" s="116">
        <f t="shared" si="77"/>
        <v>0.7777777778</v>
      </c>
      <c r="L50" s="31">
        <f t="shared" ref="L50:M50" si="86">I50+E50+B50</f>
        <v>104</v>
      </c>
      <c r="M50" s="100">
        <f t="shared" si="86"/>
        <v>136</v>
      </c>
      <c r="N50" s="149" t="s">
        <v>48</v>
      </c>
      <c r="O50" s="157">
        <v>46112.0</v>
      </c>
    </row>
    <row r="51">
      <c r="A51" s="144" t="s">
        <v>18</v>
      </c>
      <c r="B51" s="31">
        <v>60.0</v>
      </c>
      <c r="C51" s="97">
        <v>49.0</v>
      </c>
      <c r="D51" s="116">
        <f t="shared" si="75"/>
        <v>1.224489796</v>
      </c>
      <c r="E51" s="17">
        <v>35.0</v>
      </c>
      <c r="F51" s="97">
        <v>46.0</v>
      </c>
      <c r="G51" s="116">
        <f t="shared" si="76"/>
        <v>0.7608695652</v>
      </c>
      <c r="H51" s="17"/>
      <c r="I51" s="17">
        <v>56.0</v>
      </c>
      <c r="J51" s="97">
        <v>48.0</v>
      </c>
      <c r="K51" s="116">
        <f t="shared" si="77"/>
        <v>1.166666667</v>
      </c>
      <c r="L51" s="31">
        <f t="shared" ref="L51:M51" si="87">I51+E51+B51</f>
        <v>151</v>
      </c>
      <c r="M51" s="100">
        <f t="shared" si="87"/>
        <v>143</v>
      </c>
      <c r="N51" s="149" t="s">
        <v>48</v>
      </c>
      <c r="O51" s="157">
        <v>46112.0</v>
      </c>
    </row>
    <row r="52">
      <c r="A52" s="144" t="s">
        <v>21</v>
      </c>
      <c r="B52" s="31">
        <v>64.0</v>
      </c>
      <c r="C52" s="97">
        <v>95.0</v>
      </c>
      <c r="D52" s="116">
        <f t="shared" si="75"/>
        <v>0.6736842105</v>
      </c>
      <c r="E52" s="17">
        <v>71.0</v>
      </c>
      <c r="F52" s="97">
        <v>89.0</v>
      </c>
      <c r="G52" s="116">
        <f t="shared" si="76"/>
        <v>0.797752809</v>
      </c>
      <c r="H52" s="17"/>
      <c r="I52" s="17">
        <v>100.0</v>
      </c>
      <c r="J52" s="97">
        <v>92.0</v>
      </c>
      <c r="K52" s="116">
        <f t="shared" si="77"/>
        <v>1.086956522</v>
      </c>
      <c r="L52" s="31">
        <f t="shared" ref="L52:M52" si="88">I52+E52+B52</f>
        <v>235</v>
      </c>
      <c r="M52" s="100">
        <f t="shared" si="88"/>
        <v>276</v>
      </c>
      <c r="N52" s="149" t="s">
        <v>48</v>
      </c>
      <c r="O52" s="157">
        <v>46112.0</v>
      </c>
    </row>
    <row r="53">
      <c r="A53" s="153" t="s">
        <v>22</v>
      </c>
      <c r="B53" s="27">
        <f t="shared" ref="B53:C53" si="89">sum(B49:B52)</f>
        <v>206</v>
      </c>
      <c r="C53" s="27">
        <f t="shared" si="89"/>
        <v>244</v>
      </c>
      <c r="D53" s="116">
        <f t="shared" si="75"/>
        <v>0.8442622951</v>
      </c>
      <c r="E53" s="27">
        <f t="shared" ref="E53:F53" si="90">sum(E49:E52)</f>
        <v>177</v>
      </c>
      <c r="F53" s="27">
        <f t="shared" si="90"/>
        <v>229</v>
      </c>
      <c r="G53" s="116">
        <f t="shared" si="76"/>
        <v>0.7729257642</v>
      </c>
      <c r="H53" s="192"/>
      <c r="I53" s="27">
        <f t="shared" ref="I53:J53" si="91">sum(I49:I52)</f>
        <v>240</v>
      </c>
      <c r="J53" s="27">
        <f t="shared" si="91"/>
        <v>236</v>
      </c>
      <c r="K53" s="116">
        <f t="shared" si="77"/>
        <v>1.016949153</v>
      </c>
      <c r="L53" s="27">
        <f t="shared" ref="L53:M53" si="92">sum(L49:L52)</f>
        <v>623</v>
      </c>
      <c r="M53" s="104">
        <f t="shared" si="92"/>
        <v>709</v>
      </c>
      <c r="N53" s="176">
        <f>L53/M53</f>
        <v>0.8787023977</v>
      </c>
      <c r="P53" s="20">
        <f>L53-M53</f>
        <v>-86</v>
      </c>
    </row>
    <row r="54">
      <c r="A54" s="144" t="s">
        <v>23</v>
      </c>
      <c r="B54" s="31">
        <v>27.0</v>
      </c>
      <c r="C54" s="97">
        <v>38.0</v>
      </c>
      <c r="D54" s="116">
        <f t="shared" si="75"/>
        <v>0.7105263158</v>
      </c>
      <c r="E54" s="17">
        <v>31.0</v>
      </c>
      <c r="F54" s="97">
        <v>35.0</v>
      </c>
      <c r="G54" s="116">
        <f t="shared" si="76"/>
        <v>0.8857142857</v>
      </c>
      <c r="H54" s="17"/>
      <c r="I54" s="17">
        <v>30.0</v>
      </c>
      <c r="J54" s="97">
        <v>36.0</v>
      </c>
      <c r="K54" s="116">
        <f t="shared" si="77"/>
        <v>0.8333333333</v>
      </c>
      <c r="L54" s="31">
        <f t="shared" ref="L54:M54" si="93">I54+E54+B54</f>
        <v>88</v>
      </c>
      <c r="M54" s="100">
        <f t="shared" si="93"/>
        <v>109</v>
      </c>
      <c r="N54" s="149" t="s">
        <v>77</v>
      </c>
      <c r="O54" s="157">
        <v>46112.0</v>
      </c>
    </row>
    <row r="55">
      <c r="A55" s="144" t="s">
        <v>24</v>
      </c>
      <c r="B55" s="31">
        <v>38.0</v>
      </c>
      <c r="C55" s="97">
        <v>50.0</v>
      </c>
      <c r="D55" s="116">
        <f t="shared" si="75"/>
        <v>0.76</v>
      </c>
      <c r="E55" s="17">
        <v>43.0</v>
      </c>
      <c r="F55" s="97">
        <v>46.0</v>
      </c>
      <c r="G55" s="116">
        <f t="shared" si="76"/>
        <v>0.9347826087</v>
      </c>
      <c r="H55" s="17"/>
      <c r="I55" s="17">
        <v>41.0</v>
      </c>
      <c r="J55" s="97">
        <v>48.0</v>
      </c>
      <c r="K55" s="116">
        <f t="shared" si="77"/>
        <v>0.8541666667</v>
      </c>
      <c r="L55" s="31">
        <f t="shared" ref="L55:M55" si="94">I55+E55+B55</f>
        <v>122</v>
      </c>
      <c r="M55" s="100">
        <f t="shared" si="94"/>
        <v>144</v>
      </c>
      <c r="N55" s="149" t="s">
        <v>77</v>
      </c>
      <c r="O55" s="157">
        <v>46112.0</v>
      </c>
    </row>
    <row r="56">
      <c r="A56" s="144" t="s">
        <v>25</v>
      </c>
      <c r="B56" s="31">
        <v>27.0</v>
      </c>
      <c r="C56" s="97">
        <v>23.0</v>
      </c>
      <c r="D56" s="116">
        <f t="shared" si="75"/>
        <v>1.173913043</v>
      </c>
      <c r="E56" s="17">
        <v>25.0</v>
      </c>
      <c r="F56" s="97">
        <v>21.0</v>
      </c>
      <c r="G56" s="116">
        <f t="shared" si="76"/>
        <v>1.19047619</v>
      </c>
      <c r="H56" s="17"/>
      <c r="I56" s="17">
        <v>28.0</v>
      </c>
      <c r="J56" s="97">
        <v>22.0</v>
      </c>
      <c r="K56" s="116">
        <f t="shared" si="77"/>
        <v>1.272727273</v>
      </c>
      <c r="L56" s="31">
        <f t="shared" ref="L56:M56" si="95">I56+E56+B56</f>
        <v>80</v>
      </c>
      <c r="M56" s="100">
        <f t="shared" si="95"/>
        <v>66</v>
      </c>
      <c r="N56" s="149" t="s">
        <v>77</v>
      </c>
      <c r="O56" s="157">
        <v>46112.0</v>
      </c>
    </row>
    <row r="57">
      <c r="A57" s="153" t="s">
        <v>26</v>
      </c>
      <c r="B57" s="27">
        <f t="shared" ref="B57:C57" si="96">sum(B54:B56)</f>
        <v>92</v>
      </c>
      <c r="C57" s="27">
        <f t="shared" si="96"/>
        <v>111</v>
      </c>
      <c r="D57" s="116">
        <f t="shared" si="75"/>
        <v>0.8288288288</v>
      </c>
      <c r="E57" s="27">
        <f t="shared" ref="E57:F57" si="97">sum(E54:E56)</f>
        <v>99</v>
      </c>
      <c r="F57" s="27">
        <f t="shared" si="97"/>
        <v>102</v>
      </c>
      <c r="G57" s="116">
        <f t="shared" si="76"/>
        <v>0.9705882353</v>
      </c>
      <c r="H57" s="192"/>
      <c r="I57" s="27">
        <f t="shared" ref="I57:J57" si="98">sum(I54:I56)</f>
        <v>99</v>
      </c>
      <c r="J57" s="27">
        <f t="shared" si="98"/>
        <v>106</v>
      </c>
      <c r="K57" s="116">
        <f t="shared" si="77"/>
        <v>0.9339622642</v>
      </c>
      <c r="L57" s="27">
        <f t="shared" ref="L57:M57" si="99">sum(L54:L56)</f>
        <v>290</v>
      </c>
      <c r="M57" s="104">
        <f t="shared" si="99"/>
        <v>319</v>
      </c>
      <c r="N57" s="176">
        <f>L57/M57</f>
        <v>0.9090909091</v>
      </c>
      <c r="P57" s="20">
        <f>L57-M57</f>
        <v>-29</v>
      </c>
    </row>
    <row r="58">
      <c r="A58" s="153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107"/>
      <c r="N58" s="136"/>
    </row>
    <row r="59">
      <c r="A59" s="161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107"/>
    </row>
    <row r="60">
      <c r="A60" s="162" t="s">
        <v>8</v>
      </c>
      <c r="B60" s="163">
        <f t="shared" ref="B60:C60" si="100">B57+B53+B48</f>
        <v>494</v>
      </c>
      <c r="C60" s="163">
        <f t="shared" si="100"/>
        <v>594</v>
      </c>
      <c r="D60" s="164">
        <f>B60/C60</f>
        <v>0.8316498316</v>
      </c>
      <c r="E60" s="163">
        <f t="shared" ref="E60:F60" si="101">E57+E53+E48</f>
        <v>484</v>
      </c>
      <c r="F60" s="163">
        <f t="shared" si="101"/>
        <v>554</v>
      </c>
      <c r="G60" s="164">
        <f>E60/F60</f>
        <v>0.8736462094</v>
      </c>
      <c r="H60" s="193"/>
      <c r="I60" s="163">
        <f t="shared" ref="I60:J60" si="102">I57+I53+I48</f>
        <v>559</v>
      </c>
      <c r="J60" s="163">
        <f t="shared" si="102"/>
        <v>574</v>
      </c>
      <c r="K60" s="164">
        <f>I60/J60</f>
        <v>0.9738675958</v>
      </c>
      <c r="L60" s="163">
        <f t="shared" ref="L60:M60" si="103">L57+L53+L48</f>
        <v>1537</v>
      </c>
      <c r="M60" s="165">
        <f t="shared" si="103"/>
        <v>1722</v>
      </c>
      <c r="N60" s="176">
        <f>L60/M60</f>
        <v>0.8925667828</v>
      </c>
      <c r="P60" s="21">
        <f>M60-L60</f>
        <v>185</v>
      </c>
      <c r="Q60" s="20">
        <f>P60/1.2</f>
        <v>154.1666667</v>
      </c>
    </row>
  </sheetData>
  <mergeCells count="14">
    <mergeCell ref="F27:I27"/>
    <mergeCell ref="J27:M27"/>
    <mergeCell ref="A41:M41"/>
    <mergeCell ref="B42:C42"/>
    <mergeCell ref="E42:G42"/>
    <mergeCell ref="I42:K42"/>
    <mergeCell ref="A3:V3"/>
    <mergeCell ref="B4:E4"/>
    <mergeCell ref="G4:K4"/>
    <mergeCell ref="L4:P4"/>
    <mergeCell ref="S4:V4"/>
    <mergeCell ref="A26:R26"/>
    <mergeCell ref="B27:E27"/>
    <mergeCell ref="O27:R27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13"/>
    <col customWidth="1" min="3" max="3" width="9.0"/>
    <col customWidth="1" min="4" max="4" width="8.88"/>
    <col customWidth="1" min="5" max="5" width="7.13"/>
    <col customWidth="1" min="6" max="8" width="8.13"/>
    <col customWidth="1" min="9" max="10" width="11.38"/>
    <col customWidth="1" min="11" max="11" width="11.0"/>
    <col customWidth="1" min="12" max="13" width="8.5"/>
    <col customWidth="1" min="14" max="14" width="9.38"/>
    <col customWidth="1" min="15" max="17" width="9.75"/>
    <col customWidth="1" min="18" max="18" width="9.25"/>
    <col customWidth="1" min="19" max="19" width="9.88"/>
    <col customWidth="1" min="20" max="20" width="9.38"/>
    <col customWidth="1" min="21" max="21" width="7.13"/>
    <col customWidth="1" min="22" max="22" width="10.13"/>
    <col customWidth="1" min="23" max="23" width="9.0"/>
    <col customWidth="1" min="24" max="24" width="11.38"/>
    <col customWidth="1" min="25" max="25" width="5.88"/>
    <col customWidth="1" min="26" max="26" width="7.13"/>
    <col customWidth="1" min="27" max="27" width="9.88"/>
    <col customWidth="1" hidden="1" min="28" max="28" width="9.88"/>
    <col customWidth="1" hidden="1" min="29" max="29" width="7.75"/>
    <col customWidth="1" min="34" max="36" width="8.75"/>
    <col customWidth="1" min="37" max="37" width="10.5"/>
    <col customWidth="1" min="38" max="52" width="8.75"/>
  </cols>
  <sheetData>
    <row r="1">
      <c r="A1" s="124" t="s">
        <v>63</v>
      </c>
      <c r="AE1" s="40"/>
    </row>
    <row r="3">
      <c r="A3" s="177" t="s">
        <v>28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  <c r="Z3" s="128"/>
      <c r="AA3" s="129"/>
      <c r="AB3" s="129"/>
      <c r="AC3" s="130"/>
      <c r="AD3" s="131"/>
      <c r="AE3" s="110" t="s">
        <v>29</v>
      </c>
      <c r="AF3" s="111" t="s">
        <v>30</v>
      </c>
    </row>
    <row r="4">
      <c r="A4" s="133"/>
      <c r="B4" s="190"/>
      <c r="C4" s="89" t="s">
        <v>79</v>
      </c>
      <c r="D4" s="90"/>
      <c r="E4" s="90"/>
      <c r="F4" s="90"/>
      <c r="G4" s="91"/>
      <c r="H4" s="91" t="s">
        <v>80</v>
      </c>
      <c r="I4" s="90"/>
      <c r="J4" s="90"/>
      <c r="K4" s="90"/>
      <c r="L4" s="90"/>
      <c r="M4" s="91"/>
      <c r="N4" s="91" t="s">
        <v>81</v>
      </c>
      <c r="O4" s="90"/>
      <c r="P4" s="90"/>
      <c r="Q4" s="90"/>
      <c r="R4" s="90"/>
      <c r="S4" s="90"/>
      <c r="T4" s="136"/>
      <c r="U4" s="178"/>
      <c r="V4" s="91" t="s">
        <v>8</v>
      </c>
      <c r="W4" s="90"/>
      <c r="X4" s="90"/>
      <c r="Y4" s="92"/>
      <c r="Z4" s="9"/>
      <c r="AA4" s="9"/>
      <c r="AB4" s="9"/>
      <c r="AD4" s="138"/>
      <c r="AF4" s="136"/>
    </row>
    <row r="5">
      <c r="A5" s="139"/>
      <c r="B5" s="179" t="s">
        <v>7</v>
      </c>
      <c r="C5" s="179" t="s">
        <v>34</v>
      </c>
      <c r="D5" s="179" t="s">
        <v>36</v>
      </c>
      <c r="E5" s="179" t="s">
        <v>37</v>
      </c>
      <c r="F5" s="179" t="s">
        <v>38</v>
      </c>
      <c r="G5" s="179"/>
      <c r="H5" s="179" t="s">
        <v>34</v>
      </c>
      <c r="I5" s="180" t="s">
        <v>35</v>
      </c>
      <c r="J5" s="179" t="s">
        <v>36</v>
      </c>
      <c r="K5" s="179" t="s">
        <v>37</v>
      </c>
      <c r="L5" s="179" t="s">
        <v>38</v>
      </c>
      <c r="M5" s="179"/>
      <c r="N5" s="179" t="s">
        <v>34</v>
      </c>
      <c r="O5" s="180" t="s">
        <v>35</v>
      </c>
      <c r="P5" s="179" t="s">
        <v>82</v>
      </c>
      <c r="Q5" s="179" t="s">
        <v>36</v>
      </c>
      <c r="R5" s="179" t="s">
        <v>37</v>
      </c>
      <c r="S5" s="179" t="s">
        <v>38</v>
      </c>
      <c r="T5" s="179"/>
      <c r="U5" s="179" t="s">
        <v>7</v>
      </c>
      <c r="V5" s="179" t="s">
        <v>34</v>
      </c>
      <c r="W5" s="179" t="s">
        <v>36</v>
      </c>
      <c r="X5" s="179" t="s">
        <v>37</v>
      </c>
      <c r="Y5" s="181" t="s">
        <v>38</v>
      </c>
      <c r="Z5" s="182" t="s">
        <v>39</v>
      </c>
      <c r="AA5" s="142" t="s">
        <v>40</v>
      </c>
      <c r="AB5" s="142" t="s">
        <v>41</v>
      </c>
      <c r="AC5" s="8" t="s">
        <v>9</v>
      </c>
      <c r="AD5" s="143" t="s">
        <v>42</v>
      </c>
      <c r="AF5" s="136"/>
    </row>
    <row r="6">
      <c r="A6" s="144" t="s">
        <v>14</v>
      </c>
      <c r="B6" s="194"/>
      <c r="C6" s="17">
        <v>24.0</v>
      </c>
      <c r="D6" s="17"/>
      <c r="E6" s="96">
        <f t="shared" ref="E6:E9" si="1">SUM(C6:D6)</f>
        <v>24</v>
      </c>
      <c r="F6" s="97">
        <v>31.0</v>
      </c>
      <c r="G6" s="116">
        <f t="shared" ref="G6:G19" si="2">E6/F6</f>
        <v>0.7741935484</v>
      </c>
      <c r="H6" s="17">
        <v>26.0</v>
      </c>
      <c r="I6" s="17">
        <v>4.0</v>
      </c>
      <c r="J6" s="17"/>
      <c r="K6" s="96">
        <f t="shared" ref="K6:K9" si="3">SUM(H6:J6)</f>
        <v>30</v>
      </c>
      <c r="L6" s="97">
        <v>29.0</v>
      </c>
      <c r="M6" s="116">
        <f t="shared" ref="M6:M19" si="4">K6/L6</f>
        <v>1.034482759</v>
      </c>
      <c r="N6" s="17">
        <v>21.0</v>
      </c>
      <c r="O6" s="17">
        <v>2.0</v>
      </c>
      <c r="P6" s="17"/>
      <c r="Q6" s="17"/>
      <c r="R6" s="96">
        <f t="shared" ref="R6:R9" si="5">SUM(N6:Q6)</f>
        <v>23</v>
      </c>
      <c r="S6" s="97">
        <v>30.0</v>
      </c>
      <c r="T6" s="116">
        <f t="shared" ref="T6:T19" si="6">R6/S6</f>
        <v>0.7666666667</v>
      </c>
      <c r="U6" s="99"/>
      <c r="V6" s="31">
        <f t="shared" ref="V6:V9" si="7">N6+H6+C6+O6+P6+I6</f>
        <v>77</v>
      </c>
      <c r="W6" s="31">
        <f t="shared" ref="W6:W9" si="8">Q6+J6+D6</f>
        <v>0</v>
      </c>
      <c r="X6" s="96">
        <f t="shared" ref="X6:X9" si="9">sum(U6:W6)</f>
        <v>77</v>
      </c>
      <c r="Y6" s="100">
        <f t="shared" ref="Y6:Y9" si="10">S6+L6+F6</f>
        <v>90</v>
      </c>
      <c r="Z6" s="146">
        <f t="shared" ref="Z6:Z9" si="11">Y6-X6</f>
        <v>13</v>
      </c>
      <c r="AA6" s="16">
        <f t="shared" ref="AA6:AA19" si="12">round(Z6/$AA$26*7,0)</f>
        <v>0</v>
      </c>
      <c r="AB6" s="16">
        <f t="shared" ref="AB6:AB9" si="13">W6+V6</f>
        <v>77</v>
      </c>
      <c r="AC6" s="31">
        <f t="shared" ref="AC6:AC9" si="14">Y6</f>
        <v>90</v>
      </c>
      <c r="AD6" s="147">
        <f t="shared" ref="AD6:AD9" si="15">(V6+W6)/Y6</f>
        <v>0.8555555556</v>
      </c>
      <c r="AE6" s="148">
        <v>46024.0</v>
      </c>
      <c r="AF6" s="149" t="s">
        <v>75</v>
      </c>
      <c r="AT6" s="136"/>
      <c r="AU6" s="136"/>
      <c r="AV6" s="136"/>
      <c r="AW6" s="136"/>
      <c r="AX6" s="136"/>
      <c r="AY6" s="136"/>
      <c r="AZ6" s="136"/>
      <c r="BA6" s="136"/>
      <c r="BB6" s="136"/>
    </row>
    <row r="7">
      <c r="A7" s="144" t="s">
        <v>15</v>
      </c>
      <c r="B7" s="194"/>
      <c r="C7" s="17">
        <v>26.0</v>
      </c>
      <c r="D7" s="17"/>
      <c r="E7" s="96">
        <f t="shared" si="1"/>
        <v>26</v>
      </c>
      <c r="F7" s="97">
        <v>26.0</v>
      </c>
      <c r="G7" s="116">
        <f t="shared" si="2"/>
        <v>1</v>
      </c>
      <c r="H7" s="17">
        <v>20.0</v>
      </c>
      <c r="I7" s="17">
        <v>3.0</v>
      </c>
      <c r="J7" s="17"/>
      <c r="K7" s="96">
        <f t="shared" si="3"/>
        <v>23</v>
      </c>
      <c r="L7" s="97">
        <v>26.0</v>
      </c>
      <c r="M7" s="116">
        <f t="shared" si="4"/>
        <v>0.8846153846</v>
      </c>
      <c r="N7" s="17">
        <v>13.0</v>
      </c>
      <c r="O7" s="17">
        <v>1.0</v>
      </c>
      <c r="P7" s="17"/>
      <c r="Q7" s="17"/>
      <c r="R7" s="96">
        <f t="shared" si="5"/>
        <v>14</v>
      </c>
      <c r="S7" s="97">
        <v>25.0</v>
      </c>
      <c r="T7" s="116">
        <f t="shared" si="6"/>
        <v>0.56</v>
      </c>
      <c r="U7" s="99"/>
      <c r="V7" s="31">
        <f t="shared" si="7"/>
        <v>63</v>
      </c>
      <c r="W7" s="31">
        <f t="shared" si="8"/>
        <v>0</v>
      </c>
      <c r="X7" s="96">
        <f t="shared" si="9"/>
        <v>63</v>
      </c>
      <c r="Y7" s="100">
        <f t="shared" si="10"/>
        <v>77</v>
      </c>
      <c r="Z7" s="146">
        <f t="shared" si="11"/>
        <v>14</v>
      </c>
      <c r="AA7" s="16">
        <f t="shared" si="12"/>
        <v>-1</v>
      </c>
      <c r="AB7" s="16">
        <f t="shared" si="13"/>
        <v>63</v>
      </c>
      <c r="AC7" s="31">
        <f t="shared" si="14"/>
        <v>77</v>
      </c>
      <c r="AD7" s="147">
        <f t="shared" si="15"/>
        <v>0.8181818182</v>
      </c>
      <c r="AE7" s="148">
        <v>46024.0</v>
      </c>
      <c r="AF7" s="149" t="s">
        <v>75</v>
      </c>
      <c r="AT7" s="136"/>
      <c r="AU7" s="136"/>
      <c r="AV7" s="136"/>
      <c r="AW7" s="136"/>
      <c r="AX7" s="136"/>
      <c r="AY7" s="136"/>
      <c r="AZ7" s="136"/>
      <c r="BA7" s="136"/>
      <c r="BB7" s="136"/>
    </row>
    <row r="8">
      <c r="A8" s="144" t="s">
        <v>16</v>
      </c>
      <c r="B8" s="194"/>
      <c r="C8" s="17">
        <v>24.0</v>
      </c>
      <c r="D8" s="151">
        <v>2.0</v>
      </c>
      <c r="E8" s="96">
        <f t="shared" si="1"/>
        <v>26</v>
      </c>
      <c r="F8" s="97">
        <v>35.0</v>
      </c>
      <c r="G8" s="116">
        <f t="shared" si="2"/>
        <v>0.7428571429</v>
      </c>
      <c r="H8" s="17">
        <v>14.0</v>
      </c>
      <c r="I8" s="17">
        <v>3.0</v>
      </c>
      <c r="J8" s="17"/>
      <c r="K8" s="96">
        <f t="shared" si="3"/>
        <v>17</v>
      </c>
      <c r="L8" s="97">
        <v>31.0</v>
      </c>
      <c r="M8" s="116">
        <f t="shared" si="4"/>
        <v>0.5483870968</v>
      </c>
      <c r="N8" s="17">
        <v>18.0</v>
      </c>
      <c r="O8" s="17">
        <v>1.0</v>
      </c>
      <c r="P8" s="17"/>
      <c r="Q8" s="17"/>
      <c r="R8" s="96">
        <f t="shared" si="5"/>
        <v>19</v>
      </c>
      <c r="S8" s="97">
        <v>30.0</v>
      </c>
      <c r="T8" s="116">
        <f t="shared" si="6"/>
        <v>0.6333333333</v>
      </c>
      <c r="U8" s="99"/>
      <c r="V8" s="31">
        <f t="shared" si="7"/>
        <v>60</v>
      </c>
      <c r="W8" s="31">
        <f t="shared" si="8"/>
        <v>2</v>
      </c>
      <c r="X8" s="96">
        <f t="shared" si="9"/>
        <v>62</v>
      </c>
      <c r="Y8" s="100">
        <f t="shared" si="10"/>
        <v>96</v>
      </c>
      <c r="Z8" s="146">
        <f t="shared" si="11"/>
        <v>34</v>
      </c>
      <c r="AA8" s="16">
        <f t="shared" si="12"/>
        <v>-1</v>
      </c>
      <c r="AB8" s="16">
        <f t="shared" si="13"/>
        <v>62</v>
      </c>
      <c r="AC8" s="31">
        <f t="shared" si="14"/>
        <v>96</v>
      </c>
      <c r="AD8" s="147">
        <f t="shared" si="15"/>
        <v>0.6458333333</v>
      </c>
      <c r="AE8" s="148">
        <v>46024.0</v>
      </c>
      <c r="AF8" s="149" t="s">
        <v>75</v>
      </c>
      <c r="AT8" s="136"/>
      <c r="AU8" s="136"/>
      <c r="AV8" s="136"/>
      <c r="AW8" s="136"/>
      <c r="AX8" s="136"/>
      <c r="AY8" s="136"/>
      <c r="AZ8" s="136"/>
      <c r="BA8" s="136"/>
      <c r="BB8" s="136"/>
    </row>
    <row r="9">
      <c r="A9" s="144" t="s">
        <v>46</v>
      </c>
      <c r="B9" s="194"/>
      <c r="C9" s="25">
        <v>49.0</v>
      </c>
      <c r="D9" s="152">
        <v>6.0</v>
      </c>
      <c r="E9" s="96">
        <f t="shared" si="1"/>
        <v>55</v>
      </c>
      <c r="F9" s="97">
        <v>40.0</v>
      </c>
      <c r="G9" s="116">
        <f t="shared" si="2"/>
        <v>1.375</v>
      </c>
      <c r="H9" s="17">
        <v>37.0</v>
      </c>
      <c r="I9" s="17">
        <v>6.0</v>
      </c>
      <c r="J9" s="17"/>
      <c r="K9" s="96">
        <f t="shared" si="3"/>
        <v>43</v>
      </c>
      <c r="L9" s="97">
        <v>38.0</v>
      </c>
      <c r="M9" s="116">
        <f t="shared" si="4"/>
        <v>1.131578947</v>
      </c>
      <c r="N9" s="17">
        <v>36.0</v>
      </c>
      <c r="O9" s="17">
        <v>3.0</v>
      </c>
      <c r="P9" s="17"/>
      <c r="Q9" s="17"/>
      <c r="R9" s="96">
        <f t="shared" si="5"/>
        <v>39</v>
      </c>
      <c r="S9" s="97">
        <v>39.0</v>
      </c>
      <c r="T9" s="116">
        <f t="shared" si="6"/>
        <v>1</v>
      </c>
      <c r="U9" s="99"/>
      <c r="V9" s="31">
        <f t="shared" si="7"/>
        <v>131</v>
      </c>
      <c r="W9" s="31">
        <f t="shared" si="8"/>
        <v>6</v>
      </c>
      <c r="X9" s="96">
        <f t="shared" si="9"/>
        <v>137</v>
      </c>
      <c r="Y9" s="100">
        <f t="shared" si="10"/>
        <v>117</v>
      </c>
      <c r="Z9" s="146">
        <f t="shared" si="11"/>
        <v>-20</v>
      </c>
      <c r="AA9" s="16">
        <f t="shared" si="12"/>
        <v>1</v>
      </c>
      <c r="AB9" s="16">
        <f t="shared" si="13"/>
        <v>137</v>
      </c>
      <c r="AC9" s="31">
        <f t="shared" si="14"/>
        <v>117</v>
      </c>
      <c r="AD9" s="147">
        <f t="shared" si="15"/>
        <v>1.170940171</v>
      </c>
      <c r="AE9" s="148">
        <v>46024.0</v>
      </c>
      <c r="AF9" s="149" t="s">
        <v>75</v>
      </c>
      <c r="AT9" s="136"/>
      <c r="AU9" s="136"/>
      <c r="AV9" s="136"/>
      <c r="AW9" s="136"/>
      <c r="AX9" s="136"/>
      <c r="AY9" s="136"/>
      <c r="AZ9" s="136"/>
      <c r="BA9" s="136"/>
      <c r="BB9" s="136"/>
    </row>
    <row r="10">
      <c r="A10" s="153" t="s">
        <v>17</v>
      </c>
      <c r="B10" s="27">
        <f t="shared" ref="B10:F10" si="16">sum(B6:B9)</f>
        <v>0</v>
      </c>
      <c r="C10" s="27">
        <f t="shared" si="16"/>
        <v>123</v>
      </c>
      <c r="D10" s="27">
        <f t="shared" si="16"/>
        <v>8</v>
      </c>
      <c r="E10" s="27">
        <f t="shared" si="16"/>
        <v>131</v>
      </c>
      <c r="F10" s="27">
        <f t="shared" si="16"/>
        <v>132</v>
      </c>
      <c r="G10" s="154">
        <f t="shared" si="2"/>
        <v>0.9924242424</v>
      </c>
      <c r="H10" s="27">
        <f t="shared" ref="H10:L10" si="17">sum(H6:H9)</f>
        <v>97</v>
      </c>
      <c r="I10" s="27">
        <f t="shared" si="17"/>
        <v>16</v>
      </c>
      <c r="J10" s="27">
        <f t="shared" si="17"/>
        <v>0</v>
      </c>
      <c r="K10" s="27">
        <f t="shared" si="17"/>
        <v>113</v>
      </c>
      <c r="L10" s="27">
        <f t="shared" si="17"/>
        <v>124</v>
      </c>
      <c r="M10" s="154">
        <f t="shared" si="4"/>
        <v>0.9112903226</v>
      </c>
      <c r="N10" s="27">
        <f t="shared" ref="N10:S10" si="18">sum(N6:N9)</f>
        <v>88</v>
      </c>
      <c r="O10" s="27">
        <f t="shared" si="18"/>
        <v>7</v>
      </c>
      <c r="P10" s="27">
        <f t="shared" si="18"/>
        <v>0</v>
      </c>
      <c r="Q10" s="27">
        <f t="shared" si="18"/>
        <v>0</v>
      </c>
      <c r="R10" s="27">
        <f t="shared" si="18"/>
        <v>95</v>
      </c>
      <c r="S10" s="27">
        <f t="shared" si="18"/>
        <v>124</v>
      </c>
      <c r="T10" s="154">
        <f t="shared" si="6"/>
        <v>0.7661290323</v>
      </c>
      <c r="U10" s="27">
        <f t="shared" ref="U10:Z10" si="19">sum(U6:U9)</f>
        <v>0</v>
      </c>
      <c r="V10" s="27">
        <f t="shared" si="19"/>
        <v>331</v>
      </c>
      <c r="W10" s="27">
        <f t="shared" si="19"/>
        <v>8</v>
      </c>
      <c r="X10" s="27">
        <f t="shared" si="19"/>
        <v>339</v>
      </c>
      <c r="Y10" s="104">
        <f t="shared" si="19"/>
        <v>380</v>
      </c>
      <c r="Z10" s="155">
        <f t="shared" si="19"/>
        <v>41</v>
      </c>
      <c r="AA10" s="155">
        <f t="shared" si="12"/>
        <v>-1</v>
      </c>
      <c r="AB10" s="155">
        <f t="shared" ref="AB10:AC10" si="20">sum(AB6:AB9)</f>
        <v>339</v>
      </c>
      <c r="AC10" s="27">
        <f t="shared" si="20"/>
        <v>380</v>
      </c>
      <c r="AD10" s="156">
        <f>AB10/AC10</f>
        <v>0.8921052632</v>
      </c>
      <c r="AF10" s="149"/>
      <c r="AT10" s="136"/>
      <c r="AU10" s="136"/>
      <c r="AV10" s="136"/>
      <c r="AW10" s="136"/>
      <c r="AX10" s="136"/>
      <c r="AY10" s="136"/>
      <c r="AZ10" s="136"/>
      <c r="BA10" s="136"/>
      <c r="BB10" s="136"/>
    </row>
    <row r="11">
      <c r="A11" s="144" t="s">
        <v>20</v>
      </c>
      <c r="B11" s="194"/>
      <c r="C11" s="31">
        <v>23.0</v>
      </c>
      <c r="D11" s="31"/>
      <c r="E11" s="96">
        <f t="shared" ref="E11:E14" si="21">SUM(C11:D11)</f>
        <v>23</v>
      </c>
      <c r="F11" s="97">
        <v>30.0</v>
      </c>
      <c r="G11" s="116">
        <f t="shared" si="2"/>
        <v>0.7666666667</v>
      </c>
      <c r="H11" s="17">
        <v>18.0</v>
      </c>
      <c r="I11" s="17">
        <v>4.0</v>
      </c>
      <c r="J11" s="17"/>
      <c r="K11" s="96">
        <f t="shared" ref="K11:K14" si="22">SUM(H11:J11)</f>
        <v>22</v>
      </c>
      <c r="L11" s="97">
        <v>24.0</v>
      </c>
      <c r="M11" s="116">
        <f t="shared" si="4"/>
        <v>0.9166666667</v>
      </c>
      <c r="N11" s="17">
        <v>17.0</v>
      </c>
      <c r="O11" s="17">
        <v>1.0</v>
      </c>
      <c r="P11" s="17"/>
      <c r="Q11" s="17"/>
      <c r="R11" s="96">
        <f t="shared" ref="R11:R14" si="23">SUM(N11:Q11)</f>
        <v>18</v>
      </c>
      <c r="S11" s="97">
        <v>22.0</v>
      </c>
      <c r="T11" s="116">
        <f t="shared" si="6"/>
        <v>0.8181818182</v>
      </c>
      <c r="U11" s="99"/>
      <c r="V11" s="31">
        <f t="shared" ref="V11:V14" si="24">N11+H11+C11+O11+P11+I11</f>
        <v>63</v>
      </c>
      <c r="W11" s="31">
        <f t="shared" ref="W11:W14" si="25">Q11+J11+D11</f>
        <v>0</v>
      </c>
      <c r="X11" s="96">
        <f t="shared" ref="X11:X14" si="26">sum(U11:W11)</f>
        <v>63</v>
      </c>
      <c r="Y11" s="100">
        <f t="shared" ref="Y11:Y14" si="27">S11+L11+F11</f>
        <v>76</v>
      </c>
      <c r="Z11" s="146">
        <f t="shared" ref="Z11:Z14" si="28">Y11-X11</f>
        <v>13</v>
      </c>
      <c r="AA11" s="16">
        <f t="shared" si="12"/>
        <v>0</v>
      </c>
      <c r="AB11" s="16">
        <f t="shared" ref="AB11:AB14" si="29">W11+V11</f>
        <v>63</v>
      </c>
      <c r="AC11" s="31">
        <f t="shared" ref="AC11:AC14" si="30">Y11</f>
        <v>76</v>
      </c>
      <c r="AD11" s="147">
        <f t="shared" ref="AD11:AD14" si="31">(V11+W11)/Y11</f>
        <v>0.8289473684</v>
      </c>
      <c r="AE11" s="148">
        <v>46022.0</v>
      </c>
      <c r="AF11" s="149" t="s">
        <v>48</v>
      </c>
      <c r="AT11" s="136"/>
      <c r="AU11" s="136"/>
      <c r="AV11" s="136"/>
      <c r="AW11" s="136"/>
      <c r="AX11" s="136"/>
      <c r="AY11" s="136"/>
      <c r="AZ11" s="136"/>
      <c r="BA11" s="136"/>
      <c r="BB11" s="136"/>
    </row>
    <row r="12">
      <c r="A12" s="144" t="s">
        <v>19</v>
      </c>
      <c r="B12" s="194"/>
      <c r="C12" s="31">
        <v>18.0</v>
      </c>
      <c r="D12" s="31">
        <v>2.0</v>
      </c>
      <c r="E12" s="96">
        <f t="shared" si="21"/>
        <v>20</v>
      </c>
      <c r="F12" s="97">
        <v>29.0</v>
      </c>
      <c r="G12" s="116">
        <f t="shared" si="2"/>
        <v>0.6896551724</v>
      </c>
      <c r="H12" s="17">
        <v>41.0</v>
      </c>
      <c r="I12" s="17">
        <v>4.0</v>
      </c>
      <c r="J12" s="17"/>
      <c r="K12" s="96">
        <f t="shared" si="22"/>
        <v>45</v>
      </c>
      <c r="L12" s="97">
        <v>30.0</v>
      </c>
      <c r="M12" s="116">
        <f t="shared" si="4"/>
        <v>1.5</v>
      </c>
      <c r="N12" s="17">
        <v>16.0</v>
      </c>
      <c r="O12" s="17">
        <v>3.0</v>
      </c>
      <c r="P12" s="17"/>
      <c r="Q12" s="17"/>
      <c r="R12" s="96">
        <f t="shared" si="23"/>
        <v>19</v>
      </c>
      <c r="S12" s="97">
        <v>28.0</v>
      </c>
      <c r="T12" s="116">
        <f t="shared" si="6"/>
        <v>0.6785714286</v>
      </c>
      <c r="U12" s="99"/>
      <c r="V12" s="31">
        <f t="shared" si="24"/>
        <v>82</v>
      </c>
      <c r="W12" s="31">
        <f t="shared" si="25"/>
        <v>2</v>
      </c>
      <c r="X12" s="96">
        <f t="shared" si="26"/>
        <v>84</v>
      </c>
      <c r="Y12" s="100">
        <f t="shared" si="27"/>
        <v>87</v>
      </c>
      <c r="Z12" s="146">
        <f t="shared" si="28"/>
        <v>3</v>
      </c>
      <c r="AA12" s="16">
        <f t="shared" si="12"/>
        <v>0</v>
      </c>
      <c r="AB12" s="16">
        <f t="shared" si="29"/>
        <v>84</v>
      </c>
      <c r="AC12" s="31">
        <f t="shared" si="30"/>
        <v>87</v>
      </c>
      <c r="AD12" s="147">
        <f t="shared" si="31"/>
        <v>0.9655172414</v>
      </c>
      <c r="AE12" s="148">
        <v>46022.0</v>
      </c>
      <c r="AF12" s="149" t="s">
        <v>48</v>
      </c>
      <c r="AT12" s="136"/>
      <c r="AU12" s="136"/>
      <c r="AV12" s="136"/>
      <c r="AW12" s="136"/>
      <c r="AX12" s="136"/>
      <c r="AY12" s="136"/>
      <c r="AZ12" s="136"/>
      <c r="BA12" s="136"/>
      <c r="BB12" s="136"/>
    </row>
    <row r="13">
      <c r="A13" s="144" t="s">
        <v>18</v>
      </c>
      <c r="B13" s="194"/>
      <c r="C13" s="31">
        <v>16.0</v>
      </c>
      <c r="D13" s="31"/>
      <c r="E13" s="96">
        <f t="shared" si="21"/>
        <v>16</v>
      </c>
      <c r="F13" s="97">
        <v>34.0</v>
      </c>
      <c r="G13" s="116">
        <f t="shared" si="2"/>
        <v>0.4705882353</v>
      </c>
      <c r="H13" s="17">
        <v>27.0</v>
      </c>
      <c r="I13" s="17">
        <v>4.0</v>
      </c>
      <c r="J13" s="17"/>
      <c r="K13" s="96">
        <f t="shared" si="22"/>
        <v>31</v>
      </c>
      <c r="L13" s="97">
        <v>29.0</v>
      </c>
      <c r="M13" s="116">
        <f t="shared" si="4"/>
        <v>1.068965517</v>
      </c>
      <c r="N13" s="17">
        <v>16.0</v>
      </c>
      <c r="O13" s="17">
        <v>1.0</v>
      </c>
      <c r="P13" s="17"/>
      <c r="Q13" s="17"/>
      <c r="R13" s="96">
        <f t="shared" si="23"/>
        <v>17</v>
      </c>
      <c r="S13" s="97">
        <v>27.0</v>
      </c>
      <c r="T13" s="116">
        <f t="shared" si="6"/>
        <v>0.6296296296</v>
      </c>
      <c r="U13" s="99"/>
      <c r="V13" s="31">
        <f t="shared" si="24"/>
        <v>64</v>
      </c>
      <c r="W13" s="31">
        <f t="shared" si="25"/>
        <v>0</v>
      </c>
      <c r="X13" s="96">
        <f t="shared" si="26"/>
        <v>64</v>
      </c>
      <c r="Y13" s="100">
        <f t="shared" si="27"/>
        <v>90</v>
      </c>
      <c r="Z13" s="146">
        <f t="shared" si="28"/>
        <v>26</v>
      </c>
      <c r="AA13" s="16">
        <f t="shared" si="12"/>
        <v>-1</v>
      </c>
      <c r="AB13" s="16">
        <f t="shared" si="29"/>
        <v>64</v>
      </c>
      <c r="AC13" s="31">
        <f t="shared" si="30"/>
        <v>90</v>
      </c>
      <c r="AD13" s="147">
        <f t="shared" si="31"/>
        <v>0.7111111111</v>
      </c>
      <c r="AE13" s="148">
        <v>46022.0</v>
      </c>
      <c r="AF13" s="149" t="s">
        <v>48</v>
      </c>
      <c r="AT13" s="136"/>
      <c r="AU13" s="136"/>
      <c r="AV13" s="136"/>
      <c r="AW13" s="136"/>
      <c r="AX13" s="136"/>
      <c r="AY13" s="136"/>
      <c r="AZ13" s="136"/>
      <c r="BA13" s="136"/>
      <c r="BB13" s="136"/>
    </row>
    <row r="14">
      <c r="A14" s="144" t="s">
        <v>21</v>
      </c>
      <c r="B14" s="194"/>
      <c r="C14" s="31">
        <v>40.0</v>
      </c>
      <c r="D14" s="31"/>
      <c r="E14" s="96">
        <f t="shared" si="21"/>
        <v>40</v>
      </c>
      <c r="F14" s="97">
        <v>43.0</v>
      </c>
      <c r="G14" s="116">
        <f t="shared" si="2"/>
        <v>0.9302325581</v>
      </c>
      <c r="H14" s="17">
        <v>36.0</v>
      </c>
      <c r="I14" s="17">
        <v>4.0</v>
      </c>
      <c r="J14" s="17"/>
      <c r="K14" s="96">
        <f t="shared" si="22"/>
        <v>40</v>
      </c>
      <c r="L14" s="97">
        <v>43.0</v>
      </c>
      <c r="M14" s="116">
        <f t="shared" si="4"/>
        <v>0.9302325581</v>
      </c>
      <c r="N14" s="17">
        <v>32.0</v>
      </c>
      <c r="O14" s="17">
        <v>2.0</v>
      </c>
      <c r="P14" s="17"/>
      <c r="Q14" s="17"/>
      <c r="R14" s="96">
        <f t="shared" si="23"/>
        <v>34</v>
      </c>
      <c r="S14" s="97">
        <v>42.0</v>
      </c>
      <c r="T14" s="116">
        <f t="shared" si="6"/>
        <v>0.8095238095</v>
      </c>
      <c r="U14" s="99"/>
      <c r="V14" s="31">
        <f t="shared" si="24"/>
        <v>114</v>
      </c>
      <c r="W14" s="31">
        <f t="shared" si="25"/>
        <v>0</v>
      </c>
      <c r="X14" s="96">
        <f t="shared" si="26"/>
        <v>114</v>
      </c>
      <c r="Y14" s="100">
        <f t="shared" si="27"/>
        <v>128</v>
      </c>
      <c r="Z14" s="146">
        <f t="shared" si="28"/>
        <v>14</v>
      </c>
      <c r="AA14" s="16">
        <f t="shared" si="12"/>
        <v>-1</v>
      </c>
      <c r="AB14" s="16">
        <f t="shared" si="29"/>
        <v>114</v>
      </c>
      <c r="AC14" s="31">
        <f t="shared" si="30"/>
        <v>128</v>
      </c>
      <c r="AD14" s="147">
        <f t="shared" si="31"/>
        <v>0.890625</v>
      </c>
      <c r="AE14" s="148">
        <v>46022.0</v>
      </c>
      <c r="AF14" s="149" t="s">
        <v>48</v>
      </c>
      <c r="AT14" s="136"/>
      <c r="AU14" s="136"/>
      <c r="AV14" s="136"/>
      <c r="AW14" s="136"/>
      <c r="AX14" s="136"/>
      <c r="AY14" s="136"/>
      <c r="AZ14" s="136"/>
      <c r="BA14" s="136"/>
      <c r="BB14" s="136"/>
    </row>
    <row r="15">
      <c r="A15" s="153" t="s">
        <v>22</v>
      </c>
      <c r="B15" s="27">
        <f t="shared" ref="B15:F15" si="32">sum(B11:B14)</f>
        <v>0</v>
      </c>
      <c r="C15" s="27">
        <f t="shared" si="32"/>
        <v>97</v>
      </c>
      <c r="D15" s="27">
        <f t="shared" si="32"/>
        <v>2</v>
      </c>
      <c r="E15" s="27">
        <f t="shared" si="32"/>
        <v>99</v>
      </c>
      <c r="F15" s="27">
        <f t="shared" si="32"/>
        <v>136</v>
      </c>
      <c r="G15" s="154">
        <f t="shared" si="2"/>
        <v>0.7279411765</v>
      </c>
      <c r="H15" s="27">
        <f t="shared" ref="H15:L15" si="33">sum(H11:H14)</f>
        <v>122</v>
      </c>
      <c r="I15" s="27">
        <f t="shared" si="33"/>
        <v>16</v>
      </c>
      <c r="J15" s="27">
        <f t="shared" si="33"/>
        <v>0</v>
      </c>
      <c r="K15" s="27">
        <f t="shared" si="33"/>
        <v>138</v>
      </c>
      <c r="L15" s="27">
        <f t="shared" si="33"/>
        <v>126</v>
      </c>
      <c r="M15" s="154">
        <f t="shared" si="4"/>
        <v>1.095238095</v>
      </c>
      <c r="N15" s="27">
        <f t="shared" ref="N15:S15" si="34">sum(N11:N14)</f>
        <v>81</v>
      </c>
      <c r="O15" s="27">
        <f t="shared" si="34"/>
        <v>7</v>
      </c>
      <c r="P15" s="27">
        <f t="shared" si="34"/>
        <v>0</v>
      </c>
      <c r="Q15" s="27">
        <f t="shared" si="34"/>
        <v>0</v>
      </c>
      <c r="R15" s="27">
        <f t="shared" si="34"/>
        <v>88</v>
      </c>
      <c r="S15" s="27">
        <f t="shared" si="34"/>
        <v>119</v>
      </c>
      <c r="T15" s="154">
        <f t="shared" si="6"/>
        <v>0.7394957983</v>
      </c>
      <c r="U15" s="27">
        <f t="shared" ref="U15:Z15" si="35">sum(U11:U14)</f>
        <v>0</v>
      </c>
      <c r="V15" s="27">
        <f t="shared" si="35"/>
        <v>323</v>
      </c>
      <c r="W15" s="27">
        <f t="shared" si="35"/>
        <v>2</v>
      </c>
      <c r="X15" s="27">
        <f t="shared" si="35"/>
        <v>325</v>
      </c>
      <c r="Y15" s="104">
        <f t="shared" si="35"/>
        <v>381</v>
      </c>
      <c r="Z15" s="155">
        <f t="shared" si="35"/>
        <v>56</v>
      </c>
      <c r="AA15" s="155">
        <f t="shared" si="12"/>
        <v>-2</v>
      </c>
      <c r="AB15" s="155">
        <f t="shared" ref="AB15:AC15" si="36">sum(AB11:AB14)</f>
        <v>325</v>
      </c>
      <c r="AC15" s="27">
        <f t="shared" si="36"/>
        <v>381</v>
      </c>
      <c r="AD15" s="156">
        <f>AB15/AC15</f>
        <v>0.8530183727</v>
      </c>
      <c r="AF15" s="149"/>
      <c r="AT15" s="136"/>
      <c r="AU15" s="136"/>
      <c r="AV15" s="136"/>
      <c r="AW15" s="136"/>
      <c r="AX15" s="136"/>
      <c r="AY15" s="136"/>
      <c r="AZ15" s="136"/>
      <c r="BA15" s="136"/>
      <c r="BB15" s="136"/>
    </row>
    <row r="16">
      <c r="A16" s="144" t="s">
        <v>23</v>
      </c>
      <c r="B16" s="194"/>
      <c r="C16" s="31">
        <v>18.0</v>
      </c>
      <c r="D16" s="31">
        <v>5.0</v>
      </c>
      <c r="E16" s="96">
        <f t="shared" ref="E16:E18" si="37">SUM(C16:D16)</f>
        <v>23</v>
      </c>
      <c r="F16" s="97">
        <v>30.0</v>
      </c>
      <c r="G16" s="116">
        <f t="shared" si="2"/>
        <v>0.7666666667</v>
      </c>
      <c r="H16" s="17">
        <v>28.0</v>
      </c>
      <c r="I16" s="17">
        <v>3.0</v>
      </c>
      <c r="J16" s="17">
        <v>3.0</v>
      </c>
      <c r="K16" s="96">
        <f t="shared" ref="K16:K18" si="38">SUM(H16:J16)</f>
        <v>34</v>
      </c>
      <c r="L16" s="97">
        <v>33.0</v>
      </c>
      <c r="M16" s="116">
        <f t="shared" si="4"/>
        <v>1.03030303</v>
      </c>
      <c r="N16" s="17">
        <v>14.0</v>
      </c>
      <c r="O16" s="17">
        <v>4.0</v>
      </c>
      <c r="P16" s="17"/>
      <c r="Q16" s="17">
        <v>12.0</v>
      </c>
      <c r="R16" s="96">
        <f t="shared" ref="R16:R18" si="39">SUM(N16:Q16)</f>
        <v>30</v>
      </c>
      <c r="S16" s="97">
        <v>30.0</v>
      </c>
      <c r="T16" s="116">
        <f t="shared" si="6"/>
        <v>1</v>
      </c>
      <c r="U16" s="99"/>
      <c r="V16" s="31">
        <f t="shared" ref="V16:V18" si="40">N16+H16+C16+O16+P16+I16</f>
        <v>67</v>
      </c>
      <c r="W16" s="31">
        <f t="shared" ref="W16:W18" si="41">Q16+J16+D16</f>
        <v>20</v>
      </c>
      <c r="X16" s="96">
        <f t="shared" ref="X16:X18" si="42">sum(U16:W16)</f>
        <v>87</v>
      </c>
      <c r="Y16" s="100">
        <f t="shared" ref="Y16:Y18" si="43">S16+L16+F16</f>
        <v>93</v>
      </c>
      <c r="Z16" s="146">
        <f t="shared" ref="Z16:Z18" si="44">Y16-X16</f>
        <v>6</v>
      </c>
      <c r="AA16" s="16">
        <f t="shared" si="12"/>
        <v>0</v>
      </c>
      <c r="AB16" s="16">
        <f t="shared" ref="AB16:AB18" si="45">W16+V16</f>
        <v>87</v>
      </c>
      <c r="AC16" s="31">
        <f t="shared" ref="AC16:AC18" si="46">Y16</f>
        <v>93</v>
      </c>
      <c r="AD16" s="147">
        <f t="shared" ref="AD16:AD18" si="47">(V16+W16)/Y16</f>
        <v>0.935483871</v>
      </c>
      <c r="AE16" s="157">
        <v>46022.0</v>
      </c>
      <c r="AF16" s="149" t="s">
        <v>77</v>
      </c>
      <c r="AT16" s="136"/>
      <c r="AU16" s="136"/>
      <c r="AV16" s="136"/>
      <c r="AW16" s="136"/>
      <c r="AX16" s="136"/>
      <c r="AY16" s="136"/>
      <c r="AZ16" s="136"/>
      <c r="BA16" s="136"/>
      <c r="BB16" s="136"/>
    </row>
    <row r="17">
      <c r="A17" s="144" t="s">
        <v>24</v>
      </c>
      <c r="B17" s="194"/>
      <c r="C17" s="31">
        <v>39.0</v>
      </c>
      <c r="D17" s="31"/>
      <c r="E17" s="96">
        <f t="shared" si="37"/>
        <v>39</v>
      </c>
      <c r="F17" s="97">
        <v>28.0</v>
      </c>
      <c r="G17" s="116">
        <f t="shared" si="2"/>
        <v>1.392857143</v>
      </c>
      <c r="H17" s="17">
        <v>18.0</v>
      </c>
      <c r="I17" s="17">
        <v>2.0</v>
      </c>
      <c r="J17" s="17">
        <v>3.0</v>
      </c>
      <c r="K17" s="96">
        <f t="shared" si="38"/>
        <v>23</v>
      </c>
      <c r="L17" s="97">
        <v>27.0</v>
      </c>
      <c r="M17" s="116">
        <f t="shared" si="4"/>
        <v>0.8518518519</v>
      </c>
      <c r="N17" s="17">
        <v>21.0</v>
      </c>
      <c r="O17" s="17">
        <v>1.0</v>
      </c>
      <c r="P17" s="17"/>
      <c r="Q17" s="17">
        <v>4.0</v>
      </c>
      <c r="R17" s="96">
        <f t="shared" si="39"/>
        <v>26</v>
      </c>
      <c r="S17" s="97">
        <v>25.0</v>
      </c>
      <c r="T17" s="116">
        <f t="shared" si="6"/>
        <v>1.04</v>
      </c>
      <c r="U17" s="99"/>
      <c r="V17" s="31">
        <f t="shared" si="40"/>
        <v>81</v>
      </c>
      <c r="W17" s="31">
        <f t="shared" si="41"/>
        <v>7</v>
      </c>
      <c r="X17" s="96">
        <f t="shared" si="42"/>
        <v>88</v>
      </c>
      <c r="Y17" s="100">
        <f t="shared" si="43"/>
        <v>80</v>
      </c>
      <c r="Z17" s="146">
        <f t="shared" si="44"/>
        <v>-8</v>
      </c>
      <c r="AA17" s="16">
        <f t="shared" si="12"/>
        <v>0</v>
      </c>
      <c r="AB17" s="16">
        <f t="shared" si="45"/>
        <v>88</v>
      </c>
      <c r="AC17" s="31">
        <f t="shared" si="46"/>
        <v>80</v>
      </c>
      <c r="AD17" s="147">
        <f t="shared" si="47"/>
        <v>1.1</v>
      </c>
      <c r="AE17" s="157">
        <v>46022.0</v>
      </c>
      <c r="AF17" s="149" t="s">
        <v>77</v>
      </c>
      <c r="AT17" s="136"/>
      <c r="AU17" s="136"/>
      <c r="AV17" s="136"/>
      <c r="AW17" s="136"/>
      <c r="AX17" s="136"/>
      <c r="AY17" s="136"/>
      <c r="AZ17" s="136"/>
      <c r="BA17" s="136"/>
      <c r="BB17" s="136"/>
    </row>
    <row r="18">
      <c r="A18" s="144" t="s">
        <v>25</v>
      </c>
      <c r="B18" s="194"/>
      <c r="C18" s="31">
        <v>12.0</v>
      </c>
      <c r="D18" s="31"/>
      <c r="E18" s="96">
        <f t="shared" si="37"/>
        <v>12</v>
      </c>
      <c r="F18" s="97">
        <v>13.0</v>
      </c>
      <c r="G18" s="116">
        <f t="shared" si="2"/>
        <v>0.9230769231</v>
      </c>
      <c r="H18" s="17">
        <v>9.0</v>
      </c>
      <c r="I18" s="17">
        <v>3.0</v>
      </c>
      <c r="J18" s="17"/>
      <c r="K18" s="96">
        <f t="shared" si="38"/>
        <v>12</v>
      </c>
      <c r="L18" s="97">
        <v>10.0</v>
      </c>
      <c r="M18" s="116">
        <f t="shared" si="4"/>
        <v>1.2</v>
      </c>
      <c r="N18" s="17">
        <v>5.0</v>
      </c>
      <c r="O18" s="17">
        <v>1.0</v>
      </c>
      <c r="P18" s="17"/>
      <c r="Q18" s="17">
        <v>1.0</v>
      </c>
      <c r="R18" s="96">
        <f t="shared" si="39"/>
        <v>7</v>
      </c>
      <c r="S18" s="97">
        <v>10.0</v>
      </c>
      <c r="T18" s="116">
        <f t="shared" si="6"/>
        <v>0.7</v>
      </c>
      <c r="U18" s="99"/>
      <c r="V18" s="31">
        <f t="shared" si="40"/>
        <v>30</v>
      </c>
      <c r="W18" s="31">
        <f t="shared" si="41"/>
        <v>1</v>
      </c>
      <c r="X18" s="96">
        <f t="shared" si="42"/>
        <v>31</v>
      </c>
      <c r="Y18" s="100">
        <f t="shared" si="43"/>
        <v>33</v>
      </c>
      <c r="Z18" s="146">
        <f t="shared" si="44"/>
        <v>2</v>
      </c>
      <c r="AA18" s="16">
        <f t="shared" si="12"/>
        <v>0</v>
      </c>
      <c r="AB18" s="16">
        <f t="shared" si="45"/>
        <v>31</v>
      </c>
      <c r="AC18" s="31">
        <f t="shared" si="46"/>
        <v>33</v>
      </c>
      <c r="AD18" s="147">
        <f t="shared" si="47"/>
        <v>0.9393939394</v>
      </c>
      <c r="AE18" s="157">
        <v>46020.0</v>
      </c>
      <c r="AF18" s="149" t="s">
        <v>77</v>
      </c>
      <c r="AT18" s="136"/>
      <c r="AU18" s="136"/>
      <c r="AV18" s="136"/>
      <c r="AW18" s="136"/>
      <c r="AX18" s="136"/>
      <c r="AY18" s="136"/>
      <c r="AZ18" s="136"/>
      <c r="BA18" s="136"/>
      <c r="BB18" s="136"/>
    </row>
    <row r="19">
      <c r="A19" s="153" t="s">
        <v>26</v>
      </c>
      <c r="B19" s="27">
        <f t="shared" ref="B19:F19" si="48">sum(B16:B18)</f>
        <v>0</v>
      </c>
      <c r="C19" s="27">
        <f t="shared" si="48"/>
        <v>69</v>
      </c>
      <c r="D19" s="27">
        <f t="shared" si="48"/>
        <v>5</v>
      </c>
      <c r="E19" s="27">
        <f t="shared" si="48"/>
        <v>74</v>
      </c>
      <c r="F19" s="27">
        <f t="shared" si="48"/>
        <v>71</v>
      </c>
      <c r="G19" s="154">
        <f t="shared" si="2"/>
        <v>1.042253521</v>
      </c>
      <c r="H19" s="27">
        <f t="shared" ref="H19:L19" si="49">sum(H16:H18)</f>
        <v>55</v>
      </c>
      <c r="I19" s="27">
        <f t="shared" si="49"/>
        <v>8</v>
      </c>
      <c r="J19" s="27">
        <f t="shared" si="49"/>
        <v>6</v>
      </c>
      <c r="K19" s="27">
        <f t="shared" si="49"/>
        <v>69</v>
      </c>
      <c r="L19" s="27">
        <f t="shared" si="49"/>
        <v>70</v>
      </c>
      <c r="M19" s="154">
        <f t="shared" si="4"/>
        <v>0.9857142857</v>
      </c>
      <c r="N19" s="27">
        <f t="shared" ref="N19:S19" si="50">sum(N16:N18)</f>
        <v>40</v>
      </c>
      <c r="O19" s="27">
        <f t="shared" si="50"/>
        <v>6</v>
      </c>
      <c r="P19" s="27">
        <f t="shared" si="50"/>
        <v>0</v>
      </c>
      <c r="Q19" s="27">
        <f t="shared" si="50"/>
        <v>17</v>
      </c>
      <c r="R19" s="27">
        <f t="shared" si="50"/>
        <v>63</v>
      </c>
      <c r="S19" s="27">
        <f t="shared" si="50"/>
        <v>65</v>
      </c>
      <c r="T19" s="154">
        <f t="shared" si="6"/>
        <v>0.9692307692</v>
      </c>
      <c r="U19" s="27">
        <f t="shared" ref="U19:Z19" si="51">sum(U16:U18)</f>
        <v>0</v>
      </c>
      <c r="V19" s="27">
        <f t="shared" si="51"/>
        <v>178</v>
      </c>
      <c r="W19" s="27">
        <f t="shared" si="51"/>
        <v>28</v>
      </c>
      <c r="X19" s="27">
        <f t="shared" si="51"/>
        <v>206</v>
      </c>
      <c r="Y19" s="104">
        <f t="shared" si="51"/>
        <v>206</v>
      </c>
      <c r="Z19" s="155">
        <f t="shared" si="51"/>
        <v>0</v>
      </c>
      <c r="AA19" s="155">
        <f t="shared" si="12"/>
        <v>0</v>
      </c>
      <c r="AB19" s="155">
        <f t="shared" ref="AB19:AC19" si="52">sum(AB16:AB18)</f>
        <v>206</v>
      </c>
      <c r="AC19" s="27">
        <f t="shared" si="52"/>
        <v>206</v>
      </c>
      <c r="AD19" s="156">
        <f>AB19/AC19</f>
        <v>1</v>
      </c>
      <c r="AF19" s="149"/>
      <c r="AT19" s="136"/>
      <c r="AU19" s="136"/>
      <c r="AV19" s="136"/>
      <c r="AW19" s="136"/>
      <c r="AX19" s="136"/>
      <c r="AY19" s="136"/>
      <c r="AZ19" s="136"/>
      <c r="BA19" s="136"/>
      <c r="BB19" s="136"/>
    </row>
    <row r="20">
      <c r="A20" s="153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107"/>
      <c r="Z20" s="33"/>
      <c r="AA20" s="158"/>
      <c r="AB20" s="158"/>
      <c r="AC20" s="159"/>
      <c r="AD20" s="160"/>
      <c r="AF20" s="136"/>
      <c r="AT20" s="136"/>
      <c r="AU20" s="136"/>
      <c r="AV20" s="136"/>
      <c r="AW20" s="136"/>
      <c r="AX20" s="136"/>
      <c r="AY20" s="136"/>
      <c r="AZ20" s="136"/>
      <c r="BA20" s="136"/>
      <c r="BB20" s="136"/>
    </row>
    <row r="21">
      <c r="A21" s="16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107"/>
      <c r="Z21" s="33"/>
      <c r="AA21" s="158"/>
      <c r="AB21" s="158"/>
      <c r="AC21" s="159"/>
      <c r="AD21" s="160"/>
      <c r="AF21" s="136"/>
      <c r="AT21" s="136"/>
      <c r="AU21" s="136"/>
      <c r="AV21" s="136"/>
      <c r="AW21" s="136"/>
      <c r="AX21" s="136"/>
      <c r="AY21" s="136"/>
      <c r="AZ21" s="136"/>
      <c r="BA21" s="136"/>
      <c r="BB21" s="136"/>
    </row>
    <row r="22">
      <c r="A22" s="162" t="s">
        <v>8</v>
      </c>
      <c r="B22" s="163">
        <f t="shared" ref="B22:F22" si="53">B19+B15+B10</f>
        <v>0</v>
      </c>
      <c r="C22" s="163">
        <f t="shared" si="53"/>
        <v>289</v>
      </c>
      <c r="D22" s="163">
        <f t="shared" si="53"/>
        <v>15</v>
      </c>
      <c r="E22" s="163">
        <f t="shared" si="53"/>
        <v>304</v>
      </c>
      <c r="F22" s="163">
        <f t="shared" si="53"/>
        <v>339</v>
      </c>
      <c r="G22" s="164">
        <f>E22/F22</f>
        <v>0.8967551622</v>
      </c>
      <c r="H22" s="163">
        <f t="shared" ref="H22:L22" si="54">H19+H15+H10</f>
        <v>274</v>
      </c>
      <c r="I22" s="163">
        <f t="shared" si="54"/>
        <v>40</v>
      </c>
      <c r="J22" s="163">
        <f t="shared" si="54"/>
        <v>6</v>
      </c>
      <c r="K22" s="163">
        <f t="shared" si="54"/>
        <v>320</v>
      </c>
      <c r="L22" s="163">
        <f t="shared" si="54"/>
        <v>320</v>
      </c>
      <c r="M22" s="164">
        <f>K22/L22</f>
        <v>1</v>
      </c>
      <c r="N22" s="163">
        <f t="shared" ref="N22:S22" si="55">N19+N15+N10</f>
        <v>209</v>
      </c>
      <c r="O22" s="163">
        <f t="shared" si="55"/>
        <v>20</v>
      </c>
      <c r="P22" s="163">
        <f t="shared" si="55"/>
        <v>0</v>
      </c>
      <c r="Q22" s="163">
        <f t="shared" si="55"/>
        <v>17</v>
      </c>
      <c r="R22" s="163">
        <f t="shared" si="55"/>
        <v>246</v>
      </c>
      <c r="S22" s="163">
        <f t="shared" si="55"/>
        <v>308</v>
      </c>
      <c r="T22" s="164">
        <f>R22/S22</f>
        <v>0.7987012987</v>
      </c>
      <c r="U22" s="163">
        <f t="shared" ref="U22:Z22" si="56">U19+U15+U10</f>
        <v>0</v>
      </c>
      <c r="V22" s="163">
        <f t="shared" si="56"/>
        <v>832</v>
      </c>
      <c r="W22" s="163">
        <f t="shared" si="56"/>
        <v>38</v>
      </c>
      <c r="X22" s="163">
        <f t="shared" si="56"/>
        <v>870</v>
      </c>
      <c r="Y22" s="165">
        <f t="shared" si="56"/>
        <v>967</v>
      </c>
      <c r="Z22" s="166">
        <f t="shared" si="56"/>
        <v>97</v>
      </c>
      <c r="AA22" s="167">
        <f>round(Z22/$AA$26*7,0)</f>
        <v>-4</v>
      </c>
      <c r="AB22" s="166">
        <f t="shared" ref="AB22:AC22" si="57">AB19+AB15+AB10</f>
        <v>870</v>
      </c>
      <c r="AC22" s="163">
        <f t="shared" si="57"/>
        <v>967</v>
      </c>
      <c r="AD22" s="168">
        <f>(V22+W22)/Y22</f>
        <v>0.8996897622</v>
      </c>
      <c r="AF22" s="136"/>
      <c r="AT22" s="136"/>
      <c r="AU22" s="136"/>
      <c r="AV22" s="136"/>
      <c r="AW22" s="136"/>
      <c r="AX22" s="136"/>
      <c r="AY22" s="136"/>
      <c r="AZ22" s="136"/>
      <c r="BA22" s="136"/>
      <c r="BB22" s="136"/>
    </row>
    <row r="23">
      <c r="AT23" s="136"/>
      <c r="AU23" s="136"/>
      <c r="AV23" s="136"/>
      <c r="AW23" s="136"/>
      <c r="AX23" s="136"/>
      <c r="AY23" s="136"/>
      <c r="AZ23" s="136"/>
      <c r="BA23" s="136"/>
      <c r="BB23" s="136"/>
    </row>
    <row r="24">
      <c r="AA24" s="1">
        <v>46022.0</v>
      </c>
      <c r="AB24" s="44"/>
      <c r="AC24" s="21">
        <f>AC22-AB22</f>
        <v>97</v>
      </c>
      <c r="AT24" s="136"/>
      <c r="AU24" s="136"/>
      <c r="AV24" s="136"/>
      <c r="AW24" s="136"/>
      <c r="AX24" s="136"/>
      <c r="AY24" s="136"/>
      <c r="AZ24" s="136"/>
      <c r="BA24" s="136"/>
      <c r="BB24" s="136"/>
    </row>
    <row r="25">
      <c r="A25" s="195" t="s">
        <v>83</v>
      </c>
      <c r="B25" s="46"/>
      <c r="C25" s="46"/>
      <c r="D25" s="46"/>
      <c r="E25" s="46"/>
      <c r="F25" s="46"/>
      <c r="G25" s="47"/>
      <c r="AA25" s="169">
        <f>today()-1</f>
        <v>46215</v>
      </c>
      <c r="AT25" s="136"/>
      <c r="AU25" s="136"/>
      <c r="AV25" s="136"/>
      <c r="AW25" s="136"/>
      <c r="AX25" s="136"/>
      <c r="AY25" s="136"/>
      <c r="AZ25" s="136"/>
      <c r="BA25" s="136"/>
      <c r="BB25" s="136"/>
    </row>
    <row r="26">
      <c r="A26" s="9"/>
      <c r="G26" s="14"/>
      <c r="L26" s="196" t="s">
        <v>84</v>
      </c>
      <c r="AA26" s="20">
        <f>AA24-AA25</f>
        <v>-193</v>
      </c>
      <c r="AT26" s="136"/>
      <c r="AU26" s="136"/>
      <c r="AV26" s="136"/>
      <c r="AW26" s="136"/>
      <c r="AX26" s="136"/>
      <c r="AY26" s="136"/>
      <c r="AZ26" s="136"/>
      <c r="BA26" s="136"/>
      <c r="BB26" s="136"/>
    </row>
    <row r="27">
      <c r="A27" s="15"/>
      <c r="B27" s="179" t="s">
        <v>37</v>
      </c>
      <c r="C27" s="179" t="s">
        <v>38</v>
      </c>
      <c r="D27" s="179" t="s">
        <v>85</v>
      </c>
      <c r="F27" s="179" t="s">
        <v>86</v>
      </c>
      <c r="G27" s="14"/>
      <c r="L27" s="179" t="s">
        <v>87</v>
      </c>
      <c r="M27" s="179" t="s">
        <v>88</v>
      </c>
      <c r="N27" s="179" t="s">
        <v>89</v>
      </c>
      <c r="O27" s="179" t="s">
        <v>90</v>
      </c>
      <c r="P27" s="179" t="s">
        <v>37</v>
      </c>
      <c r="Q27" s="197"/>
      <c r="AJ27" s="136"/>
      <c r="AK27" s="136"/>
      <c r="AL27" s="136"/>
      <c r="AM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</row>
    <row r="28">
      <c r="A28" s="16" t="s">
        <v>13</v>
      </c>
      <c r="B28" s="97">
        <f t="shared" ref="B28:B31" si="58">P28</f>
        <v>7</v>
      </c>
      <c r="C28" s="97">
        <f>12+11</f>
        <v>23</v>
      </c>
      <c r="D28" s="198">
        <f t="shared" ref="D28:D31" si="59">C28-B28</f>
        <v>16</v>
      </c>
      <c r="F28" s="198"/>
      <c r="G28" s="14"/>
      <c r="I28" s="8"/>
      <c r="J28" s="8" t="s">
        <v>91</v>
      </c>
      <c r="K28" s="31" t="s">
        <v>13</v>
      </c>
      <c r="L28" s="20">
        <v>5.0</v>
      </c>
      <c r="M28" s="12">
        <v>2.0</v>
      </c>
      <c r="P28" s="96">
        <f t="shared" ref="P28:P31" si="60">sum(L28:O28)</f>
        <v>7</v>
      </c>
      <c r="S28" s="12" t="s">
        <v>63</v>
      </c>
      <c r="AJ28" s="136"/>
      <c r="AK28" s="136"/>
      <c r="AL28" s="136"/>
      <c r="AM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</row>
    <row r="29">
      <c r="A29" s="16" t="s">
        <v>14</v>
      </c>
      <c r="B29" s="97">
        <f t="shared" si="58"/>
        <v>4</v>
      </c>
      <c r="C29" s="97">
        <f>6+7</f>
        <v>13</v>
      </c>
      <c r="D29" s="198">
        <f t="shared" si="59"/>
        <v>9</v>
      </c>
      <c r="F29" s="198">
        <v>4.0</v>
      </c>
      <c r="G29" s="14"/>
      <c r="I29" s="8"/>
      <c r="J29" s="8" t="s">
        <v>92</v>
      </c>
      <c r="K29" s="31" t="s">
        <v>14</v>
      </c>
      <c r="L29" s="20">
        <v>1.0</v>
      </c>
      <c r="N29" s="12">
        <v>3.0</v>
      </c>
      <c r="P29" s="96">
        <f t="shared" si="60"/>
        <v>4</v>
      </c>
      <c r="AJ29" s="136"/>
      <c r="AK29" s="136"/>
      <c r="AL29" s="136"/>
      <c r="AM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</row>
    <row r="30">
      <c r="A30" s="16" t="s">
        <v>15</v>
      </c>
      <c r="B30" s="97">
        <f t="shared" si="58"/>
        <v>0</v>
      </c>
      <c r="C30" s="97">
        <f>5+6</f>
        <v>11</v>
      </c>
      <c r="D30" s="198">
        <f t="shared" si="59"/>
        <v>11</v>
      </c>
      <c r="F30" s="198"/>
      <c r="G30" s="14"/>
      <c r="I30" s="8"/>
      <c r="J30" s="8" t="s">
        <v>93</v>
      </c>
      <c r="K30" s="31" t="s">
        <v>15</v>
      </c>
      <c r="P30" s="96">
        <f t="shared" si="60"/>
        <v>0</v>
      </c>
      <c r="V30" s="197"/>
    </row>
    <row r="31">
      <c r="A31" s="16" t="s">
        <v>16</v>
      </c>
      <c r="B31" s="97">
        <f t="shared" si="58"/>
        <v>2</v>
      </c>
      <c r="C31" s="97">
        <f>7+7</f>
        <v>14</v>
      </c>
      <c r="D31" s="198">
        <f t="shared" si="59"/>
        <v>12</v>
      </c>
      <c r="F31" s="198"/>
      <c r="G31" s="14"/>
      <c r="I31" s="8"/>
      <c r="J31" s="8" t="s">
        <v>94</v>
      </c>
      <c r="K31" s="31" t="s">
        <v>16</v>
      </c>
      <c r="M31" s="12">
        <v>2.0</v>
      </c>
      <c r="P31" s="96">
        <f t="shared" si="60"/>
        <v>2</v>
      </c>
    </row>
    <row r="32">
      <c r="A32" s="26" t="s">
        <v>17</v>
      </c>
      <c r="B32" s="29">
        <f t="shared" ref="B32:D32" si="61">sum(B28:B31)</f>
        <v>13</v>
      </c>
      <c r="C32" s="29">
        <f t="shared" si="61"/>
        <v>61</v>
      </c>
      <c r="D32" s="29">
        <f t="shared" si="61"/>
        <v>48</v>
      </c>
      <c r="F32" s="29">
        <f>sum(F28:F31)</f>
        <v>4</v>
      </c>
      <c r="G32" s="14"/>
      <c r="K32" s="199" t="s">
        <v>17</v>
      </c>
      <c r="L32" s="29">
        <f t="shared" ref="L32:P32" si="62">sum(L28:L31)</f>
        <v>6</v>
      </c>
      <c r="M32" s="29">
        <f t="shared" si="62"/>
        <v>4</v>
      </c>
      <c r="N32" s="29">
        <f t="shared" si="62"/>
        <v>3</v>
      </c>
      <c r="O32" s="29">
        <f t="shared" si="62"/>
        <v>0</v>
      </c>
      <c r="P32" s="29">
        <f t="shared" si="62"/>
        <v>13</v>
      </c>
    </row>
    <row r="33">
      <c r="A33" s="16"/>
      <c r="B33" s="116"/>
      <c r="C33" s="116"/>
      <c r="D33" s="116"/>
      <c r="F33" s="116"/>
      <c r="G33" s="14"/>
      <c r="K33" s="31"/>
      <c r="L33" s="116"/>
      <c r="M33" s="116"/>
      <c r="N33" s="116"/>
      <c r="O33" s="116"/>
      <c r="P33" s="116"/>
    </row>
    <row r="34">
      <c r="A34" s="16" t="s">
        <v>18</v>
      </c>
      <c r="B34" s="97">
        <f>P34</f>
        <v>1</v>
      </c>
      <c r="C34" s="97">
        <f>7+6</f>
        <v>13</v>
      </c>
      <c r="D34" s="198">
        <f t="shared" ref="D34:D37" si="63">C34-B34</f>
        <v>12</v>
      </c>
      <c r="F34" s="198"/>
      <c r="G34" s="14"/>
      <c r="K34" s="31" t="s">
        <v>18</v>
      </c>
      <c r="L34" s="12">
        <v>1.0</v>
      </c>
      <c r="P34" s="96">
        <f t="shared" ref="P34:P37" si="64">sum(L34:O34)</f>
        <v>1</v>
      </c>
    </row>
    <row r="35">
      <c r="A35" s="16" t="s">
        <v>19</v>
      </c>
      <c r="B35" s="97">
        <v>2.0</v>
      </c>
      <c r="C35" s="97">
        <f>9+9</f>
        <v>18</v>
      </c>
      <c r="D35" s="198">
        <f t="shared" si="63"/>
        <v>16</v>
      </c>
      <c r="F35" s="198">
        <v>2.0</v>
      </c>
      <c r="G35" s="14"/>
      <c r="K35" s="31" t="s">
        <v>19</v>
      </c>
      <c r="M35" s="12">
        <v>1.0</v>
      </c>
      <c r="P35" s="96">
        <f t="shared" si="64"/>
        <v>1</v>
      </c>
    </row>
    <row r="36">
      <c r="A36" s="16" t="s">
        <v>20</v>
      </c>
      <c r="B36" s="97">
        <v>1.0</v>
      </c>
      <c r="C36" s="97">
        <f>5+6</f>
        <v>11</v>
      </c>
      <c r="D36" s="198">
        <f t="shared" si="63"/>
        <v>10</v>
      </c>
      <c r="F36" s="198">
        <v>1.0</v>
      </c>
      <c r="G36" s="14"/>
      <c r="K36" s="31" t="s">
        <v>20</v>
      </c>
      <c r="P36" s="96">
        <f t="shared" si="64"/>
        <v>0</v>
      </c>
    </row>
    <row r="37">
      <c r="A37" s="16" t="s">
        <v>21</v>
      </c>
      <c r="B37" s="97">
        <v>1.0</v>
      </c>
      <c r="C37" s="97">
        <f>9+9</f>
        <v>18</v>
      </c>
      <c r="D37" s="198">
        <f t="shared" si="63"/>
        <v>17</v>
      </c>
      <c r="F37" s="198">
        <v>1.0</v>
      </c>
      <c r="G37" s="14"/>
      <c r="K37" s="31" t="s">
        <v>21</v>
      </c>
      <c r="O37" s="12">
        <v>1.0</v>
      </c>
      <c r="P37" s="96">
        <f t="shared" si="64"/>
        <v>1</v>
      </c>
    </row>
    <row r="38">
      <c r="A38" s="26" t="s">
        <v>22</v>
      </c>
      <c r="B38" s="29">
        <f t="shared" ref="B38:D38" si="65">sum(B34:B37)</f>
        <v>5</v>
      </c>
      <c r="C38" s="29">
        <f t="shared" si="65"/>
        <v>60</v>
      </c>
      <c r="D38" s="29">
        <f t="shared" si="65"/>
        <v>55</v>
      </c>
      <c r="F38" s="29">
        <f>sum(F34:F37)</f>
        <v>4</v>
      </c>
      <c r="G38" s="14"/>
      <c r="K38" s="199" t="s">
        <v>22</v>
      </c>
      <c r="L38" s="29">
        <f t="shared" ref="L38:P38" si="66">sum(L34:L37)</f>
        <v>1</v>
      </c>
      <c r="M38" s="29">
        <f t="shared" si="66"/>
        <v>1</v>
      </c>
      <c r="N38" s="29">
        <f t="shared" si="66"/>
        <v>0</v>
      </c>
      <c r="O38" s="29">
        <f t="shared" si="66"/>
        <v>1</v>
      </c>
      <c r="P38" s="29">
        <f t="shared" si="66"/>
        <v>3</v>
      </c>
    </row>
    <row r="39">
      <c r="A39" s="16"/>
      <c r="B39" s="116"/>
      <c r="C39" s="116"/>
      <c r="D39" s="116"/>
      <c r="F39" s="116"/>
      <c r="G39" s="14"/>
      <c r="K39" s="31"/>
      <c r="L39" s="116"/>
      <c r="M39" s="116"/>
      <c r="N39" s="116"/>
      <c r="O39" s="116"/>
      <c r="P39" s="116"/>
    </row>
    <row r="40">
      <c r="A40" s="16" t="s">
        <v>23</v>
      </c>
      <c r="B40" s="97">
        <v>22.0</v>
      </c>
      <c r="C40" s="97">
        <f>9+9</f>
        <v>18</v>
      </c>
      <c r="D40" s="198">
        <f t="shared" ref="D40:D42" si="67">C40-B40</f>
        <v>-4</v>
      </c>
      <c r="F40" s="198">
        <v>0.0</v>
      </c>
      <c r="G40" s="14"/>
      <c r="K40" s="31" t="s">
        <v>23</v>
      </c>
      <c r="L40" s="20">
        <v>3.0</v>
      </c>
      <c r="M40" s="12">
        <v>4.0</v>
      </c>
      <c r="N40" s="12">
        <v>3.0</v>
      </c>
      <c r="O40" s="12">
        <v>12.0</v>
      </c>
      <c r="P40" s="96">
        <f t="shared" ref="P40:P42" si="68">sum(L40:O40)</f>
        <v>22</v>
      </c>
      <c r="R40" s="200"/>
      <c r="S40" s="200"/>
      <c r="T40" s="200"/>
    </row>
    <row r="41">
      <c r="A41" s="16" t="s">
        <v>24</v>
      </c>
      <c r="B41" s="97">
        <v>3.0</v>
      </c>
      <c r="C41" s="97">
        <f>5+6</f>
        <v>11</v>
      </c>
      <c r="D41" s="198">
        <f t="shared" si="67"/>
        <v>8</v>
      </c>
      <c r="F41" s="198">
        <v>0.0</v>
      </c>
      <c r="G41" s="14"/>
      <c r="K41" s="31" t="s">
        <v>24</v>
      </c>
      <c r="N41" s="12">
        <v>2.0</v>
      </c>
      <c r="O41" s="12">
        <v>1.0</v>
      </c>
      <c r="P41" s="96">
        <f t="shared" si="68"/>
        <v>3</v>
      </c>
      <c r="R41" s="200"/>
      <c r="S41" s="200"/>
      <c r="T41" s="200"/>
    </row>
    <row r="42">
      <c r="A42" s="16" t="s">
        <v>25</v>
      </c>
      <c r="B42" s="97">
        <f>P42</f>
        <v>0</v>
      </c>
      <c r="C42" s="97">
        <f>2+3</f>
        <v>5</v>
      </c>
      <c r="D42" s="198">
        <f t="shared" si="67"/>
        <v>5</v>
      </c>
      <c r="F42" s="198">
        <v>0.0</v>
      </c>
      <c r="G42" s="14"/>
      <c r="K42" s="31" t="s">
        <v>25</v>
      </c>
      <c r="P42" s="96">
        <f t="shared" si="68"/>
        <v>0</v>
      </c>
      <c r="R42" s="200"/>
      <c r="S42" s="200"/>
      <c r="T42" s="200"/>
    </row>
    <row r="43">
      <c r="A43" s="26" t="s">
        <v>26</v>
      </c>
      <c r="B43" s="29">
        <f t="shared" ref="B43:D43" si="69">sum(B40:B42)</f>
        <v>25</v>
      </c>
      <c r="C43" s="29">
        <f t="shared" si="69"/>
        <v>34</v>
      </c>
      <c r="D43" s="29">
        <f t="shared" si="69"/>
        <v>9</v>
      </c>
      <c r="F43" s="29">
        <f>sum(F40:F42)</f>
        <v>0</v>
      </c>
      <c r="G43" s="14"/>
      <c r="K43" s="199" t="s">
        <v>26</v>
      </c>
      <c r="L43" s="29">
        <f t="shared" ref="L43:P43" si="70">sum(L40:L42)</f>
        <v>3</v>
      </c>
      <c r="M43" s="29">
        <f t="shared" si="70"/>
        <v>4</v>
      </c>
      <c r="N43" s="29">
        <f t="shared" si="70"/>
        <v>5</v>
      </c>
      <c r="O43" s="29">
        <f t="shared" si="70"/>
        <v>13</v>
      </c>
      <c r="P43" s="29">
        <f t="shared" si="70"/>
        <v>25</v>
      </c>
    </row>
    <row r="44">
      <c r="A44" s="26"/>
      <c r="B44" s="32"/>
      <c r="C44" s="32"/>
      <c r="D44" s="32"/>
      <c r="F44" s="32"/>
      <c r="G44" s="14"/>
      <c r="K44" s="199"/>
      <c r="L44" s="32"/>
      <c r="M44" s="32"/>
      <c r="N44" s="32"/>
      <c r="O44" s="32"/>
      <c r="P44" s="32"/>
    </row>
    <row r="45">
      <c r="A45" s="26"/>
      <c r="B45" s="154"/>
      <c r="C45" s="154"/>
      <c r="D45" s="154"/>
      <c r="F45" s="154"/>
      <c r="G45" s="14"/>
      <c r="K45" s="199"/>
      <c r="L45" s="154"/>
      <c r="M45" s="154"/>
      <c r="N45" s="154"/>
      <c r="O45" s="154"/>
      <c r="P45" s="154"/>
    </row>
    <row r="46">
      <c r="A46" s="26" t="s">
        <v>8</v>
      </c>
      <c r="B46" s="29">
        <f t="shared" ref="B46:D46" si="71">B43+B38+B32</f>
        <v>43</v>
      </c>
      <c r="C46" s="29">
        <f t="shared" si="71"/>
        <v>155</v>
      </c>
      <c r="D46" s="29">
        <f t="shared" si="71"/>
        <v>112</v>
      </c>
      <c r="F46" s="29">
        <f>F43+F38+F32</f>
        <v>8</v>
      </c>
      <c r="G46" s="14"/>
      <c r="K46" s="199" t="s">
        <v>8</v>
      </c>
      <c r="L46" s="29">
        <f t="shared" ref="L46:P46" si="72">L43+L38+L32</f>
        <v>10</v>
      </c>
      <c r="M46" s="29">
        <f t="shared" si="72"/>
        <v>9</v>
      </c>
      <c r="N46" s="29">
        <f t="shared" si="72"/>
        <v>8</v>
      </c>
      <c r="O46" s="29">
        <f t="shared" si="72"/>
        <v>14</v>
      </c>
      <c r="P46" s="29">
        <f t="shared" si="72"/>
        <v>41</v>
      </c>
    </row>
    <row r="47">
      <c r="A47" s="201"/>
      <c r="B47" s="202"/>
      <c r="C47" s="202"/>
      <c r="D47" s="202"/>
      <c r="E47" s="202"/>
      <c r="F47" s="202"/>
      <c r="G47" s="203"/>
    </row>
    <row r="49">
      <c r="A49" s="187" t="s">
        <v>52</v>
      </c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8"/>
      <c r="X49" s="110" t="s">
        <v>29</v>
      </c>
      <c r="Y49" s="111" t="s">
        <v>30</v>
      </c>
    </row>
    <row r="50">
      <c r="A50" s="13"/>
      <c r="B50" s="190"/>
      <c r="C50" s="89" t="str">
        <f>C4</f>
        <v>OCT</v>
      </c>
      <c r="D50" s="90"/>
      <c r="E50" s="90"/>
      <c r="F50" s="90"/>
      <c r="G50" s="89" t="str">
        <f>H4</f>
        <v>NOV</v>
      </c>
      <c r="H50" s="90"/>
      <c r="I50" s="90"/>
      <c r="J50" s="90"/>
      <c r="K50" s="90"/>
      <c r="L50" s="89" t="str">
        <f>N4</f>
        <v>DEC</v>
      </c>
      <c r="M50" s="90"/>
      <c r="N50" s="90"/>
      <c r="O50" s="90"/>
      <c r="P50" s="89"/>
      <c r="Q50" s="89"/>
      <c r="R50" s="91" t="s">
        <v>8</v>
      </c>
      <c r="S50" s="90"/>
      <c r="T50" s="90"/>
      <c r="U50" s="92"/>
      <c r="Y50" s="136"/>
    </row>
    <row r="51">
      <c r="A51" s="15"/>
      <c r="B51" s="190"/>
      <c r="C51" s="179" t="s">
        <v>54</v>
      </c>
      <c r="D51" s="179" t="s">
        <v>55</v>
      </c>
      <c r="E51" s="179" t="s">
        <v>37</v>
      </c>
      <c r="F51" s="179" t="s">
        <v>56</v>
      </c>
      <c r="G51" s="179" t="s">
        <v>54</v>
      </c>
      <c r="H51" s="179" t="s">
        <v>55</v>
      </c>
      <c r="I51" s="179"/>
      <c r="J51" s="179" t="s">
        <v>37</v>
      </c>
      <c r="K51" s="179" t="s">
        <v>56</v>
      </c>
      <c r="L51" s="179" t="s">
        <v>54</v>
      </c>
      <c r="M51" s="179" t="s">
        <v>55</v>
      </c>
      <c r="N51" s="179" t="s">
        <v>37</v>
      </c>
      <c r="O51" s="179" t="s">
        <v>56</v>
      </c>
      <c r="P51" s="204"/>
      <c r="Q51" s="179"/>
      <c r="R51" s="179" t="s">
        <v>54</v>
      </c>
      <c r="S51" s="179" t="s">
        <v>55</v>
      </c>
      <c r="T51" s="179" t="s">
        <v>37</v>
      </c>
      <c r="U51" s="181" t="s">
        <v>56</v>
      </c>
      <c r="Y51" s="136"/>
    </row>
    <row r="52">
      <c r="A52" s="95" t="s">
        <v>13</v>
      </c>
      <c r="B52" s="190"/>
      <c r="C52" s="17">
        <v>127.0</v>
      </c>
      <c r="D52" s="17">
        <v>0.0</v>
      </c>
      <c r="E52" s="96">
        <f>SUM(C52:D52)</f>
        <v>127</v>
      </c>
      <c r="F52" s="97">
        <v>170.0</v>
      </c>
      <c r="G52" s="98">
        <v>199.0</v>
      </c>
      <c r="H52" s="17">
        <v>0.0</v>
      </c>
      <c r="I52" s="96"/>
      <c r="J52" s="96">
        <f>SUM(G52:H52)</f>
        <v>199</v>
      </c>
      <c r="K52" s="97">
        <v>159.0</v>
      </c>
      <c r="L52" s="98">
        <v>192.0</v>
      </c>
      <c r="M52" s="17">
        <v>0.0</v>
      </c>
      <c r="N52" s="96">
        <f>SUM(L52:M52)</f>
        <v>192</v>
      </c>
      <c r="O52" s="97">
        <v>128.0</v>
      </c>
      <c r="P52" s="32"/>
      <c r="Q52" s="99" t="str">
        <f t="shared" ref="Q52:Q58" si="76">B52</f>
        <v/>
      </c>
      <c r="R52" s="31">
        <f t="shared" ref="R52:S52" si="73">L52+G52+C52</f>
        <v>518</v>
      </c>
      <c r="S52" s="31">
        <f t="shared" si="73"/>
        <v>0</v>
      </c>
      <c r="T52" s="96">
        <f>sum(Q52:S52)</f>
        <v>518</v>
      </c>
      <c r="U52" s="100">
        <f>O52+K52+F52</f>
        <v>457</v>
      </c>
      <c r="X52" s="157">
        <v>46006.0</v>
      </c>
      <c r="Y52" s="149" t="s">
        <v>75</v>
      </c>
    </row>
    <row r="53">
      <c r="A53" s="103" t="s">
        <v>17</v>
      </c>
      <c r="B53" s="190"/>
      <c r="C53" s="27">
        <f t="shared" ref="C53:H53" si="74">sum(C52)</f>
        <v>127</v>
      </c>
      <c r="D53" s="27">
        <f t="shared" si="74"/>
        <v>0</v>
      </c>
      <c r="E53" s="27">
        <f t="shared" si="74"/>
        <v>127</v>
      </c>
      <c r="F53" s="27">
        <f t="shared" si="74"/>
        <v>170</v>
      </c>
      <c r="G53" s="27">
        <f t="shared" si="74"/>
        <v>199</v>
      </c>
      <c r="H53" s="27">
        <f t="shared" si="74"/>
        <v>0</v>
      </c>
      <c r="I53" s="27"/>
      <c r="J53" s="27">
        <f t="shared" ref="J53:O53" si="75">sum(J52)</f>
        <v>199</v>
      </c>
      <c r="K53" s="27">
        <f t="shared" si="75"/>
        <v>159</v>
      </c>
      <c r="L53" s="27">
        <f t="shared" si="75"/>
        <v>192</v>
      </c>
      <c r="M53" s="27">
        <f t="shared" si="75"/>
        <v>0</v>
      </c>
      <c r="N53" s="27">
        <f t="shared" si="75"/>
        <v>192</v>
      </c>
      <c r="O53" s="27">
        <f t="shared" si="75"/>
        <v>128</v>
      </c>
      <c r="P53" s="32"/>
      <c r="Q53" s="99" t="str">
        <f t="shared" si="76"/>
        <v/>
      </c>
      <c r="R53" s="27">
        <f t="shared" ref="R53:U53" si="77">sum(R52)</f>
        <v>518</v>
      </c>
      <c r="S53" s="27">
        <f t="shared" si="77"/>
        <v>0</v>
      </c>
      <c r="T53" s="27">
        <f t="shared" si="77"/>
        <v>518</v>
      </c>
      <c r="U53" s="104">
        <f t="shared" si="77"/>
        <v>457</v>
      </c>
      <c r="Y53" s="136"/>
    </row>
    <row r="54">
      <c r="A54" s="95" t="s">
        <v>19</v>
      </c>
      <c r="B54" s="190"/>
      <c r="C54" s="17">
        <v>14.0</v>
      </c>
      <c r="D54" s="31">
        <v>0.0</v>
      </c>
      <c r="E54" s="96">
        <f>SUM(C54:D54)</f>
        <v>14</v>
      </c>
      <c r="F54" s="97">
        <v>32.0</v>
      </c>
      <c r="G54" s="98">
        <v>6.0</v>
      </c>
      <c r="H54" s="31">
        <v>0.0</v>
      </c>
      <c r="I54" s="96"/>
      <c r="J54" s="96">
        <f>SUM(G54:H54)</f>
        <v>6</v>
      </c>
      <c r="K54" s="97">
        <v>25.0</v>
      </c>
      <c r="L54" s="98">
        <v>24.0</v>
      </c>
      <c r="M54" s="31">
        <v>0.0</v>
      </c>
      <c r="N54" s="96">
        <v>10.0</v>
      </c>
      <c r="O54" s="97">
        <v>40.0</v>
      </c>
      <c r="P54" s="32"/>
      <c r="Q54" s="99" t="str">
        <f t="shared" si="76"/>
        <v/>
      </c>
      <c r="R54" s="31">
        <f>L54+G54+P58+C54</f>
        <v>44</v>
      </c>
      <c r="S54" s="31">
        <f>M54+H54+D54</f>
        <v>0</v>
      </c>
      <c r="T54" s="96">
        <f>sum(Q54:S54)</f>
        <v>44</v>
      </c>
      <c r="U54" s="100">
        <f>O54+K54+F54</f>
        <v>97</v>
      </c>
      <c r="X54" s="157">
        <v>46022.0</v>
      </c>
      <c r="Y54" s="149" t="s">
        <v>48</v>
      </c>
    </row>
    <row r="55">
      <c r="A55" s="103" t="s">
        <v>22</v>
      </c>
      <c r="B55" s="190"/>
      <c r="C55" s="27">
        <f t="shared" ref="C55:H55" si="78">sum(C54)</f>
        <v>14</v>
      </c>
      <c r="D55" s="27">
        <f t="shared" si="78"/>
        <v>0</v>
      </c>
      <c r="E55" s="27">
        <f t="shared" si="78"/>
        <v>14</v>
      </c>
      <c r="F55" s="27">
        <f t="shared" si="78"/>
        <v>32</v>
      </c>
      <c r="G55" s="27">
        <f t="shared" si="78"/>
        <v>6</v>
      </c>
      <c r="H55" s="27">
        <f t="shared" si="78"/>
        <v>0</v>
      </c>
      <c r="I55" s="27"/>
      <c r="J55" s="27">
        <f t="shared" ref="J55:O55" si="79">sum(J54)</f>
        <v>6</v>
      </c>
      <c r="K55" s="27">
        <f t="shared" si="79"/>
        <v>25</v>
      </c>
      <c r="L55" s="27">
        <f t="shared" si="79"/>
        <v>24</v>
      </c>
      <c r="M55" s="27">
        <f t="shared" si="79"/>
        <v>0</v>
      </c>
      <c r="N55" s="27">
        <f t="shared" si="79"/>
        <v>10</v>
      </c>
      <c r="O55" s="27">
        <f t="shared" si="79"/>
        <v>40</v>
      </c>
      <c r="P55" s="32"/>
      <c r="Q55" s="99" t="str">
        <f t="shared" si="76"/>
        <v/>
      </c>
      <c r="R55" s="27">
        <f t="shared" ref="R55:U55" si="80">sum(R54)</f>
        <v>44</v>
      </c>
      <c r="S55" s="27">
        <f t="shared" si="80"/>
        <v>0</v>
      </c>
      <c r="T55" s="27">
        <f t="shared" si="80"/>
        <v>44</v>
      </c>
      <c r="U55" s="104">
        <f t="shared" si="80"/>
        <v>97</v>
      </c>
      <c r="Y55" s="136"/>
    </row>
    <row r="56">
      <c r="A56" s="95" t="s">
        <v>23</v>
      </c>
      <c r="B56" s="190"/>
      <c r="C56" s="17">
        <v>144.0</v>
      </c>
      <c r="D56" s="31">
        <v>0.0</v>
      </c>
      <c r="E56" s="96">
        <f>SUM(C56:D56)</f>
        <v>144</v>
      </c>
      <c r="F56" s="97">
        <v>49.0</v>
      </c>
      <c r="G56" s="98">
        <v>61.0</v>
      </c>
      <c r="H56" s="31">
        <v>0.0</v>
      </c>
      <c r="I56" s="96"/>
      <c r="J56" s="96">
        <f>SUM(G56:H56)</f>
        <v>61</v>
      </c>
      <c r="K56" s="97">
        <v>40.0</v>
      </c>
      <c r="L56" s="98">
        <v>49.0</v>
      </c>
      <c r="M56" s="31">
        <v>0.0</v>
      </c>
      <c r="N56" s="96">
        <f>SUM(L56:M56)</f>
        <v>49</v>
      </c>
      <c r="O56" s="97">
        <v>32.0</v>
      </c>
      <c r="P56" s="32"/>
      <c r="Q56" s="99" t="str">
        <f t="shared" si="76"/>
        <v/>
      </c>
      <c r="R56" s="31">
        <f t="shared" ref="R56:S56" si="81">L56+G56+C56</f>
        <v>254</v>
      </c>
      <c r="S56" s="31">
        <f t="shared" si="81"/>
        <v>0</v>
      </c>
      <c r="T56" s="96">
        <f>sum(Q56:S56)</f>
        <v>254</v>
      </c>
      <c r="U56" s="100">
        <f>O56+K56+F56</f>
        <v>121</v>
      </c>
      <c r="Y56" s="136"/>
    </row>
    <row r="57">
      <c r="A57" s="103"/>
      <c r="B57" s="190"/>
      <c r="C57" s="27">
        <f t="shared" ref="C57:H57" si="82">sum(C56)</f>
        <v>144</v>
      </c>
      <c r="D57" s="27">
        <f t="shared" si="82"/>
        <v>0</v>
      </c>
      <c r="E57" s="27">
        <f t="shared" si="82"/>
        <v>144</v>
      </c>
      <c r="F57" s="27">
        <f t="shared" si="82"/>
        <v>49</v>
      </c>
      <c r="G57" s="27">
        <f t="shared" si="82"/>
        <v>61</v>
      </c>
      <c r="H57" s="27">
        <f t="shared" si="82"/>
        <v>0</v>
      </c>
      <c r="I57" s="27"/>
      <c r="J57" s="27">
        <f t="shared" ref="J57:O57" si="83">sum(J56)</f>
        <v>61</v>
      </c>
      <c r="K57" s="27">
        <f t="shared" si="83"/>
        <v>40</v>
      </c>
      <c r="L57" s="27">
        <f t="shared" si="83"/>
        <v>49</v>
      </c>
      <c r="M57" s="27">
        <f t="shared" si="83"/>
        <v>0</v>
      </c>
      <c r="N57" s="27">
        <f t="shared" si="83"/>
        <v>49</v>
      </c>
      <c r="O57" s="27">
        <f t="shared" si="83"/>
        <v>32</v>
      </c>
      <c r="P57" s="32"/>
      <c r="Q57" s="99" t="str">
        <f t="shared" si="76"/>
        <v/>
      </c>
      <c r="R57" s="27">
        <f t="shared" ref="R57:U57" si="84">sum(R56)</f>
        <v>254</v>
      </c>
      <c r="S57" s="27">
        <f t="shared" si="84"/>
        <v>0</v>
      </c>
      <c r="T57" s="27">
        <f t="shared" si="84"/>
        <v>254</v>
      </c>
      <c r="U57" s="104">
        <f t="shared" si="84"/>
        <v>121</v>
      </c>
      <c r="X57" s="157">
        <v>46022.0</v>
      </c>
      <c r="Y57" s="149" t="s">
        <v>77</v>
      </c>
    </row>
    <row r="58">
      <c r="A58" s="103"/>
      <c r="B58" s="190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99" t="str">
        <f t="shared" si="76"/>
        <v/>
      </c>
      <c r="R58" s="32"/>
      <c r="S58" s="32"/>
      <c r="T58" s="32"/>
      <c r="U58" s="107"/>
    </row>
    <row r="59">
      <c r="A59" s="13"/>
      <c r="B59" s="136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107"/>
    </row>
    <row r="60">
      <c r="A60" s="108" t="s">
        <v>8</v>
      </c>
      <c r="B60" s="205"/>
      <c r="C60" s="35">
        <f t="shared" ref="C60:H60" si="85">C57+C55+C53</f>
        <v>285</v>
      </c>
      <c r="D60" s="35">
        <f t="shared" si="85"/>
        <v>0</v>
      </c>
      <c r="E60" s="35">
        <f t="shared" si="85"/>
        <v>285</v>
      </c>
      <c r="F60" s="35">
        <f t="shared" si="85"/>
        <v>251</v>
      </c>
      <c r="G60" s="35">
        <f t="shared" si="85"/>
        <v>266</v>
      </c>
      <c r="H60" s="35">
        <f t="shared" si="85"/>
        <v>0</v>
      </c>
      <c r="I60" s="35"/>
      <c r="J60" s="35">
        <f t="shared" ref="J60:O60" si="86">J57+J55+J53</f>
        <v>266</v>
      </c>
      <c r="K60" s="35">
        <f t="shared" si="86"/>
        <v>224</v>
      </c>
      <c r="L60" s="35">
        <f t="shared" si="86"/>
        <v>265</v>
      </c>
      <c r="M60" s="35">
        <f t="shared" si="86"/>
        <v>0</v>
      </c>
      <c r="N60" s="35">
        <f t="shared" si="86"/>
        <v>251</v>
      </c>
      <c r="O60" s="35">
        <f t="shared" si="86"/>
        <v>200</v>
      </c>
      <c r="P60" s="109"/>
      <c r="Q60" s="109"/>
      <c r="R60" s="35">
        <f t="shared" ref="R60:U60" si="87">R57+R55+R53</f>
        <v>816</v>
      </c>
      <c r="S60" s="35">
        <f t="shared" si="87"/>
        <v>0</v>
      </c>
      <c r="T60" s="35">
        <f t="shared" si="87"/>
        <v>816</v>
      </c>
      <c r="U60" s="37">
        <f t="shared" si="87"/>
        <v>675</v>
      </c>
    </row>
    <row r="62">
      <c r="A62" s="189" t="s">
        <v>58</v>
      </c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2"/>
      <c r="P62" s="110" t="s">
        <v>29</v>
      </c>
      <c r="Q62" s="111" t="s">
        <v>30</v>
      </c>
      <c r="R62" s="110"/>
      <c r="S62" s="111"/>
    </row>
    <row r="63">
      <c r="A63" s="133"/>
      <c r="B63" s="190" t="str">
        <f>C50</f>
        <v>OCT</v>
      </c>
      <c r="E63" s="190"/>
      <c r="F63" s="178" t="str">
        <f>G50</f>
        <v>NOV</v>
      </c>
      <c r="I63" s="178"/>
      <c r="J63" s="178" t="str">
        <f>L50</f>
        <v>DEC</v>
      </c>
      <c r="M63" s="178"/>
      <c r="N63" s="178" t="s">
        <v>8</v>
      </c>
      <c r="O63" s="191"/>
      <c r="P63" s="136"/>
      <c r="Q63" s="136"/>
    </row>
    <row r="64">
      <c r="A64" s="139"/>
      <c r="B64" s="179" t="s">
        <v>7</v>
      </c>
      <c r="C64" s="179" t="s">
        <v>34</v>
      </c>
      <c r="D64" s="179" t="s">
        <v>38</v>
      </c>
      <c r="E64" s="179"/>
      <c r="F64" s="179" t="s">
        <v>34</v>
      </c>
      <c r="G64" s="179" t="s">
        <v>38</v>
      </c>
      <c r="H64" s="179"/>
      <c r="I64" s="179"/>
      <c r="J64" s="179" t="s">
        <v>34</v>
      </c>
      <c r="K64" s="179" t="s">
        <v>38</v>
      </c>
      <c r="L64" s="179"/>
      <c r="M64" s="179" t="s">
        <v>7</v>
      </c>
      <c r="N64" s="179" t="s">
        <v>34</v>
      </c>
      <c r="O64" s="181" t="s">
        <v>38</v>
      </c>
      <c r="Q64" s="136"/>
    </row>
    <row r="65">
      <c r="A65" s="144" t="s">
        <v>14</v>
      </c>
      <c r="B65" s="194"/>
      <c r="C65" s="17">
        <v>69.0</v>
      </c>
      <c r="D65" s="97">
        <v>48.0</v>
      </c>
      <c r="E65" s="116">
        <f t="shared" ref="E65:E78" si="89">C65/D65</f>
        <v>1.4375</v>
      </c>
      <c r="F65" s="17">
        <v>49.0</v>
      </c>
      <c r="G65" s="97">
        <v>45.0</v>
      </c>
      <c r="H65" s="116">
        <f t="shared" ref="H65:H78" si="90">F65/G65</f>
        <v>1.088888889</v>
      </c>
      <c r="I65" s="17"/>
      <c r="J65" s="17">
        <v>23.0</v>
      </c>
      <c r="K65" s="97">
        <v>32.0</v>
      </c>
      <c r="L65" s="116">
        <f t="shared" ref="L65:L78" si="91">J65/K65</f>
        <v>0.71875</v>
      </c>
      <c r="M65" s="99" t="str">
        <f t="shared" ref="M65:M68" si="92">B65</f>
        <v/>
      </c>
      <c r="N65" s="31">
        <f t="shared" ref="N65:O65" si="88">J65+F65+C65</f>
        <v>141</v>
      </c>
      <c r="O65" s="100">
        <f t="shared" si="88"/>
        <v>125</v>
      </c>
      <c r="P65" s="206"/>
      <c r="Q65" s="149" t="s">
        <v>75</v>
      </c>
    </row>
    <row r="66">
      <c r="A66" s="144" t="s">
        <v>15</v>
      </c>
      <c r="B66" s="194"/>
      <c r="C66" s="17">
        <v>47.0</v>
      </c>
      <c r="D66" s="97">
        <v>47.0</v>
      </c>
      <c r="E66" s="116">
        <f t="shared" si="89"/>
        <v>1</v>
      </c>
      <c r="F66" s="17">
        <v>36.0</v>
      </c>
      <c r="G66" s="97">
        <v>43.0</v>
      </c>
      <c r="H66" s="116">
        <f t="shared" si="90"/>
        <v>0.8372093023</v>
      </c>
      <c r="I66" s="17"/>
      <c r="J66" s="17">
        <v>29.0</v>
      </c>
      <c r="K66" s="97">
        <v>31.0</v>
      </c>
      <c r="L66" s="116">
        <f t="shared" si="91"/>
        <v>0.935483871</v>
      </c>
      <c r="M66" s="99" t="str">
        <f t="shared" si="92"/>
        <v/>
      </c>
      <c r="N66" s="31">
        <f t="shared" ref="N66:O66" si="93">J66+F66+C66</f>
        <v>112</v>
      </c>
      <c r="O66" s="100">
        <f t="shared" si="93"/>
        <v>121</v>
      </c>
      <c r="P66" s="206"/>
      <c r="Q66" s="149" t="s">
        <v>75</v>
      </c>
    </row>
    <row r="67">
      <c r="A67" s="144" t="s">
        <v>16</v>
      </c>
      <c r="B67" s="194"/>
      <c r="C67" s="17">
        <v>46.0</v>
      </c>
      <c r="D67" s="97">
        <v>59.0</v>
      </c>
      <c r="E67" s="116">
        <f t="shared" si="89"/>
        <v>0.7796610169</v>
      </c>
      <c r="F67" s="17">
        <v>40.0</v>
      </c>
      <c r="G67" s="97">
        <v>54.0</v>
      </c>
      <c r="H67" s="116">
        <f t="shared" si="90"/>
        <v>0.7407407407</v>
      </c>
      <c r="I67" s="17"/>
      <c r="J67" s="17">
        <v>23.0</v>
      </c>
      <c r="K67" s="97">
        <v>39.0</v>
      </c>
      <c r="L67" s="116">
        <f t="shared" si="91"/>
        <v>0.5897435897</v>
      </c>
      <c r="M67" s="99" t="str">
        <f t="shared" si="92"/>
        <v/>
      </c>
      <c r="N67" s="31">
        <f t="shared" ref="N67:O67" si="94">J67+F67+C67</f>
        <v>109</v>
      </c>
      <c r="O67" s="100">
        <f t="shared" si="94"/>
        <v>152</v>
      </c>
      <c r="P67" s="157">
        <v>46024.0</v>
      </c>
      <c r="Q67" s="149" t="s">
        <v>75</v>
      </c>
    </row>
    <row r="68">
      <c r="A68" s="144" t="s">
        <v>46</v>
      </c>
      <c r="B68" s="194"/>
      <c r="C68" s="25">
        <v>64.0</v>
      </c>
      <c r="D68" s="97">
        <v>62.0</v>
      </c>
      <c r="E68" s="116">
        <f t="shared" si="89"/>
        <v>1.032258065</v>
      </c>
      <c r="F68" s="17">
        <v>50.0</v>
      </c>
      <c r="G68" s="97">
        <v>57.0</v>
      </c>
      <c r="H68" s="116">
        <f t="shared" si="90"/>
        <v>0.8771929825</v>
      </c>
      <c r="I68" s="17"/>
      <c r="J68" s="17">
        <v>32.0</v>
      </c>
      <c r="K68" s="97">
        <v>40.0</v>
      </c>
      <c r="L68" s="116">
        <f t="shared" si="91"/>
        <v>0.8</v>
      </c>
      <c r="M68" s="99" t="str">
        <f t="shared" si="92"/>
        <v/>
      </c>
      <c r="N68" s="31">
        <f t="shared" ref="N68:O68" si="95">J68+F68+C68</f>
        <v>146</v>
      </c>
      <c r="O68" s="100">
        <f t="shared" si="95"/>
        <v>159</v>
      </c>
      <c r="P68" s="206">
        <v>46024.0</v>
      </c>
      <c r="Q68" s="149" t="s">
        <v>75</v>
      </c>
    </row>
    <row r="69">
      <c r="A69" s="153" t="s">
        <v>17</v>
      </c>
      <c r="B69" s="27">
        <f t="shared" ref="B69:D69" si="96">sum(B65:B68)</f>
        <v>0</v>
      </c>
      <c r="C69" s="27">
        <f t="shared" si="96"/>
        <v>226</v>
      </c>
      <c r="D69" s="27">
        <f t="shared" si="96"/>
        <v>216</v>
      </c>
      <c r="E69" s="116">
        <f t="shared" si="89"/>
        <v>1.046296296</v>
      </c>
      <c r="F69" s="27">
        <f t="shared" ref="F69:G69" si="97">sum(F65:F68)</f>
        <v>175</v>
      </c>
      <c r="G69" s="27">
        <f t="shared" si="97"/>
        <v>199</v>
      </c>
      <c r="H69" s="116">
        <f t="shared" si="90"/>
        <v>0.8793969849</v>
      </c>
      <c r="I69" s="117"/>
      <c r="J69" s="27">
        <f t="shared" ref="J69:K69" si="98">sum(J65:J68)</f>
        <v>107</v>
      </c>
      <c r="K69" s="27">
        <f t="shared" si="98"/>
        <v>142</v>
      </c>
      <c r="L69" s="116">
        <f t="shared" si="91"/>
        <v>0.7535211268</v>
      </c>
      <c r="M69" s="27">
        <f t="shared" ref="M69:O69" si="99">sum(M65:M68)</f>
        <v>0</v>
      </c>
      <c r="N69" s="27">
        <f t="shared" si="99"/>
        <v>508</v>
      </c>
      <c r="O69" s="104">
        <f t="shared" si="99"/>
        <v>557</v>
      </c>
      <c r="Q69" s="136"/>
    </row>
    <row r="70">
      <c r="A70" s="144" t="s">
        <v>20</v>
      </c>
      <c r="B70" s="194"/>
      <c r="C70" s="31">
        <v>43.0</v>
      </c>
      <c r="D70" s="97">
        <v>44.0</v>
      </c>
      <c r="E70" s="116">
        <f t="shared" si="89"/>
        <v>0.9772727273</v>
      </c>
      <c r="F70" s="17">
        <v>42.0</v>
      </c>
      <c r="G70" s="97">
        <v>41.0</v>
      </c>
      <c r="H70" s="116">
        <f t="shared" si="90"/>
        <v>1.024390244</v>
      </c>
      <c r="I70" s="17"/>
      <c r="J70" s="17">
        <v>28.0</v>
      </c>
      <c r="K70" s="97">
        <v>28.0</v>
      </c>
      <c r="L70" s="116">
        <f t="shared" si="91"/>
        <v>1</v>
      </c>
      <c r="M70" s="99" t="str">
        <f t="shared" ref="M70:M73" si="101">B70</f>
        <v/>
      </c>
      <c r="N70" s="31">
        <f t="shared" ref="N70:O70" si="100">J70+F70+C70</f>
        <v>113</v>
      </c>
      <c r="O70" s="100">
        <f t="shared" si="100"/>
        <v>113</v>
      </c>
      <c r="P70" s="157">
        <v>46020.0</v>
      </c>
      <c r="Q70" s="149" t="s">
        <v>48</v>
      </c>
    </row>
    <row r="71">
      <c r="A71" s="144" t="s">
        <v>19</v>
      </c>
      <c r="B71" s="194"/>
      <c r="C71" s="31">
        <v>36.0</v>
      </c>
      <c r="D71" s="97">
        <v>51.0</v>
      </c>
      <c r="E71" s="116">
        <f t="shared" si="89"/>
        <v>0.7058823529</v>
      </c>
      <c r="F71" s="17">
        <v>27.0</v>
      </c>
      <c r="G71" s="97">
        <v>47.0</v>
      </c>
      <c r="H71" s="116">
        <f t="shared" si="90"/>
        <v>0.5744680851</v>
      </c>
      <c r="I71" s="17"/>
      <c r="J71" s="17">
        <v>31.0</v>
      </c>
      <c r="K71" s="97">
        <v>33.0</v>
      </c>
      <c r="L71" s="116">
        <f t="shared" si="91"/>
        <v>0.9393939394</v>
      </c>
      <c r="M71" s="99" t="str">
        <f t="shared" si="101"/>
        <v/>
      </c>
      <c r="N71" s="31">
        <f t="shared" ref="N71:O71" si="102">J71+F71+C71</f>
        <v>94</v>
      </c>
      <c r="O71" s="100">
        <f t="shared" si="102"/>
        <v>131</v>
      </c>
      <c r="P71" s="157">
        <v>46020.0</v>
      </c>
      <c r="Q71" s="149" t="s">
        <v>48</v>
      </c>
    </row>
    <row r="72">
      <c r="A72" s="144" t="s">
        <v>18</v>
      </c>
      <c r="B72" s="194"/>
      <c r="C72" s="31">
        <v>44.0</v>
      </c>
      <c r="D72" s="97">
        <v>41.0</v>
      </c>
      <c r="E72" s="116">
        <f t="shared" si="89"/>
        <v>1.073170732</v>
      </c>
      <c r="F72" s="17">
        <v>27.0</v>
      </c>
      <c r="G72" s="97">
        <v>38.0</v>
      </c>
      <c r="H72" s="116">
        <f t="shared" si="90"/>
        <v>0.7105263158</v>
      </c>
      <c r="I72" s="17"/>
      <c r="J72" s="17">
        <v>28.0</v>
      </c>
      <c r="K72" s="97">
        <v>25.0</v>
      </c>
      <c r="L72" s="116">
        <f t="shared" si="91"/>
        <v>1.12</v>
      </c>
      <c r="M72" s="99" t="str">
        <f t="shared" si="101"/>
        <v/>
      </c>
      <c r="N72" s="31">
        <f t="shared" ref="N72:O72" si="103">J72+F72+C72</f>
        <v>99</v>
      </c>
      <c r="O72" s="100">
        <f t="shared" si="103"/>
        <v>104</v>
      </c>
      <c r="P72" s="157">
        <v>46020.0</v>
      </c>
      <c r="Q72" s="149" t="s">
        <v>48</v>
      </c>
    </row>
    <row r="73">
      <c r="A73" s="144" t="s">
        <v>21</v>
      </c>
      <c r="B73" s="194"/>
      <c r="C73" s="31">
        <v>88.0</v>
      </c>
      <c r="D73" s="97">
        <v>94.0</v>
      </c>
      <c r="E73" s="116">
        <f t="shared" si="89"/>
        <v>0.9361702128</v>
      </c>
      <c r="F73" s="17">
        <v>63.0</v>
      </c>
      <c r="G73" s="97">
        <v>86.0</v>
      </c>
      <c r="H73" s="116">
        <f t="shared" si="90"/>
        <v>0.7325581395</v>
      </c>
      <c r="I73" s="17"/>
      <c r="J73" s="17">
        <v>54.0</v>
      </c>
      <c r="K73" s="97">
        <v>60.0</v>
      </c>
      <c r="L73" s="116">
        <f t="shared" si="91"/>
        <v>0.9</v>
      </c>
      <c r="M73" s="99" t="str">
        <f t="shared" si="101"/>
        <v/>
      </c>
      <c r="N73" s="31">
        <f t="shared" ref="N73:O73" si="104">J73+F73+C73</f>
        <v>205</v>
      </c>
      <c r="O73" s="100">
        <f t="shared" si="104"/>
        <v>240</v>
      </c>
      <c r="P73" s="157">
        <v>46020.0</v>
      </c>
      <c r="Q73" s="149" t="s">
        <v>48</v>
      </c>
    </row>
    <row r="74">
      <c r="A74" s="153" t="s">
        <v>22</v>
      </c>
      <c r="B74" s="27">
        <f t="shared" ref="B74:D74" si="105">sum(B70:B73)</f>
        <v>0</v>
      </c>
      <c r="C74" s="27">
        <f t="shared" si="105"/>
        <v>211</v>
      </c>
      <c r="D74" s="27">
        <f t="shared" si="105"/>
        <v>230</v>
      </c>
      <c r="E74" s="116">
        <f t="shared" si="89"/>
        <v>0.9173913043</v>
      </c>
      <c r="F74" s="27">
        <f t="shared" ref="F74:G74" si="106">sum(F70:F73)</f>
        <v>159</v>
      </c>
      <c r="G74" s="27">
        <f t="shared" si="106"/>
        <v>212</v>
      </c>
      <c r="H74" s="116">
        <f t="shared" si="90"/>
        <v>0.75</v>
      </c>
      <c r="I74" s="117"/>
      <c r="J74" s="27">
        <f t="shared" ref="J74:K74" si="107">sum(J70:J73)</f>
        <v>141</v>
      </c>
      <c r="K74" s="27">
        <f t="shared" si="107"/>
        <v>146</v>
      </c>
      <c r="L74" s="116">
        <f t="shared" si="91"/>
        <v>0.9657534247</v>
      </c>
      <c r="M74" s="27">
        <f t="shared" ref="M74:O74" si="108">sum(M70:M73)</f>
        <v>0</v>
      </c>
      <c r="N74" s="27">
        <f t="shared" si="108"/>
        <v>511</v>
      </c>
      <c r="O74" s="104">
        <f t="shared" si="108"/>
        <v>588</v>
      </c>
      <c r="Q74" s="136"/>
    </row>
    <row r="75">
      <c r="A75" s="144" t="s">
        <v>23</v>
      </c>
      <c r="B75" s="194"/>
      <c r="C75" s="31">
        <v>33.0</v>
      </c>
      <c r="D75" s="97">
        <v>38.0</v>
      </c>
      <c r="E75" s="116">
        <f t="shared" si="89"/>
        <v>0.8684210526</v>
      </c>
      <c r="F75" s="17">
        <v>25.0</v>
      </c>
      <c r="G75" s="97">
        <v>35.0</v>
      </c>
      <c r="H75" s="116">
        <f t="shared" si="90"/>
        <v>0.7142857143</v>
      </c>
      <c r="I75" s="17"/>
      <c r="J75" s="17">
        <v>23.0</v>
      </c>
      <c r="K75" s="97">
        <v>25.0</v>
      </c>
      <c r="L75" s="116">
        <f t="shared" si="91"/>
        <v>0.92</v>
      </c>
      <c r="M75" s="99" t="str">
        <f t="shared" ref="M75:M77" si="110">B75</f>
        <v/>
      </c>
      <c r="N75" s="31">
        <f t="shared" ref="N75:O75" si="109">J75+F75+C75</f>
        <v>81</v>
      </c>
      <c r="O75" s="100">
        <f t="shared" si="109"/>
        <v>98</v>
      </c>
      <c r="P75" s="157">
        <v>46020.0</v>
      </c>
      <c r="Q75" s="149" t="s">
        <v>77</v>
      </c>
    </row>
    <row r="76">
      <c r="A76" s="144" t="s">
        <v>24</v>
      </c>
      <c r="B76" s="194"/>
      <c r="C76" s="31">
        <v>39.0</v>
      </c>
      <c r="D76" s="97">
        <v>51.0</v>
      </c>
      <c r="E76" s="116">
        <f t="shared" si="89"/>
        <v>0.7647058824</v>
      </c>
      <c r="F76" s="17">
        <v>27.0</v>
      </c>
      <c r="G76" s="97">
        <v>47.0</v>
      </c>
      <c r="H76" s="116">
        <f t="shared" si="90"/>
        <v>0.5744680851</v>
      </c>
      <c r="I76" s="17"/>
      <c r="J76" s="17">
        <v>23.0</v>
      </c>
      <c r="K76" s="97">
        <v>33.0</v>
      </c>
      <c r="L76" s="116">
        <f t="shared" si="91"/>
        <v>0.696969697</v>
      </c>
      <c r="M76" s="99" t="str">
        <f t="shared" si="110"/>
        <v/>
      </c>
      <c r="N76" s="31">
        <f t="shared" ref="N76:O76" si="111">J76+F76+C76</f>
        <v>89</v>
      </c>
      <c r="O76" s="100">
        <f t="shared" si="111"/>
        <v>131</v>
      </c>
      <c r="P76" s="157">
        <v>46020.0</v>
      </c>
      <c r="Q76" s="149" t="s">
        <v>77</v>
      </c>
    </row>
    <row r="77">
      <c r="A77" s="144" t="s">
        <v>25</v>
      </c>
      <c r="B77" s="194"/>
      <c r="C77" s="31">
        <v>24.0</v>
      </c>
      <c r="D77" s="97">
        <v>23.0</v>
      </c>
      <c r="E77" s="116">
        <f t="shared" si="89"/>
        <v>1.043478261</v>
      </c>
      <c r="F77" s="17">
        <v>11.0</v>
      </c>
      <c r="G77" s="97">
        <v>21.0</v>
      </c>
      <c r="H77" s="116">
        <f t="shared" si="90"/>
        <v>0.5238095238</v>
      </c>
      <c r="I77" s="17"/>
      <c r="J77" s="17">
        <v>7.0</v>
      </c>
      <c r="K77" s="97">
        <v>15.0</v>
      </c>
      <c r="L77" s="116">
        <f t="shared" si="91"/>
        <v>0.4666666667</v>
      </c>
      <c r="M77" s="99" t="str">
        <f t="shared" si="110"/>
        <v/>
      </c>
      <c r="N77" s="31">
        <f t="shared" ref="N77:O77" si="112">J77+F77+C77</f>
        <v>42</v>
      </c>
      <c r="O77" s="100">
        <f t="shared" si="112"/>
        <v>59</v>
      </c>
      <c r="P77" s="157">
        <v>46020.0</v>
      </c>
      <c r="Q77" s="149" t="s">
        <v>77</v>
      </c>
    </row>
    <row r="78">
      <c r="A78" s="153" t="s">
        <v>26</v>
      </c>
      <c r="B78" s="27">
        <f t="shared" ref="B78:D78" si="113">sum(B75:B77)</f>
        <v>0</v>
      </c>
      <c r="C78" s="27">
        <f t="shared" si="113"/>
        <v>96</v>
      </c>
      <c r="D78" s="27">
        <f t="shared" si="113"/>
        <v>112</v>
      </c>
      <c r="E78" s="116">
        <f t="shared" si="89"/>
        <v>0.8571428571</v>
      </c>
      <c r="F78" s="27">
        <f t="shared" ref="F78:G78" si="114">sum(F75:F77)</f>
        <v>63</v>
      </c>
      <c r="G78" s="27">
        <f t="shared" si="114"/>
        <v>103</v>
      </c>
      <c r="H78" s="116">
        <f t="shared" si="90"/>
        <v>0.6116504854</v>
      </c>
      <c r="I78" s="117"/>
      <c r="J78" s="27">
        <f t="shared" ref="J78:K78" si="115">sum(J75:J77)</f>
        <v>53</v>
      </c>
      <c r="K78" s="27">
        <f t="shared" si="115"/>
        <v>73</v>
      </c>
      <c r="L78" s="116">
        <f t="shared" si="91"/>
        <v>0.7260273973</v>
      </c>
      <c r="M78" s="27">
        <f t="shared" ref="M78:O78" si="116">sum(M75:M77)</f>
        <v>0</v>
      </c>
      <c r="N78" s="27">
        <f t="shared" si="116"/>
        <v>212</v>
      </c>
      <c r="O78" s="104">
        <f t="shared" si="116"/>
        <v>288</v>
      </c>
      <c r="Q78" s="136"/>
    </row>
    <row r="79">
      <c r="A79" s="153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107"/>
      <c r="Q79" s="136"/>
    </row>
    <row r="80">
      <c r="A80" s="161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107"/>
    </row>
    <row r="81">
      <c r="A81" s="162" t="s">
        <v>8</v>
      </c>
      <c r="B81" s="163">
        <f t="shared" ref="B81:D81" si="117">B78+B74+B69</f>
        <v>0</v>
      </c>
      <c r="C81" s="163">
        <f t="shared" si="117"/>
        <v>533</v>
      </c>
      <c r="D81" s="163">
        <f t="shared" si="117"/>
        <v>558</v>
      </c>
      <c r="E81" s="164">
        <f>C81/D81</f>
        <v>0.9551971326</v>
      </c>
      <c r="F81" s="163">
        <f t="shared" ref="F81:G81" si="118">F78+F74+F69</f>
        <v>397</v>
      </c>
      <c r="G81" s="163">
        <f t="shared" si="118"/>
        <v>514</v>
      </c>
      <c r="H81" s="164">
        <f>F81/G81</f>
        <v>0.7723735409</v>
      </c>
      <c r="I81" s="193"/>
      <c r="J81" s="163">
        <f t="shared" ref="J81:K81" si="119">J78+J74+J69</f>
        <v>301</v>
      </c>
      <c r="K81" s="163">
        <f t="shared" si="119"/>
        <v>361</v>
      </c>
      <c r="L81" s="164">
        <f>J81/K81</f>
        <v>0.8337950139</v>
      </c>
      <c r="M81" s="163">
        <f t="shared" ref="M81:O81" si="120">M78+M74+M69</f>
        <v>0</v>
      </c>
      <c r="N81" s="163">
        <f t="shared" si="120"/>
        <v>1231</v>
      </c>
      <c r="O81" s="165">
        <f t="shared" si="120"/>
        <v>1433</v>
      </c>
    </row>
  </sheetData>
  <mergeCells count="16">
    <mergeCell ref="A3:Y3"/>
    <mergeCell ref="C4:F4"/>
    <mergeCell ref="H4:L4"/>
    <mergeCell ref="N4:S4"/>
    <mergeCell ref="V4:Y4"/>
    <mergeCell ref="A25:G25"/>
    <mergeCell ref="L26:P26"/>
    <mergeCell ref="F63:H63"/>
    <mergeCell ref="J63:L63"/>
    <mergeCell ref="A49:U49"/>
    <mergeCell ref="C50:F50"/>
    <mergeCell ref="G50:K50"/>
    <mergeCell ref="L50:O50"/>
    <mergeCell ref="R50:U50"/>
    <mergeCell ref="A62:O62"/>
    <mergeCell ref="B63:D6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13"/>
    <col customWidth="1" min="3" max="3" width="9.0"/>
    <col customWidth="1" min="4" max="4" width="8.88"/>
    <col customWidth="1" min="5" max="5" width="7.13"/>
    <col customWidth="1" min="6" max="8" width="8.13"/>
    <col customWidth="1" min="9" max="10" width="11.38"/>
    <col customWidth="1" min="11" max="11" width="11.0"/>
    <col customWidth="1" min="12" max="13" width="8.5"/>
    <col customWidth="1" min="14" max="14" width="9.38"/>
    <col customWidth="1" min="15" max="17" width="9.75"/>
    <col customWidth="1" min="18" max="18" width="9.25"/>
    <col customWidth="1" min="19" max="19" width="9.88"/>
    <col customWidth="1" min="20" max="20" width="9.38"/>
    <col customWidth="1" min="21" max="21" width="7.13"/>
    <col customWidth="1" min="22" max="22" width="10.13"/>
    <col customWidth="1" min="23" max="23" width="9.0"/>
    <col customWidth="1" min="24" max="24" width="11.38"/>
    <col customWidth="1" min="25" max="25" width="5.88"/>
    <col customWidth="1" min="26" max="26" width="7.13"/>
    <col customWidth="1" min="27" max="27" width="9.88"/>
    <col customWidth="1" hidden="1" min="28" max="28" width="9.88"/>
    <col customWidth="1" hidden="1" min="29" max="29" width="7.75"/>
    <col customWidth="1" min="34" max="36" width="8.75"/>
    <col customWidth="1" min="37" max="37" width="10.5"/>
    <col customWidth="1" min="38" max="52" width="8.75"/>
  </cols>
  <sheetData>
    <row r="1">
      <c r="A1" s="124" t="s">
        <v>63</v>
      </c>
      <c r="AE1" s="40"/>
    </row>
    <row r="3">
      <c r="A3" s="177" t="s">
        <v>28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  <c r="Z3" s="128"/>
      <c r="AA3" s="129"/>
      <c r="AB3" s="129"/>
      <c r="AC3" s="130"/>
      <c r="AD3" s="131"/>
      <c r="AE3" s="110" t="s">
        <v>29</v>
      </c>
      <c r="AF3" s="111" t="s">
        <v>30</v>
      </c>
    </row>
    <row r="4">
      <c r="A4" s="133"/>
      <c r="B4" s="190"/>
      <c r="C4" s="89" t="s">
        <v>79</v>
      </c>
      <c r="D4" s="90"/>
      <c r="E4" s="90"/>
      <c r="F4" s="90"/>
      <c r="G4" s="91"/>
      <c r="H4" s="91" t="s">
        <v>80</v>
      </c>
      <c r="I4" s="90"/>
      <c r="J4" s="90"/>
      <c r="K4" s="90"/>
      <c r="L4" s="90"/>
      <c r="M4" s="91"/>
      <c r="N4" s="91" t="s">
        <v>81</v>
      </c>
      <c r="O4" s="90"/>
      <c r="P4" s="90"/>
      <c r="Q4" s="90"/>
      <c r="R4" s="90"/>
      <c r="S4" s="90"/>
      <c r="T4" s="136"/>
      <c r="U4" s="178"/>
      <c r="V4" s="91" t="s">
        <v>8</v>
      </c>
      <c r="W4" s="90"/>
      <c r="X4" s="90"/>
      <c r="Y4" s="92"/>
      <c r="Z4" s="9"/>
      <c r="AA4" s="9"/>
      <c r="AB4" s="9"/>
      <c r="AD4" s="138"/>
      <c r="AF4" s="136"/>
    </row>
    <row r="5">
      <c r="A5" s="139"/>
      <c r="B5" s="179" t="s">
        <v>7</v>
      </c>
      <c r="C5" s="179" t="s">
        <v>34</v>
      </c>
      <c r="D5" s="179" t="s">
        <v>36</v>
      </c>
      <c r="E5" s="179" t="s">
        <v>37</v>
      </c>
      <c r="F5" s="179" t="s">
        <v>38</v>
      </c>
      <c r="G5" s="179"/>
      <c r="H5" s="179" t="s">
        <v>34</v>
      </c>
      <c r="I5" s="180" t="s">
        <v>35</v>
      </c>
      <c r="J5" s="179" t="s">
        <v>36</v>
      </c>
      <c r="K5" s="179" t="s">
        <v>37</v>
      </c>
      <c r="L5" s="179" t="s">
        <v>38</v>
      </c>
      <c r="M5" s="179"/>
      <c r="N5" s="179" t="s">
        <v>34</v>
      </c>
      <c r="O5" s="180" t="s">
        <v>35</v>
      </c>
      <c r="P5" s="179" t="s">
        <v>82</v>
      </c>
      <c r="Q5" s="179" t="s">
        <v>36</v>
      </c>
      <c r="R5" s="179" t="s">
        <v>37</v>
      </c>
      <c r="S5" s="179" t="s">
        <v>38</v>
      </c>
      <c r="T5" s="179"/>
      <c r="U5" s="179" t="s">
        <v>7</v>
      </c>
      <c r="V5" s="179" t="s">
        <v>34</v>
      </c>
      <c r="W5" s="179" t="s">
        <v>36</v>
      </c>
      <c r="X5" s="179" t="s">
        <v>37</v>
      </c>
      <c r="Y5" s="181" t="s">
        <v>38</v>
      </c>
      <c r="Z5" s="182" t="s">
        <v>39</v>
      </c>
      <c r="AA5" s="142" t="s">
        <v>40</v>
      </c>
      <c r="AB5" s="142" t="s">
        <v>41</v>
      </c>
      <c r="AC5" s="8" t="s">
        <v>9</v>
      </c>
      <c r="AD5" s="143" t="s">
        <v>42</v>
      </c>
      <c r="AF5" s="136"/>
    </row>
    <row r="6">
      <c r="A6" s="144" t="s">
        <v>14</v>
      </c>
      <c r="B6" s="194"/>
      <c r="C6" s="17">
        <v>24.0</v>
      </c>
      <c r="D6" s="17"/>
      <c r="E6" s="96">
        <f t="shared" ref="E6:E9" si="1">SUM(C6:D6)</f>
        <v>24</v>
      </c>
      <c r="F6" s="97">
        <v>31.0</v>
      </c>
      <c r="G6" s="116">
        <f t="shared" ref="G6:G19" si="2">E6/F6</f>
        <v>0.7741935484</v>
      </c>
      <c r="H6" s="17">
        <v>26.0</v>
      </c>
      <c r="I6" s="17">
        <v>4.0</v>
      </c>
      <c r="J6" s="17"/>
      <c r="K6" s="96">
        <f t="shared" ref="K6:K9" si="3">SUM(H6:J6)</f>
        <v>30</v>
      </c>
      <c r="L6" s="97">
        <v>29.0</v>
      </c>
      <c r="M6" s="116">
        <f t="shared" ref="M6:M19" si="4">K6/L6</f>
        <v>1.034482759</v>
      </c>
      <c r="N6" s="17">
        <v>21.0</v>
      </c>
      <c r="O6" s="17">
        <v>2.0</v>
      </c>
      <c r="P6" s="17"/>
      <c r="Q6" s="17"/>
      <c r="R6" s="96">
        <f t="shared" ref="R6:R9" si="5">SUM(N6:Q6)</f>
        <v>23</v>
      </c>
      <c r="S6" s="97">
        <v>30.0</v>
      </c>
      <c r="T6" s="116">
        <f t="shared" ref="T6:T19" si="6">R6/S6</f>
        <v>0.7666666667</v>
      </c>
      <c r="U6" s="99"/>
      <c r="V6" s="31">
        <f t="shared" ref="V6:V9" si="7">N6+H6+C6+O6+P6+I6</f>
        <v>77</v>
      </c>
      <c r="W6" s="31">
        <f t="shared" ref="W6:W9" si="8">Q6+J6+D6</f>
        <v>0</v>
      </c>
      <c r="X6" s="96">
        <f t="shared" ref="X6:X9" si="9">sum(U6:W6)</f>
        <v>77</v>
      </c>
      <c r="Y6" s="100">
        <f t="shared" ref="Y6:Y9" si="10">S6+L6+F6</f>
        <v>90</v>
      </c>
      <c r="Z6" s="146">
        <f t="shared" ref="Z6:Z9" si="11">Y6-X6</f>
        <v>13</v>
      </c>
      <c r="AA6" s="16">
        <f t="shared" ref="AA6:AA19" si="12">round(Z6/$AA$26*7,0)</f>
        <v>0</v>
      </c>
      <c r="AB6" s="16">
        <f t="shared" ref="AB6:AB9" si="13">W6+V6</f>
        <v>77</v>
      </c>
      <c r="AC6" s="31">
        <f t="shared" ref="AC6:AC9" si="14">Y6</f>
        <v>90</v>
      </c>
      <c r="AD6" s="147">
        <f t="shared" ref="AD6:AD9" si="15">(V6+W6)/Y6</f>
        <v>0.8555555556</v>
      </c>
      <c r="AE6" s="148">
        <v>46024.0</v>
      </c>
      <c r="AF6" s="149" t="s">
        <v>75</v>
      </c>
      <c r="AT6" s="136"/>
      <c r="AU6" s="136"/>
      <c r="AV6" s="136"/>
      <c r="AW6" s="136"/>
      <c r="AX6" s="136"/>
      <c r="AY6" s="136"/>
      <c r="AZ6" s="136"/>
      <c r="BA6" s="136"/>
      <c r="BB6" s="136"/>
    </row>
    <row r="7">
      <c r="A7" s="144" t="s">
        <v>15</v>
      </c>
      <c r="B7" s="194"/>
      <c r="C7" s="17">
        <v>26.0</v>
      </c>
      <c r="D7" s="17"/>
      <c r="E7" s="96">
        <f t="shared" si="1"/>
        <v>26</v>
      </c>
      <c r="F7" s="97">
        <v>26.0</v>
      </c>
      <c r="G7" s="116">
        <f t="shared" si="2"/>
        <v>1</v>
      </c>
      <c r="H7" s="17">
        <v>20.0</v>
      </c>
      <c r="I7" s="17">
        <v>3.0</v>
      </c>
      <c r="J7" s="17"/>
      <c r="K7" s="96">
        <f t="shared" si="3"/>
        <v>23</v>
      </c>
      <c r="L7" s="97">
        <v>26.0</v>
      </c>
      <c r="M7" s="116">
        <f t="shared" si="4"/>
        <v>0.8846153846</v>
      </c>
      <c r="N7" s="17">
        <v>13.0</v>
      </c>
      <c r="O7" s="17">
        <v>1.0</v>
      </c>
      <c r="P7" s="17"/>
      <c r="Q7" s="17"/>
      <c r="R7" s="96">
        <f t="shared" si="5"/>
        <v>14</v>
      </c>
      <c r="S7" s="97">
        <v>25.0</v>
      </c>
      <c r="T7" s="116">
        <f t="shared" si="6"/>
        <v>0.56</v>
      </c>
      <c r="U7" s="99"/>
      <c r="V7" s="31">
        <f t="shared" si="7"/>
        <v>63</v>
      </c>
      <c r="W7" s="31">
        <f t="shared" si="8"/>
        <v>0</v>
      </c>
      <c r="X7" s="96">
        <f t="shared" si="9"/>
        <v>63</v>
      </c>
      <c r="Y7" s="100">
        <f t="shared" si="10"/>
        <v>77</v>
      </c>
      <c r="Z7" s="146">
        <f t="shared" si="11"/>
        <v>14</v>
      </c>
      <c r="AA7" s="16">
        <f t="shared" si="12"/>
        <v>-1</v>
      </c>
      <c r="AB7" s="16">
        <f t="shared" si="13"/>
        <v>63</v>
      </c>
      <c r="AC7" s="31">
        <f t="shared" si="14"/>
        <v>77</v>
      </c>
      <c r="AD7" s="147">
        <f t="shared" si="15"/>
        <v>0.8181818182</v>
      </c>
      <c r="AE7" s="148">
        <v>46024.0</v>
      </c>
      <c r="AF7" s="149" t="s">
        <v>75</v>
      </c>
      <c r="AT7" s="136"/>
      <c r="AU7" s="136"/>
      <c r="AV7" s="136"/>
      <c r="AW7" s="136"/>
      <c r="AX7" s="136"/>
      <c r="AY7" s="136"/>
      <c r="AZ7" s="136"/>
      <c r="BA7" s="136"/>
      <c r="BB7" s="136"/>
    </row>
    <row r="8">
      <c r="A8" s="144" t="s">
        <v>16</v>
      </c>
      <c r="B8" s="194"/>
      <c r="C8" s="17">
        <v>24.0</v>
      </c>
      <c r="D8" s="151">
        <v>2.0</v>
      </c>
      <c r="E8" s="96">
        <f t="shared" si="1"/>
        <v>26</v>
      </c>
      <c r="F8" s="97">
        <v>35.0</v>
      </c>
      <c r="G8" s="116">
        <f t="shared" si="2"/>
        <v>0.7428571429</v>
      </c>
      <c r="H8" s="17">
        <v>14.0</v>
      </c>
      <c r="I8" s="17">
        <v>3.0</v>
      </c>
      <c r="J8" s="17"/>
      <c r="K8" s="96">
        <f t="shared" si="3"/>
        <v>17</v>
      </c>
      <c r="L8" s="97">
        <v>31.0</v>
      </c>
      <c r="M8" s="116">
        <f t="shared" si="4"/>
        <v>0.5483870968</v>
      </c>
      <c r="N8" s="17">
        <v>18.0</v>
      </c>
      <c r="O8" s="17">
        <v>1.0</v>
      </c>
      <c r="P8" s="17"/>
      <c r="Q8" s="17"/>
      <c r="R8" s="96">
        <f t="shared" si="5"/>
        <v>19</v>
      </c>
      <c r="S8" s="97">
        <v>30.0</v>
      </c>
      <c r="T8" s="116">
        <f t="shared" si="6"/>
        <v>0.6333333333</v>
      </c>
      <c r="U8" s="99"/>
      <c r="V8" s="31">
        <f t="shared" si="7"/>
        <v>60</v>
      </c>
      <c r="W8" s="31">
        <f t="shared" si="8"/>
        <v>2</v>
      </c>
      <c r="X8" s="96">
        <f t="shared" si="9"/>
        <v>62</v>
      </c>
      <c r="Y8" s="100">
        <f t="shared" si="10"/>
        <v>96</v>
      </c>
      <c r="Z8" s="146">
        <f t="shared" si="11"/>
        <v>34</v>
      </c>
      <c r="AA8" s="16">
        <f t="shared" si="12"/>
        <v>-1</v>
      </c>
      <c r="AB8" s="16">
        <f t="shared" si="13"/>
        <v>62</v>
      </c>
      <c r="AC8" s="31">
        <f t="shared" si="14"/>
        <v>96</v>
      </c>
      <c r="AD8" s="147">
        <f t="shared" si="15"/>
        <v>0.6458333333</v>
      </c>
      <c r="AE8" s="148">
        <v>46024.0</v>
      </c>
      <c r="AF8" s="149" t="s">
        <v>75</v>
      </c>
      <c r="AT8" s="136"/>
      <c r="AU8" s="136"/>
      <c r="AV8" s="136"/>
      <c r="AW8" s="136"/>
      <c r="AX8" s="136"/>
      <c r="AY8" s="136"/>
      <c r="AZ8" s="136"/>
      <c r="BA8" s="136"/>
      <c r="BB8" s="136"/>
    </row>
    <row r="9">
      <c r="A9" s="144" t="s">
        <v>46</v>
      </c>
      <c r="B9" s="194"/>
      <c r="C9" s="25">
        <v>49.0</v>
      </c>
      <c r="D9" s="152">
        <v>6.0</v>
      </c>
      <c r="E9" s="96">
        <f t="shared" si="1"/>
        <v>55</v>
      </c>
      <c r="F9" s="97">
        <v>40.0</v>
      </c>
      <c r="G9" s="116">
        <f t="shared" si="2"/>
        <v>1.375</v>
      </c>
      <c r="H9" s="17">
        <v>37.0</v>
      </c>
      <c r="I9" s="17">
        <v>6.0</v>
      </c>
      <c r="J9" s="17"/>
      <c r="K9" s="96">
        <f t="shared" si="3"/>
        <v>43</v>
      </c>
      <c r="L9" s="97">
        <v>38.0</v>
      </c>
      <c r="M9" s="116">
        <f t="shared" si="4"/>
        <v>1.131578947</v>
      </c>
      <c r="N9" s="17">
        <v>36.0</v>
      </c>
      <c r="O9" s="17">
        <v>3.0</v>
      </c>
      <c r="P9" s="17"/>
      <c r="Q9" s="17"/>
      <c r="R9" s="96">
        <f t="shared" si="5"/>
        <v>39</v>
      </c>
      <c r="S9" s="97">
        <v>39.0</v>
      </c>
      <c r="T9" s="116">
        <f t="shared" si="6"/>
        <v>1</v>
      </c>
      <c r="U9" s="99"/>
      <c r="V9" s="31">
        <f t="shared" si="7"/>
        <v>131</v>
      </c>
      <c r="W9" s="31">
        <f t="shared" si="8"/>
        <v>6</v>
      </c>
      <c r="X9" s="96">
        <f t="shared" si="9"/>
        <v>137</v>
      </c>
      <c r="Y9" s="100">
        <f t="shared" si="10"/>
        <v>117</v>
      </c>
      <c r="Z9" s="146">
        <f t="shared" si="11"/>
        <v>-20</v>
      </c>
      <c r="AA9" s="16">
        <f t="shared" si="12"/>
        <v>1</v>
      </c>
      <c r="AB9" s="16">
        <f t="shared" si="13"/>
        <v>137</v>
      </c>
      <c r="AC9" s="31">
        <f t="shared" si="14"/>
        <v>117</v>
      </c>
      <c r="AD9" s="147">
        <f t="shared" si="15"/>
        <v>1.170940171</v>
      </c>
      <c r="AE9" s="148">
        <v>46024.0</v>
      </c>
      <c r="AF9" s="149" t="s">
        <v>75</v>
      </c>
      <c r="AT9" s="136"/>
      <c r="AU9" s="136"/>
      <c r="AV9" s="136"/>
      <c r="AW9" s="136"/>
      <c r="AX9" s="136"/>
      <c r="AY9" s="136"/>
      <c r="AZ9" s="136"/>
      <c r="BA9" s="136"/>
      <c r="BB9" s="136"/>
    </row>
    <row r="10">
      <c r="A10" s="153" t="s">
        <v>17</v>
      </c>
      <c r="B10" s="27">
        <f t="shared" ref="B10:F10" si="16">sum(B6:B9)</f>
        <v>0</v>
      </c>
      <c r="C10" s="27">
        <f t="shared" si="16"/>
        <v>123</v>
      </c>
      <c r="D10" s="27">
        <f t="shared" si="16"/>
        <v>8</v>
      </c>
      <c r="E10" s="27">
        <f t="shared" si="16"/>
        <v>131</v>
      </c>
      <c r="F10" s="27">
        <f t="shared" si="16"/>
        <v>132</v>
      </c>
      <c r="G10" s="154">
        <f t="shared" si="2"/>
        <v>0.9924242424</v>
      </c>
      <c r="H10" s="27">
        <f t="shared" ref="H10:L10" si="17">sum(H6:H9)</f>
        <v>97</v>
      </c>
      <c r="I10" s="27">
        <f t="shared" si="17"/>
        <v>16</v>
      </c>
      <c r="J10" s="27">
        <f t="shared" si="17"/>
        <v>0</v>
      </c>
      <c r="K10" s="27">
        <f t="shared" si="17"/>
        <v>113</v>
      </c>
      <c r="L10" s="27">
        <f t="shared" si="17"/>
        <v>124</v>
      </c>
      <c r="M10" s="154">
        <f t="shared" si="4"/>
        <v>0.9112903226</v>
      </c>
      <c r="N10" s="27">
        <f t="shared" ref="N10:S10" si="18">sum(N6:N9)</f>
        <v>88</v>
      </c>
      <c r="O10" s="27">
        <f t="shared" si="18"/>
        <v>7</v>
      </c>
      <c r="P10" s="27">
        <f t="shared" si="18"/>
        <v>0</v>
      </c>
      <c r="Q10" s="27">
        <f t="shared" si="18"/>
        <v>0</v>
      </c>
      <c r="R10" s="27">
        <f t="shared" si="18"/>
        <v>95</v>
      </c>
      <c r="S10" s="27">
        <f t="shared" si="18"/>
        <v>124</v>
      </c>
      <c r="T10" s="154">
        <f t="shared" si="6"/>
        <v>0.7661290323</v>
      </c>
      <c r="U10" s="27">
        <f t="shared" ref="U10:Z10" si="19">sum(U6:U9)</f>
        <v>0</v>
      </c>
      <c r="V10" s="27">
        <f t="shared" si="19"/>
        <v>331</v>
      </c>
      <c r="W10" s="27">
        <f t="shared" si="19"/>
        <v>8</v>
      </c>
      <c r="X10" s="27">
        <f t="shared" si="19"/>
        <v>339</v>
      </c>
      <c r="Y10" s="104">
        <f t="shared" si="19"/>
        <v>380</v>
      </c>
      <c r="Z10" s="155">
        <f t="shared" si="19"/>
        <v>41</v>
      </c>
      <c r="AA10" s="155">
        <f t="shared" si="12"/>
        <v>-1</v>
      </c>
      <c r="AB10" s="155">
        <f t="shared" ref="AB10:AC10" si="20">sum(AB6:AB9)</f>
        <v>339</v>
      </c>
      <c r="AC10" s="27">
        <f t="shared" si="20"/>
        <v>380</v>
      </c>
      <c r="AD10" s="156">
        <f>AB10/AC10</f>
        <v>0.8921052632</v>
      </c>
      <c r="AF10" s="149"/>
      <c r="AT10" s="136"/>
      <c r="AU10" s="136"/>
      <c r="AV10" s="136"/>
      <c r="AW10" s="136"/>
      <c r="AX10" s="136"/>
      <c r="AY10" s="136"/>
      <c r="AZ10" s="136"/>
      <c r="BA10" s="136"/>
      <c r="BB10" s="136"/>
    </row>
    <row r="11">
      <c r="A11" s="144" t="s">
        <v>20</v>
      </c>
      <c r="B11" s="194"/>
      <c r="C11" s="31">
        <v>23.0</v>
      </c>
      <c r="D11" s="31"/>
      <c r="E11" s="96">
        <f t="shared" ref="E11:E14" si="21">SUM(C11:D11)</f>
        <v>23</v>
      </c>
      <c r="F11" s="97">
        <v>30.0</v>
      </c>
      <c r="G11" s="116">
        <f t="shared" si="2"/>
        <v>0.7666666667</v>
      </c>
      <c r="H11" s="17">
        <v>18.0</v>
      </c>
      <c r="I11" s="17">
        <v>4.0</v>
      </c>
      <c r="J11" s="17"/>
      <c r="K11" s="96">
        <f t="shared" ref="K11:K14" si="22">SUM(H11:J11)</f>
        <v>22</v>
      </c>
      <c r="L11" s="97">
        <v>24.0</v>
      </c>
      <c r="M11" s="116">
        <f t="shared" si="4"/>
        <v>0.9166666667</v>
      </c>
      <c r="N11" s="17">
        <v>17.0</v>
      </c>
      <c r="O11" s="17">
        <v>1.0</v>
      </c>
      <c r="P11" s="17"/>
      <c r="Q11" s="17"/>
      <c r="R11" s="96">
        <f t="shared" ref="R11:R14" si="23">SUM(N11:Q11)</f>
        <v>18</v>
      </c>
      <c r="S11" s="97">
        <v>22.0</v>
      </c>
      <c r="T11" s="116">
        <f t="shared" si="6"/>
        <v>0.8181818182</v>
      </c>
      <c r="U11" s="99"/>
      <c r="V11" s="31">
        <f t="shared" ref="V11:V14" si="24">N11+H11+C11+O11+P11+I11</f>
        <v>63</v>
      </c>
      <c r="W11" s="31">
        <f t="shared" ref="W11:W14" si="25">Q11+J11+D11</f>
        <v>0</v>
      </c>
      <c r="X11" s="96">
        <f t="shared" ref="X11:X14" si="26">sum(U11:W11)</f>
        <v>63</v>
      </c>
      <c r="Y11" s="100">
        <f t="shared" ref="Y11:Y14" si="27">S11+L11+F11</f>
        <v>76</v>
      </c>
      <c r="Z11" s="146">
        <f t="shared" ref="Z11:Z14" si="28">Y11-X11</f>
        <v>13</v>
      </c>
      <c r="AA11" s="16">
        <f t="shared" si="12"/>
        <v>0</v>
      </c>
      <c r="AB11" s="16">
        <f t="shared" ref="AB11:AB14" si="29">W11+V11</f>
        <v>63</v>
      </c>
      <c r="AC11" s="31">
        <f t="shared" ref="AC11:AC14" si="30">Y11</f>
        <v>76</v>
      </c>
      <c r="AD11" s="147">
        <f t="shared" ref="AD11:AD14" si="31">(V11+W11)/Y11</f>
        <v>0.8289473684</v>
      </c>
      <c r="AE11" s="148">
        <v>46022.0</v>
      </c>
      <c r="AF11" s="149" t="s">
        <v>48</v>
      </c>
      <c r="AT11" s="136"/>
      <c r="AU11" s="136"/>
      <c r="AV11" s="136"/>
      <c r="AW11" s="136"/>
      <c r="AX11" s="136"/>
      <c r="AY11" s="136"/>
      <c r="AZ11" s="136"/>
      <c r="BA11" s="136"/>
      <c r="BB11" s="136"/>
    </row>
    <row r="12">
      <c r="A12" s="144" t="s">
        <v>19</v>
      </c>
      <c r="B12" s="194"/>
      <c r="C12" s="31">
        <v>18.0</v>
      </c>
      <c r="D12" s="31">
        <v>2.0</v>
      </c>
      <c r="E12" s="96">
        <f t="shared" si="21"/>
        <v>20</v>
      </c>
      <c r="F12" s="97">
        <v>29.0</v>
      </c>
      <c r="G12" s="116">
        <f t="shared" si="2"/>
        <v>0.6896551724</v>
      </c>
      <c r="H12" s="17">
        <v>41.0</v>
      </c>
      <c r="I12" s="17">
        <v>4.0</v>
      </c>
      <c r="J12" s="17"/>
      <c r="K12" s="96">
        <f t="shared" si="22"/>
        <v>45</v>
      </c>
      <c r="L12" s="97">
        <v>30.0</v>
      </c>
      <c r="M12" s="116">
        <f t="shared" si="4"/>
        <v>1.5</v>
      </c>
      <c r="N12" s="17">
        <v>16.0</v>
      </c>
      <c r="O12" s="17">
        <v>3.0</v>
      </c>
      <c r="P12" s="17"/>
      <c r="Q12" s="17"/>
      <c r="R12" s="96">
        <f t="shared" si="23"/>
        <v>19</v>
      </c>
      <c r="S12" s="97">
        <v>28.0</v>
      </c>
      <c r="T12" s="116">
        <f t="shared" si="6"/>
        <v>0.6785714286</v>
      </c>
      <c r="U12" s="99"/>
      <c r="V12" s="31">
        <f t="shared" si="24"/>
        <v>82</v>
      </c>
      <c r="W12" s="31">
        <f t="shared" si="25"/>
        <v>2</v>
      </c>
      <c r="X12" s="96">
        <f t="shared" si="26"/>
        <v>84</v>
      </c>
      <c r="Y12" s="100">
        <f t="shared" si="27"/>
        <v>87</v>
      </c>
      <c r="Z12" s="146">
        <f t="shared" si="28"/>
        <v>3</v>
      </c>
      <c r="AA12" s="16">
        <f t="shared" si="12"/>
        <v>0</v>
      </c>
      <c r="AB12" s="16">
        <f t="shared" si="29"/>
        <v>84</v>
      </c>
      <c r="AC12" s="31">
        <f t="shared" si="30"/>
        <v>87</v>
      </c>
      <c r="AD12" s="147">
        <f t="shared" si="31"/>
        <v>0.9655172414</v>
      </c>
      <c r="AE12" s="148">
        <v>46022.0</v>
      </c>
      <c r="AF12" s="149" t="s">
        <v>48</v>
      </c>
      <c r="AT12" s="136"/>
      <c r="AU12" s="136"/>
      <c r="AV12" s="136"/>
      <c r="AW12" s="136"/>
      <c r="AX12" s="136"/>
      <c r="AY12" s="136"/>
      <c r="AZ12" s="136"/>
      <c r="BA12" s="136"/>
      <c r="BB12" s="136"/>
    </row>
    <row r="13">
      <c r="A13" s="144" t="s">
        <v>18</v>
      </c>
      <c r="B13" s="194"/>
      <c r="C13" s="31">
        <v>16.0</v>
      </c>
      <c r="D13" s="31"/>
      <c r="E13" s="96">
        <f t="shared" si="21"/>
        <v>16</v>
      </c>
      <c r="F13" s="97">
        <v>34.0</v>
      </c>
      <c r="G13" s="116">
        <f t="shared" si="2"/>
        <v>0.4705882353</v>
      </c>
      <c r="H13" s="17">
        <v>27.0</v>
      </c>
      <c r="I13" s="17">
        <v>4.0</v>
      </c>
      <c r="J13" s="17"/>
      <c r="K13" s="96">
        <f t="shared" si="22"/>
        <v>31</v>
      </c>
      <c r="L13" s="97">
        <v>29.0</v>
      </c>
      <c r="M13" s="116">
        <f t="shared" si="4"/>
        <v>1.068965517</v>
      </c>
      <c r="N13" s="17">
        <v>16.0</v>
      </c>
      <c r="O13" s="17">
        <v>1.0</v>
      </c>
      <c r="P13" s="17"/>
      <c r="Q13" s="17"/>
      <c r="R13" s="96">
        <f t="shared" si="23"/>
        <v>17</v>
      </c>
      <c r="S13" s="97">
        <v>27.0</v>
      </c>
      <c r="T13" s="116">
        <f t="shared" si="6"/>
        <v>0.6296296296</v>
      </c>
      <c r="U13" s="99"/>
      <c r="V13" s="31">
        <f t="shared" si="24"/>
        <v>64</v>
      </c>
      <c r="W13" s="31">
        <f t="shared" si="25"/>
        <v>0</v>
      </c>
      <c r="X13" s="96">
        <f t="shared" si="26"/>
        <v>64</v>
      </c>
      <c r="Y13" s="100">
        <f t="shared" si="27"/>
        <v>90</v>
      </c>
      <c r="Z13" s="146">
        <f t="shared" si="28"/>
        <v>26</v>
      </c>
      <c r="AA13" s="16">
        <f t="shared" si="12"/>
        <v>-1</v>
      </c>
      <c r="AB13" s="16">
        <f t="shared" si="29"/>
        <v>64</v>
      </c>
      <c r="AC13" s="31">
        <f t="shared" si="30"/>
        <v>90</v>
      </c>
      <c r="AD13" s="147">
        <f t="shared" si="31"/>
        <v>0.7111111111</v>
      </c>
      <c r="AE13" s="148">
        <v>46022.0</v>
      </c>
      <c r="AF13" s="149" t="s">
        <v>48</v>
      </c>
      <c r="AT13" s="136"/>
      <c r="AU13" s="136"/>
      <c r="AV13" s="136"/>
      <c r="AW13" s="136"/>
      <c r="AX13" s="136"/>
      <c r="AY13" s="136"/>
      <c r="AZ13" s="136"/>
      <c r="BA13" s="136"/>
      <c r="BB13" s="136"/>
    </row>
    <row r="14">
      <c r="A14" s="144" t="s">
        <v>21</v>
      </c>
      <c r="B14" s="194"/>
      <c r="C14" s="31">
        <v>40.0</v>
      </c>
      <c r="D14" s="31"/>
      <c r="E14" s="96">
        <f t="shared" si="21"/>
        <v>40</v>
      </c>
      <c r="F14" s="97">
        <v>43.0</v>
      </c>
      <c r="G14" s="116">
        <f t="shared" si="2"/>
        <v>0.9302325581</v>
      </c>
      <c r="H14" s="17">
        <v>36.0</v>
      </c>
      <c r="I14" s="17">
        <v>4.0</v>
      </c>
      <c r="J14" s="17"/>
      <c r="K14" s="96">
        <f t="shared" si="22"/>
        <v>40</v>
      </c>
      <c r="L14" s="97">
        <v>43.0</v>
      </c>
      <c r="M14" s="116">
        <f t="shared" si="4"/>
        <v>0.9302325581</v>
      </c>
      <c r="N14" s="17">
        <v>32.0</v>
      </c>
      <c r="O14" s="17">
        <v>2.0</v>
      </c>
      <c r="P14" s="17"/>
      <c r="Q14" s="17"/>
      <c r="R14" s="96">
        <f t="shared" si="23"/>
        <v>34</v>
      </c>
      <c r="S14" s="97">
        <v>42.0</v>
      </c>
      <c r="T14" s="116">
        <f t="shared" si="6"/>
        <v>0.8095238095</v>
      </c>
      <c r="U14" s="99"/>
      <c r="V14" s="31">
        <f t="shared" si="24"/>
        <v>114</v>
      </c>
      <c r="W14" s="31">
        <f t="shared" si="25"/>
        <v>0</v>
      </c>
      <c r="X14" s="96">
        <f t="shared" si="26"/>
        <v>114</v>
      </c>
      <c r="Y14" s="100">
        <f t="shared" si="27"/>
        <v>128</v>
      </c>
      <c r="Z14" s="146">
        <f t="shared" si="28"/>
        <v>14</v>
      </c>
      <c r="AA14" s="16">
        <f t="shared" si="12"/>
        <v>-1</v>
      </c>
      <c r="AB14" s="16">
        <f t="shared" si="29"/>
        <v>114</v>
      </c>
      <c r="AC14" s="31">
        <f t="shared" si="30"/>
        <v>128</v>
      </c>
      <c r="AD14" s="147">
        <f t="shared" si="31"/>
        <v>0.890625</v>
      </c>
      <c r="AE14" s="148">
        <v>46022.0</v>
      </c>
      <c r="AF14" s="149" t="s">
        <v>48</v>
      </c>
      <c r="AT14" s="136"/>
      <c r="AU14" s="136"/>
      <c r="AV14" s="136"/>
      <c r="AW14" s="136"/>
      <c r="AX14" s="136"/>
      <c r="AY14" s="136"/>
      <c r="AZ14" s="136"/>
      <c r="BA14" s="136"/>
      <c r="BB14" s="136"/>
    </row>
    <row r="15">
      <c r="A15" s="153" t="s">
        <v>22</v>
      </c>
      <c r="B15" s="27">
        <f t="shared" ref="B15:F15" si="32">sum(B11:B14)</f>
        <v>0</v>
      </c>
      <c r="C15" s="27">
        <f t="shared" si="32"/>
        <v>97</v>
      </c>
      <c r="D15" s="27">
        <f t="shared" si="32"/>
        <v>2</v>
      </c>
      <c r="E15" s="27">
        <f t="shared" si="32"/>
        <v>99</v>
      </c>
      <c r="F15" s="27">
        <f t="shared" si="32"/>
        <v>136</v>
      </c>
      <c r="G15" s="154">
        <f t="shared" si="2"/>
        <v>0.7279411765</v>
      </c>
      <c r="H15" s="27">
        <f t="shared" ref="H15:L15" si="33">sum(H11:H14)</f>
        <v>122</v>
      </c>
      <c r="I15" s="27">
        <f t="shared" si="33"/>
        <v>16</v>
      </c>
      <c r="J15" s="27">
        <f t="shared" si="33"/>
        <v>0</v>
      </c>
      <c r="K15" s="27">
        <f t="shared" si="33"/>
        <v>138</v>
      </c>
      <c r="L15" s="27">
        <f t="shared" si="33"/>
        <v>126</v>
      </c>
      <c r="M15" s="154">
        <f t="shared" si="4"/>
        <v>1.095238095</v>
      </c>
      <c r="N15" s="27">
        <f t="shared" ref="N15:S15" si="34">sum(N11:N14)</f>
        <v>81</v>
      </c>
      <c r="O15" s="27">
        <f t="shared" si="34"/>
        <v>7</v>
      </c>
      <c r="P15" s="27">
        <f t="shared" si="34"/>
        <v>0</v>
      </c>
      <c r="Q15" s="27">
        <f t="shared" si="34"/>
        <v>0</v>
      </c>
      <c r="R15" s="27">
        <f t="shared" si="34"/>
        <v>88</v>
      </c>
      <c r="S15" s="27">
        <f t="shared" si="34"/>
        <v>119</v>
      </c>
      <c r="T15" s="154">
        <f t="shared" si="6"/>
        <v>0.7394957983</v>
      </c>
      <c r="U15" s="27">
        <f t="shared" ref="U15:Z15" si="35">sum(U11:U14)</f>
        <v>0</v>
      </c>
      <c r="V15" s="27">
        <f t="shared" si="35"/>
        <v>323</v>
      </c>
      <c r="W15" s="27">
        <f t="shared" si="35"/>
        <v>2</v>
      </c>
      <c r="X15" s="27">
        <f t="shared" si="35"/>
        <v>325</v>
      </c>
      <c r="Y15" s="104">
        <f t="shared" si="35"/>
        <v>381</v>
      </c>
      <c r="Z15" s="155">
        <f t="shared" si="35"/>
        <v>56</v>
      </c>
      <c r="AA15" s="155">
        <f t="shared" si="12"/>
        <v>-2</v>
      </c>
      <c r="AB15" s="155">
        <f t="shared" ref="AB15:AC15" si="36">sum(AB11:AB14)</f>
        <v>325</v>
      </c>
      <c r="AC15" s="27">
        <f t="shared" si="36"/>
        <v>381</v>
      </c>
      <c r="AD15" s="156">
        <f>AB15/AC15</f>
        <v>0.8530183727</v>
      </c>
      <c r="AF15" s="149"/>
      <c r="AT15" s="136"/>
      <c r="AU15" s="136"/>
      <c r="AV15" s="136"/>
      <c r="AW15" s="136"/>
      <c r="AX15" s="136"/>
      <c r="AY15" s="136"/>
      <c r="AZ15" s="136"/>
      <c r="BA15" s="136"/>
      <c r="BB15" s="136"/>
    </row>
    <row r="16">
      <c r="A16" s="144" t="s">
        <v>23</v>
      </c>
      <c r="B16" s="194"/>
      <c r="C16" s="31">
        <v>18.0</v>
      </c>
      <c r="D16" s="31">
        <v>5.0</v>
      </c>
      <c r="E16" s="96">
        <f t="shared" ref="E16:E18" si="37">SUM(C16:D16)</f>
        <v>23</v>
      </c>
      <c r="F16" s="97">
        <v>30.0</v>
      </c>
      <c r="G16" s="116">
        <f t="shared" si="2"/>
        <v>0.7666666667</v>
      </c>
      <c r="H16" s="17">
        <v>28.0</v>
      </c>
      <c r="I16" s="17">
        <v>3.0</v>
      </c>
      <c r="J16" s="17">
        <v>3.0</v>
      </c>
      <c r="K16" s="96">
        <f t="shared" ref="K16:K18" si="38">SUM(H16:J16)</f>
        <v>34</v>
      </c>
      <c r="L16" s="97">
        <v>33.0</v>
      </c>
      <c r="M16" s="116">
        <f t="shared" si="4"/>
        <v>1.03030303</v>
      </c>
      <c r="N16" s="17">
        <v>14.0</v>
      </c>
      <c r="O16" s="17">
        <v>4.0</v>
      </c>
      <c r="P16" s="17"/>
      <c r="Q16" s="17">
        <v>12.0</v>
      </c>
      <c r="R16" s="96">
        <f t="shared" ref="R16:R18" si="39">SUM(N16:Q16)</f>
        <v>30</v>
      </c>
      <c r="S16" s="97">
        <v>30.0</v>
      </c>
      <c r="T16" s="116">
        <f t="shared" si="6"/>
        <v>1</v>
      </c>
      <c r="U16" s="99"/>
      <c r="V16" s="31">
        <f t="shared" ref="V16:V18" si="40">N16+H16+C16+O16+P16+I16</f>
        <v>67</v>
      </c>
      <c r="W16" s="31">
        <f t="shared" ref="W16:W18" si="41">Q16+J16+D16</f>
        <v>20</v>
      </c>
      <c r="X16" s="96">
        <f t="shared" ref="X16:X18" si="42">sum(U16:W16)</f>
        <v>87</v>
      </c>
      <c r="Y16" s="100">
        <f t="shared" ref="Y16:Y18" si="43">S16+L16+F16</f>
        <v>93</v>
      </c>
      <c r="Z16" s="146">
        <f t="shared" ref="Z16:Z18" si="44">Y16-X16</f>
        <v>6</v>
      </c>
      <c r="AA16" s="16">
        <f t="shared" si="12"/>
        <v>0</v>
      </c>
      <c r="AB16" s="16">
        <f t="shared" ref="AB16:AB18" si="45">W16+V16</f>
        <v>87</v>
      </c>
      <c r="AC16" s="31">
        <f t="shared" ref="AC16:AC18" si="46">Y16</f>
        <v>93</v>
      </c>
      <c r="AD16" s="147">
        <f t="shared" ref="AD16:AD18" si="47">(V16+W16)/Y16</f>
        <v>0.935483871</v>
      </c>
      <c r="AE16" s="157">
        <v>46022.0</v>
      </c>
      <c r="AF16" s="149" t="s">
        <v>77</v>
      </c>
      <c r="AT16" s="136"/>
      <c r="AU16" s="136"/>
      <c r="AV16" s="136"/>
      <c r="AW16" s="136"/>
      <c r="AX16" s="136"/>
      <c r="AY16" s="136"/>
      <c r="AZ16" s="136"/>
      <c r="BA16" s="136"/>
      <c r="BB16" s="136"/>
    </row>
    <row r="17">
      <c r="A17" s="144" t="s">
        <v>24</v>
      </c>
      <c r="B17" s="194"/>
      <c r="C17" s="31">
        <v>39.0</v>
      </c>
      <c r="D17" s="31"/>
      <c r="E17" s="96">
        <f t="shared" si="37"/>
        <v>39</v>
      </c>
      <c r="F17" s="97">
        <v>28.0</v>
      </c>
      <c r="G17" s="116">
        <f t="shared" si="2"/>
        <v>1.392857143</v>
      </c>
      <c r="H17" s="17">
        <v>18.0</v>
      </c>
      <c r="I17" s="17">
        <v>2.0</v>
      </c>
      <c r="J17" s="17">
        <v>3.0</v>
      </c>
      <c r="K17" s="96">
        <f t="shared" si="38"/>
        <v>23</v>
      </c>
      <c r="L17" s="97">
        <v>27.0</v>
      </c>
      <c r="M17" s="116">
        <f t="shared" si="4"/>
        <v>0.8518518519</v>
      </c>
      <c r="N17" s="17">
        <v>21.0</v>
      </c>
      <c r="O17" s="17">
        <v>1.0</v>
      </c>
      <c r="P17" s="17"/>
      <c r="Q17" s="17">
        <v>4.0</v>
      </c>
      <c r="R17" s="96">
        <f t="shared" si="39"/>
        <v>26</v>
      </c>
      <c r="S17" s="97">
        <v>25.0</v>
      </c>
      <c r="T17" s="116">
        <f t="shared" si="6"/>
        <v>1.04</v>
      </c>
      <c r="U17" s="99"/>
      <c r="V17" s="31">
        <f t="shared" si="40"/>
        <v>81</v>
      </c>
      <c r="W17" s="31">
        <f t="shared" si="41"/>
        <v>7</v>
      </c>
      <c r="X17" s="96">
        <f t="shared" si="42"/>
        <v>88</v>
      </c>
      <c r="Y17" s="100">
        <f t="shared" si="43"/>
        <v>80</v>
      </c>
      <c r="Z17" s="146">
        <f t="shared" si="44"/>
        <v>-8</v>
      </c>
      <c r="AA17" s="16">
        <f t="shared" si="12"/>
        <v>0</v>
      </c>
      <c r="AB17" s="16">
        <f t="shared" si="45"/>
        <v>88</v>
      </c>
      <c r="AC17" s="31">
        <f t="shared" si="46"/>
        <v>80</v>
      </c>
      <c r="AD17" s="147">
        <f t="shared" si="47"/>
        <v>1.1</v>
      </c>
      <c r="AE17" s="157">
        <v>46022.0</v>
      </c>
      <c r="AF17" s="149" t="s">
        <v>77</v>
      </c>
      <c r="AT17" s="136"/>
      <c r="AU17" s="136"/>
      <c r="AV17" s="136"/>
      <c r="AW17" s="136"/>
      <c r="AX17" s="136"/>
      <c r="AY17" s="136"/>
      <c r="AZ17" s="136"/>
      <c r="BA17" s="136"/>
      <c r="BB17" s="136"/>
    </row>
    <row r="18">
      <c r="A18" s="144" t="s">
        <v>25</v>
      </c>
      <c r="B18" s="194"/>
      <c r="C18" s="31">
        <v>12.0</v>
      </c>
      <c r="D18" s="31"/>
      <c r="E18" s="96">
        <f t="shared" si="37"/>
        <v>12</v>
      </c>
      <c r="F18" s="97">
        <v>13.0</v>
      </c>
      <c r="G18" s="116">
        <f t="shared" si="2"/>
        <v>0.9230769231</v>
      </c>
      <c r="H18" s="17">
        <v>9.0</v>
      </c>
      <c r="I18" s="17">
        <v>3.0</v>
      </c>
      <c r="J18" s="17"/>
      <c r="K18" s="96">
        <f t="shared" si="38"/>
        <v>12</v>
      </c>
      <c r="L18" s="97">
        <v>10.0</v>
      </c>
      <c r="M18" s="116">
        <f t="shared" si="4"/>
        <v>1.2</v>
      </c>
      <c r="N18" s="17">
        <v>5.0</v>
      </c>
      <c r="O18" s="17">
        <v>1.0</v>
      </c>
      <c r="P18" s="17"/>
      <c r="Q18" s="17">
        <v>1.0</v>
      </c>
      <c r="R18" s="96">
        <f t="shared" si="39"/>
        <v>7</v>
      </c>
      <c r="S18" s="97">
        <v>10.0</v>
      </c>
      <c r="T18" s="116">
        <f t="shared" si="6"/>
        <v>0.7</v>
      </c>
      <c r="U18" s="99"/>
      <c r="V18" s="31">
        <f t="shared" si="40"/>
        <v>30</v>
      </c>
      <c r="W18" s="31">
        <f t="shared" si="41"/>
        <v>1</v>
      </c>
      <c r="X18" s="96">
        <f t="shared" si="42"/>
        <v>31</v>
      </c>
      <c r="Y18" s="100">
        <f t="shared" si="43"/>
        <v>33</v>
      </c>
      <c r="Z18" s="146">
        <f t="shared" si="44"/>
        <v>2</v>
      </c>
      <c r="AA18" s="16">
        <f t="shared" si="12"/>
        <v>0</v>
      </c>
      <c r="AB18" s="16">
        <f t="shared" si="45"/>
        <v>31</v>
      </c>
      <c r="AC18" s="31">
        <f t="shared" si="46"/>
        <v>33</v>
      </c>
      <c r="AD18" s="147">
        <f t="shared" si="47"/>
        <v>0.9393939394</v>
      </c>
      <c r="AE18" s="157">
        <v>46020.0</v>
      </c>
      <c r="AF18" s="149" t="s">
        <v>77</v>
      </c>
      <c r="AT18" s="136"/>
      <c r="AU18" s="136"/>
      <c r="AV18" s="136"/>
      <c r="AW18" s="136"/>
      <c r="AX18" s="136"/>
      <c r="AY18" s="136"/>
      <c r="AZ18" s="136"/>
      <c r="BA18" s="136"/>
      <c r="BB18" s="136"/>
    </row>
    <row r="19">
      <c r="A19" s="153" t="s">
        <v>26</v>
      </c>
      <c r="B19" s="27">
        <f t="shared" ref="B19:F19" si="48">sum(B16:B18)</f>
        <v>0</v>
      </c>
      <c r="C19" s="27">
        <f t="shared" si="48"/>
        <v>69</v>
      </c>
      <c r="D19" s="27">
        <f t="shared" si="48"/>
        <v>5</v>
      </c>
      <c r="E19" s="27">
        <f t="shared" si="48"/>
        <v>74</v>
      </c>
      <c r="F19" s="27">
        <f t="shared" si="48"/>
        <v>71</v>
      </c>
      <c r="G19" s="154">
        <f t="shared" si="2"/>
        <v>1.042253521</v>
      </c>
      <c r="H19" s="27">
        <f t="shared" ref="H19:L19" si="49">sum(H16:H18)</f>
        <v>55</v>
      </c>
      <c r="I19" s="27">
        <f t="shared" si="49"/>
        <v>8</v>
      </c>
      <c r="J19" s="27">
        <f t="shared" si="49"/>
        <v>6</v>
      </c>
      <c r="K19" s="27">
        <f t="shared" si="49"/>
        <v>69</v>
      </c>
      <c r="L19" s="27">
        <f t="shared" si="49"/>
        <v>70</v>
      </c>
      <c r="M19" s="154">
        <f t="shared" si="4"/>
        <v>0.9857142857</v>
      </c>
      <c r="N19" s="27">
        <f t="shared" ref="N19:S19" si="50">sum(N16:N18)</f>
        <v>40</v>
      </c>
      <c r="O19" s="27">
        <f t="shared" si="50"/>
        <v>6</v>
      </c>
      <c r="P19" s="27">
        <f t="shared" si="50"/>
        <v>0</v>
      </c>
      <c r="Q19" s="27">
        <f t="shared" si="50"/>
        <v>17</v>
      </c>
      <c r="R19" s="27">
        <f t="shared" si="50"/>
        <v>63</v>
      </c>
      <c r="S19" s="27">
        <f t="shared" si="50"/>
        <v>65</v>
      </c>
      <c r="T19" s="154">
        <f t="shared" si="6"/>
        <v>0.9692307692</v>
      </c>
      <c r="U19" s="27">
        <f t="shared" ref="U19:Z19" si="51">sum(U16:U18)</f>
        <v>0</v>
      </c>
      <c r="V19" s="27">
        <f t="shared" si="51"/>
        <v>178</v>
      </c>
      <c r="W19" s="27">
        <f t="shared" si="51"/>
        <v>28</v>
      </c>
      <c r="X19" s="27">
        <f t="shared" si="51"/>
        <v>206</v>
      </c>
      <c r="Y19" s="104">
        <f t="shared" si="51"/>
        <v>206</v>
      </c>
      <c r="Z19" s="155">
        <f t="shared" si="51"/>
        <v>0</v>
      </c>
      <c r="AA19" s="155">
        <f t="shared" si="12"/>
        <v>0</v>
      </c>
      <c r="AB19" s="155">
        <f t="shared" ref="AB19:AC19" si="52">sum(AB16:AB18)</f>
        <v>206</v>
      </c>
      <c r="AC19" s="27">
        <f t="shared" si="52"/>
        <v>206</v>
      </c>
      <c r="AD19" s="156">
        <f>AB19/AC19</f>
        <v>1</v>
      </c>
      <c r="AF19" s="149"/>
      <c r="AT19" s="136"/>
      <c r="AU19" s="136"/>
      <c r="AV19" s="136"/>
      <c r="AW19" s="136"/>
      <c r="AX19" s="136"/>
      <c r="AY19" s="136"/>
      <c r="AZ19" s="136"/>
      <c r="BA19" s="136"/>
      <c r="BB19" s="136"/>
    </row>
    <row r="20">
      <c r="A20" s="153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107"/>
      <c r="Z20" s="33"/>
      <c r="AA20" s="158"/>
      <c r="AB20" s="158"/>
      <c r="AC20" s="159"/>
      <c r="AD20" s="160"/>
      <c r="AF20" s="136"/>
      <c r="AT20" s="136"/>
      <c r="AU20" s="136"/>
      <c r="AV20" s="136"/>
      <c r="AW20" s="136"/>
      <c r="AX20" s="136"/>
      <c r="AY20" s="136"/>
      <c r="AZ20" s="136"/>
      <c r="BA20" s="136"/>
      <c r="BB20" s="136"/>
    </row>
    <row r="21">
      <c r="A21" s="16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107"/>
      <c r="Z21" s="33"/>
      <c r="AA21" s="158"/>
      <c r="AB21" s="158"/>
      <c r="AC21" s="159"/>
      <c r="AD21" s="160"/>
      <c r="AF21" s="136"/>
      <c r="AT21" s="136"/>
      <c r="AU21" s="136"/>
      <c r="AV21" s="136"/>
      <c r="AW21" s="136"/>
      <c r="AX21" s="136"/>
      <c r="AY21" s="136"/>
      <c r="AZ21" s="136"/>
      <c r="BA21" s="136"/>
      <c r="BB21" s="136"/>
    </row>
    <row r="22">
      <c r="A22" s="162" t="s">
        <v>8</v>
      </c>
      <c r="B22" s="163">
        <f t="shared" ref="B22:F22" si="53">B19+B15+B10</f>
        <v>0</v>
      </c>
      <c r="C22" s="163">
        <f t="shared" si="53"/>
        <v>289</v>
      </c>
      <c r="D22" s="163">
        <f t="shared" si="53"/>
        <v>15</v>
      </c>
      <c r="E22" s="163">
        <f t="shared" si="53"/>
        <v>304</v>
      </c>
      <c r="F22" s="163">
        <f t="shared" si="53"/>
        <v>339</v>
      </c>
      <c r="G22" s="164">
        <f>E22/F22</f>
        <v>0.8967551622</v>
      </c>
      <c r="H22" s="163">
        <f t="shared" ref="H22:L22" si="54">H19+H15+H10</f>
        <v>274</v>
      </c>
      <c r="I22" s="163">
        <f t="shared" si="54"/>
        <v>40</v>
      </c>
      <c r="J22" s="163">
        <f t="shared" si="54"/>
        <v>6</v>
      </c>
      <c r="K22" s="163">
        <f t="shared" si="54"/>
        <v>320</v>
      </c>
      <c r="L22" s="163">
        <f t="shared" si="54"/>
        <v>320</v>
      </c>
      <c r="M22" s="164">
        <f>K22/L22</f>
        <v>1</v>
      </c>
      <c r="N22" s="163">
        <f t="shared" ref="N22:S22" si="55">N19+N15+N10</f>
        <v>209</v>
      </c>
      <c r="O22" s="163">
        <f t="shared" si="55"/>
        <v>20</v>
      </c>
      <c r="P22" s="163">
        <f t="shared" si="55"/>
        <v>0</v>
      </c>
      <c r="Q22" s="163">
        <f t="shared" si="55"/>
        <v>17</v>
      </c>
      <c r="R22" s="163">
        <f t="shared" si="55"/>
        <v>246</v>
      </c>
      <c r="S22" s="163">
        <f t="shared" si="55"/>
        <v>308</v>
      </c>
      <c r="T22" s="164">
        <f>R22/S22</f>
        <v>0.7987012987</v>
      </c>
      <c r="U22" s="163">
        <f t="shared" ref="U22:Z22" si="56">U19+U15+U10</f>
        <v>0</v>
      </c>
      <c r="V22" s="163">
        <f t="shared" si="56"/>
        <v>832</v>
      </c>
      <c r="W22" s="163">
        <f t="shared" si="56"/>
        <v>38</v>
      </c>
      <c r="X22" s="163">
        <f t="shared" si="56"/>
        <v>870</v>
      </c>
      <c r="Y22" s="165">
        <f t="shared" si="56"/>
        <v>967</v>
      </c>
      <c r="Z22" s="166">
        <f t="shared" si="56"/>
        <v>97</v>
      </c>
      <c r="AA22" s="167">
        <f>round(Z22/$AA$26*7,0)</f>
        <v>-4</v>
      </c>
      <c r="AB22" s="166">
        <f t="shared" ref="AB22:AC22" si="57">AB19+AB15+AB10</f>
        <v>870</v>
      </c>
      <c r="AC22" s="163">
        <f t="shared" si="57"/>
        <v>967</v>
      </c>
      <c r="AD22" s="168">
        <f>(V22+W22)/Y22</f>
        <v>0.8996897622</v>
      </c>
      <c r="AF22" s="136"/>
      <c r="AT22" s="136"/>
      <c r="AU22" s="136"/>
      <c r="AV22" s="136"/>
      <c r="AW22" s="136"/>
      <c r="AX22" s="136"/>
      <c r="AY22" s="136"/>
      <c r="AZ22" s="136"/>
      <c r="BA22" s="136"/>
      <c r="BB22" s="136"/>
    </row>
    <row r="23">
      <c r="AT23" s="136"/>
      <c r="AU23" s="136"/>
      <c r="AV23" s="136"/>
      <c r="AW23" s="136"/>
      <c r="AX23" s="136"/>
      <c r="AY23" s="136"/>
      <c r="AZ23" s="136"/>
      <c r="BA23" s="136"/>
      <c r="BB23" s="136"/>
    </row>
    <row r="24">
      <c r="AA24" s="1">
        <v>46022.0</v>
      </c>
      <c r="AB24" s="44"/>
      <c r="AC24" s="21">
        <f>AC22-AB22</f>
        <v>97</v>
      </c>
      <c r="AT24" s="136"/>
      <c r="AU24" s="136"/>
      <c r="AV24" s="136"/>
      <c r="AW24" s="136"/>
      <c r="AX24" s="136"/>
      <c r="AY24" s="136"/>
      <c r="AZ24" s="136"/>
      <c r="BA24" s="136"/>
      <c r="BB24" s="136"/>
    </row>
    <row r="25">
      <c r="A25" s="195" t="s">
        <v>83</v>
      </c>
      <c r="B25" s="46"/>
      <c r="C25" s="46"/>
      <c r="D25" s="46"/>
      <c r="E25" s="46"/>
      <c r="F25" s="46"/>
      <c r="G25" s="47"/>
      <c r="AA25" s="169">
        <f>today()-1</f>
        <v>46215</v>
      </c>
      <c r="AT25" s="136"/>
      <c r="AU25" s="136"/>
      <c r="AV25" s="136"/>
      <c r="AW25" s="136"/>
      <c r="AX25" s="136"/>
      <c r="AY25" s="136"/>
      <c r="AZ25" s="136"/>
      <c r="BA25" s="136"/>
      <c r="BB25" s="136"/>
    </row>
    <row r="26">
      <c r="A26" s="9"/>
      <c r="G26" s="14"/>
      <c r="L26" s="196" t="s">
        <v>84</v>
      </c>
      <c r="AA26" s="20">
        <f>AA24-AA25</f>
        <v>-193</v>
      </c>
      <c r="AT26" s="136"/>
      <c r="AU26" s="136"/>
      <c r="AV26" s="136"/>
      <c r="AW26" s="136"/>
      <c r="AX26" s="136"/>
      <c r="AY26" s="136"/>
      <c r="AZ26" s="136"/>
      <c r="BA26" s="136"/>
      <c r="BB26" s="136"/>
    </row>
    <row r="27">
      <c r="A27" s="15"/>
      <c r="B27" s="179" t="s">
        <v>37</v>
      </c>
      <c r="C27" s="179" t="s">
        <v>38</v>
      </c>
      <c r="D27" s="179" t="s">
        <v>85</v>
      </c>
      <c r="F27" s="179" t="s">
        <v>86</v>
      </c>
      <c r="G27" s="14"/>
      <c r="L27" s="179" t="s">
        <v>87</v>
      </c>
      <c r="M27" s="179" t="s">
        <v>88</v>
      </c>
      <c r="N27" s="179" t="s">
        <v>89</v>
      </c>
      <c r="O27" s="179" t="s">
        <v>90</v>
      </c>
      <c r="P27" s="179" t="s">
        <v>37</v>
      </c>
      <c r="Q27" s="197"/>
      <c r="AJ27" s="136"/>
      <c r="AK27" s="136"/>
      <c r="AL27" s="136"/>
      <c r="AM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</row>
    <row r="28">
      <c r="A28" s="16" t="s">
        <v>13</v>
      </c>
      <c r="B28" s="97">
        <f t="shared" ref="B28:B31" si="58">P28</f>
        <v>7</v>
      </c>
      <c r="C28" s="97">
        <f>12+11</f>
        <v>23</v>
      </c>
      <c r="D28" s="198">
        <f t="shared" ref="D28:D31" si="59">C28-B28</f>
        <v>16</v>
      </c>
      <c r="F28" s="198"/>
      <c r="G28" s="14"/>
      <c r="I28" s="8"/>
      <c r="J28" s="8" t="s">
        <v>91</v>
      </c>
      <c r="K28" s="31" t="s">
        <v>13</v>
      </c>
      <c r="L28" s="20">
        <v>5.0</v>
      </c>
      <c r="M28" s="12">
        <v>2.0</v>
      </c>
      <c r="P28" s="96">
        <f t="shared" ref="P28:P31" si="60">sum(L28:O28)</f>
        <v>7</v>
      </c>
      <c r="S28" s="12" t="s">
        <v>63</v>
      </c>
      <c r="AJ28" s="136"/>
      <c r="AK28" s="136"/>
      <c r="AL28" s="136"/>
      <c r="AM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</row>
    <row r="29">
      <c r="A29" s="16" t="s">
        <v>14</v>
      </c>
      <c r="B29" s="97">
        <f t="shared" si="58"/>
        <v>4</v>
      </c>
      <c r="C29" s="97">
        <f>6+7</f>
        <v>13</v>
      </c>
      <c r="D29" s="198">
        <f t="shared" si="59"/>
        <v>9</v>
      </c>
      <c r="F29" s="198">
        <v>4.0</v>
      </c>
      <c r="G29" s="14"/>
      <c r="I29" s="8"/>
      <c r="J29" s="8" t="s">
        <v>92</v>
      </c>
      <c r="K29" s="31" t="s">
        <v>14</v>
      </c>
      <c r="L29" s="20">
        <v>1.0</v>
      </c>
      <c r="N29" s="12">
        <v>3.0</v>
      </c>
      <c r="P29" s="96">
        <f t="shared" si="60"/>
        <v>4</v>
      </c>
      <c r="AJ29" s="136"/>
      <c r="AK29" s="136"/>
      <c r="AL29" s="136"/>
      <c r="AM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</row>
    <row r="30">
      <c r="A30" s="16" t="s">
        <v>15</v>
      </c>
      <c r="B30" s="97">
        <f t="shared" si="58"/>
        <v>0</v>
      </c>
      <c r="C30" s="97">
        <f>5+6</f>
        <v>11</v>
      </c>
      <c r="D30" s="198">
        <f t="shared" si="59"/>
        <v>11</v>
      </c>
      <c r="F30" s="198"/>
      <c r="G30" s="14"/>
      <c r="I30" s="8"/>
      <c r="J30" s="8" t="s">
        <v>93</v>
      </c>
      <c r="K30" s="31" t="s">
        <v>15</v>
      </c>
      <c r="P30" s="96">
        <f t="shared" si="60"/>
        <v>0</v>
      </c>
      <c r="V30" s="197"/>
    </row>
    <row r="31">
      <c r="A31" s="16" t="s">
        <v>16</v>
      </c>
      <c r="B31" s="97">
        <f t="shared" si="58"/>
        <v>2</v>
      </c>
      <c r="C31" s="97">
        <f>7+7</f>
        <v>14</v>
      </c>
      <c r="D31" s="198">
        <f t="shared" si="59"/>
        <v>12</v>
      </c>
      <c r="F31" s="198"/>
      <c r="G31" s="14"/>
      <c r="I31" s="8"/>
      <c r="J31" s="8" t="s">
        <v>94</v>
      </c>
      <c r="K31" s="31" t="s">
        <v>16</v>
      </c>
      <c r="M31" s="12">
        <v>2.0</v>
      </c>
      <c r="P31" s="96">
        <f t="shared" si="60"/>
        <v>2</v>
      </c>
    </row>
    <row r="32">
      <c r="A32" s="26" t="s">
        <v>17</v>
      </c>
      <c r="B32" s="29">
        <f t="shared" ref="B32:D32" si="61">sum(B28:B31)</f>
        <v>13</v>
      </c>
      <c r="C32" s="29">
        <f t="shared" si="61"/>
        <v>61</v>
      </c>
      <c r="D32" s="29">
        <f t="shared" si="61"/>
        <v>48</v>
      </c>
      <c r="F32" s="29">
        <f>sum(F28:F31)</f>
        <v>4</v>
      </c>
      <c r="G32" s="14"/>
      <c r="K32" s="199" t="s">
        <v>17</v>
      </c>
      <c r="L32" s="29">
        <f t="shared" ref="L32:P32" si="62">sum(L28:L31)</f>
        <v>6</v>
      </c>
      <c r="M32" s="29">
        <f t="shared" si="62"/>
        <v>4</v>
      </c>
      <c r="N32" s="29">
        <f t="shared" si="62"/>
        <v>3</v>
      </c>
      <c r="O32" s="29">
        <f t="shared" si="62"/>
        <v>0</v>
      </c>
      <c r="P32" s="29">
        <f t="shared" si="62"/>
        <v>13</v>
      </c>
    </row>
    <row r="33">
      <c r="A33" s="16"/>
      <c r="B33" s="116"/>
      <c r="C33" s="116"/>
      <c r="D33" s="116"/>
      <c r="F33" s="116"/>
      <c r="G33" s="14"/>
      <c r="K33" s="31"/>
      <c r="L33" s="116"/>
      <c r="M33" s="116"/>
      <c r="N33" s="116"/>
      <c r="O33" s="116"/>
      <c r="P33" s="116"/>
    </row>
    <row r="34">
      <c r="A34" s="16" t="s">
        <v>18</v>
      </c>
      <c r="B34" s="97">
        <f>P34</f>
        <v>1</v>
      </c>
      <c r="C34" s="97">
        <f>7+6</f>
        <v>13</v>
      </c>
      <c r="D34" s="198">
        <f t="shared" ref="D34:D37" si="63">C34-B34</f>
        <v>12</v>
      </c>
      <c r="F34" s="198"/>
      <c r="G34" s="14"/>
      <c r="K34" s="31" t="s">
        <v>18</v>
      </c>
      <c r="L34" s="12">
        <v>1.0</v>
      </c>
      <c r="P34" s="96">
        <f t="shared" ref="P34:P37" si="64">sum(L34:O34)</f>
        <v>1</v>
      </c>
    </row>
    <row r="35">
      <c r="A35" s="16" t="s">
        <v>19</v>
      </c>
      <c r="B35" s="97">
        <v>2.0</v>
      </c>
      <c r="C35" s="97">
        <f>9+9</f>
        <v>18</v>
      </c>
      <c r="D35" s="198">
        <f t="shared" si="63"/>
        <v>16</v>
      </c>
      <c r="F35" s="198">
        <v>2.0</v>
      </c>
      <c r="G35" s="14"/>
      <c r="K35" s="31" t="s">
        <v>19</v>
      </c>
      <c r="M35" s="12">
        <v>1.0</v>
      </c>
      <c r="P35" s="96">
        <f t="shared" si="64"/>
        <v>1</v>
      </c>
    </row>
    <row r="36">
      <c r="A36" s="16" t="s">
        <v>20</v>
      </c>
      <c r="B36" s="97">
        <v>1.0</v>
      </c>
      <c r="C36" s="97">
        <f>5+6</f>
        <v>11</v>
      </c>
      <c r="D36" s="198">
        <f t="shared" si="63"/>
        <v>10</v>
      </c>
      <c r="F36" s="198">
        <v>1.0</v>
      </c>
      <c r="G36" s="14"/>
      <c r="K36" s="31" t="s">
        <v>20</v>
      </c>
      <c r="P36" s="96">
        <f t="shared" si="64"/>
        <v>0</v>
      </c>
    </row>
    <row r="37">
      <c r="A37" s="16" t="s">
        <v>21</v>
      </c>
      <c r="B37" s="97">
        <v>1.0</v>
      </c>
      <c r="C37" s="97">
        <f>9+9</f>
        <v>18</v>
      </c>
      <c r="D37" s="198">
        <f t="shared" si="63"/>
        <v>17</v>
      </c>
      <c r="F37" s="198">
        <v>1.0</v>
      </c>
      <c r="G37" s="14"/>
      <c r="K37" s="31" t="s">
        <v>21</v>
      </c>
      <c r="O37" s="12">
        <v>1.0</v>
      </c>
      <c r="P37" s="96">
        <f t="shared" si="64"/>
        <v>1</v>
      </c>
    </row>
    <row r="38">
      <c r="A38" s="26" t="s">
        <v>22</v>
      </c>
      <c r="B38" s="29">
        <f t="shared" ref="B38:D38" si="65">sum(B34:B37)</f>
        <v>5</v>
      </c>
      <c r="C38" s="29">
        <f t="shared" si="65"/>
        <v>60</v>
      </c>
      <c r="D38" s="29">
        <f t="shared" si="65"/>
        <v>55</v>
      </c>
      <c r="F38" s="29">
        <f>sum(F34:F37)</f>
        <v>4</v>
      </c>
      <c r="G38" s="14"/>
      <c r="K38" s="199" t="s">
        <v>22</v>
      </c>
      <c r="L38" s="29">
        <f t="shared" ref="L38:P38" si="66">sum(L34:L37)</f>
        <v>1</v>
      </c>
      <c r="M38" s="29">
        <f t="shared" si="66"/>
        <v>1</v>
      </c>
      <c r="N38" s="29">
        <f t="shared" si="66"/>
        <v>0</v>
      </c>
      <c r="O38" s="29">
        <f t="shared" si="66"/>
        <v>1</v>
      </c>
      <c r="P38" s="29">
        <f t="shared" si="66"/>
        <v>3</v>
      </c>
    </row>
    <row r="39">
      <c r="A39" s="16"/>
      <c r="B39" s="116"/>
      <c r="C39" s="116"/>
      <c r="D39" s="116"/>
      <c r="F39" s="116"/>
      <c r="G39" s="14"/>
      <c r="K39" s="31"/>
      <c r="L39" s="116"/>
      <c r="M39" s="116"/>
      <c r="N39" s="116"/>
      <c r="O39" s="116"/>
      <c r="P39" s="116"/>
    </row>
    <row r="40">
      <c r="A40" s="16" t="s">
        <v>23</v>
      </c>
      <c r="B40" s="97">
        <v>22.0</v>
      </c>
      <c r="C40" s="97">
        <f>9+9</f>
        <v>18</v>
      </c>
      <c r="D40" s="198">
        <f t="shared" ref="D40:D42" si="67">C40-B40</f>
        <v>-4</v>
      </c>
      <c r="F40" s="198">
        <v>0.0</v>
      </c>
      <c r="G40" s="14"/>
      <c r="K40" s="31" t="s">
        <v>23</v>
      </c>
      <c r="L40" s="20">
        <v>3.0</v>
      </c>
      <c r="M40" s="12">
        <v>4.0</v>
      </c>
      <c r="N40" s="12">
        <v>3.0</v>
      </c>
      <c r="O40" s="12">
        <v>12.0</v>
      </c>
      <c r="P40" s="96">
        <f t="shared" ref="P40:P42" si="68">sum(L40:O40)</f>
        <v>22</v>
      </c>
      <c r="R40" s="200"/>
      <c r="S40" s="200"/>
      <c r="T40" s="200"/>
    </row>
    <row r="41">
      <c r="A41" s="16" t="s">
        <v>24</v>
      </c>
      <c r="B41" s="97">
        <v>3.0</v>
      </c>
      <c r="C41" s="97">
        <f>5+6</f>
        <v>11</v>
      </c>
      <c r="D41" s="198">
        <f t="shared" si="67"/>
        <v>8</v>
      </c>
      <c r="F41" s="198">
        <v>0.0</v>
      </c>
      <c r="G41" s="14"/>
      <c r="K41" s="31" t="s">
        <v>24</v>
      </c>
      <c r="N41" s="12">
        <v>2.0</v>
      </c>
      <c r="O41" s="12">
        <v>1.0</v>
      </c>
      <c r="P41" s="96">
        <f t="shared" si="68"/>
        <v>3</v>
      </c>
      <c r="R41" s="200"/>
      <c r="S41" s="200"/>
      <c r="T41" s="200"/>
    </row>
    <row r="42">
      <c r="A42" s="16" t="s">
        <v>25</v>
      </c>
      <c r="B42" s="97">
        <f>P42</f>
        <v>0</v>
      </c>
      <c r="C42" s="97">
        <f>2+3</f>
        <v>5</v>
      </c>
      <c r="D42" s="198">
        <f t="shared" si="67"/>
        <v>5</v>
      </c>
      <c r="F42" s="198">
        <v>0.0</v>
      </c>
      <c r="G42" s="14"/>
      <c r="K42" s="31" t="s">
        <v>25</v>
      </c>
      <c r="P42" s="96">
        <f t="shared" si="68"/>
        <v>0</v>
      </c>
      <c r="R42" s="200"/>
      <c r="S42" s="200"/>
      <c r="T42" s="200"/>
    </row>
    <row r="43">
      <c r="A43" s="26" t="s">
        <v>26</v>
      </c>
      <c r="B43" s="29">
        <f t="shared" ref="B43:D43" si="69">sum(B40:B42)</f>
        <v>25</v>
      </c>
      <c r="C43" s="29">
        <f t="shared" si="69"/>
        <v>34</v>
      </c>
      <c r="D43" s="29">
        <f t="shared" si="69"/>
        <v>9</v>
      </c>
      <c r="F43" s="29">
        <f>sum(F40:F42)</f>
        <v>0</v>
      </c>
      <c r="G43" s="14"/>
      <c r="K43" s="199" t="s">
        <v>26</v>
      </c>
      <c r="L43" s="29">
        <f t="shared" ref="L43:P43" si="70">sum(L40:L42)</f>
        <v>3</v>
      </c>
      <c r="M43" s="29">
        <f t="shared" si="70"/>
        <v>4</v>
      </c>
      <c r="N43" s="29">
        <f t="shared" si="70"/>
        <v>5</v>
      </c>
      <c r="O43" s="29">
        <f t="shared" si="70"/>
        <v>13</v>
      </c>
      <c r="P43" s="29">
        <f t="shared" si="70"/>
        <v>25</v>
      </c>
    </row>
    <row r="44">
      <c r="A44" s="26"/>
      <c r="B44" s="32"/>
      <c r="C44" s="32"/>
      <c r="D44" s="32"/>
      <c r="F44" s="32"/>
      <c r="G44" s="14"/>
      <c r="K44" s="199"/>
      <c r="L44" s="32"/>
      <c r="M44" s="32"/>
      <c r="N44" s="32"/>
      <c r="O44" s="32"/>
      <c r="P44" s="32"/>
    </row>
    <row r="45">
      <c r="A45" s="26"/>
      <c r="B45" s="154"/>
      <c r="C45" s="154"/>
      <c r="D45" s="154"/>
      <c r="F45" s="154"/>
      <c r="G45" s="14"/>
      <c r="K45" s="199"/>
      <c r="L45" s="154"/>
      <c r="M45" s="154"/>
      <c r="N45" s="154"/>
      <c r="O45" s="154"/>
      <c r="P45" s="154"/>
    </row>
    <row r="46">
      <c r="A46" s="26" t="s">
        <v>8</v>
      </c>
      <c r="B46" s="29">
        <f t="shared" ref="B46:D46" si="71">B43+B38+B32</f>
        <v>43</v>
      </c>
      <c r="C46" s="29">
        <f t="shared" si="71"/>
        <v>155</v>
      </c>
      <c r="D46" s="29">
        <f t="shared" si="71"/>
        <v>112</v>
      </c>
      <c r="F46" s="29">
        <f>F43+F38+F32</f>
        <v>8</v>
      </c>
      <c r="G46" s="14"/>
      <c r="K46" s="199" t="s">
        <v>8</v>
      </c>
      <c r="L46" s="29">
        <f t="shared" ref="L46:P46" si="72">L43+L38+L32</f>
        <v>10</v>
      </c>
      <c r="M46" s="29">
        <f t="shared" si="72"/>
        <v>9</v>
      </c>
      <c r="N46" s="29">
        <f t="shared" si="72"/>
        <v>8</v>
      </c>
      <c r="O46" s="29">
        <f t="shared" si="72"/>
        <v>14</v>
      </c>
      <c r="P46" s="29">
        <f t="shared" si="72"/>
        <v>41</v>
      </c>
    </row>
    <row r="47">
      <c r="A47" s="201"/>
      <c r="B47" s="202"/>
      <c r="C47" s="202"/>
      <c r="D47" s="202"/>
      <c r="E47" s="202"/>
      <c r="F47" s="202"/>
      <c r="G47" s="203"/>
    </row>
    <row r="49">
      <c r="A49" s="187" t="s">
        <v>52</v>
      </c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8"/>
      <c r="X49" s="110" t="s">
        <v>29</v>
      </c>
      <c r="Y49" s="111" t="s">
        <v>30</v>
      </c>
    </row>
    <row r="50">
      <c r="A50" s="13"/>
      <c r="B50" s="190"/>
      <c r="C50" s="89" t="str">
        <f>C4</f>
        <v>OCT</v>
      </c>
      <c r="D50" s="90"/>
      <c r="E50" s="90"/>
      <c r="F50" s="90"/>
      <c r="G50" s="89" t="str">
        <f>H4</f>
        <v>NOV</v>
      </c>
      <c r="H50" s="90"/>
      <c r="I50" s="90"/>
      <c r="J50" s="90"/>
      <c r="K50" s="90"/>
      <c r="L50" s="89" t="str">
        <f>N4</f>
        <v>DEC</v>
      </c>
      <c r="M50" s="90"/>
      <c r="N50" s="90"/>
      <c r="O50" s="90"/>
      <c r="P50" s="89"/>
      <c r="Q50" s="89"/>
      <c r="R50" s="91" t="s">
        <v>8</v>
      </c>
      <c r="S50" s="90"/>
      <c r="T50" s="90"/>
      <c r="U50" s="92"/>
      <c r="Y50" s="136"/>
    </row>
    <row r="51">
      <c r="A51" s="15"/>
      <c r="B51" s="190"/>
      <c r="C51" s="179" t="s">
        <v>54</v>
      </c>
      <c r="D51" s="179" t="s">
        <v>55</v>
      </c>
      <c r="E51" s="179" t="s">
        <v>37</v>
      </c>
      <c r="F51" s="179" t="s">
        <v>56</v>
      </c>
      <c r="G51" s="179" t="s">
        <v>54</v>
      </c>
      <c r="H51" s="179" t="s">
        <v>55</v>
      </c>
      <c r="I51" s="179"/>
      <c r="J51" s="179" t="s">
        <v>37</v>
      </c>
      <c r="K51" s="179" t="s">
        <v>56</v>
      </c>
      <c r="L51" s="179" t="s">
        <v>54</v>
      </c>
      <c r="M51" s="179" t="s">
        <v>55</v>
      </c>
      <c r="N51" s="179" t="s">
        <v>37</v>
      </c>
      <c r="O51" s="179" t="s">
        <v>56</v>
      </c>
      <c r="P51" s="204"/>
      <c r="Q51" s="179"/>
      <c r="R51" s="179" t="s">
        <v>54</v>
      </c>
      <c r="S51" s="179" t="s">
        <v>55</v>
      </c>
      <c r="T51" s="179" t="s">
        <v>37</v>
      </c>
      <c r="U51" s="181" t="s">
        <v>56</v>
      </c>
      <c r="Y51" s="136"/>
    </row>
    <row r="52">
      <c r="A52" s="95" t="s">
        <v>13</v>
      </c>
      <c r="B52" s="190"/>
      <c r="C52" s="17">
        <v>127.0</v>
      </c>
      <c r="D52" s="17">
        <v>0.0</v>
      </c>
      <c r="E52" s="96">
        <f>SUM(C52:D52)</f>
        <v>127</v>
      </c>
      <c r="F52" s="97">
        <v>170.0</v>
      </c>
      <c r="G52" s="98">
        <v>199.0</v>
      </c>
      <c r="H52" s="17">
        <v>0.0</v>
      </c>
      <c r="I52" s="96"/>
      <c r="J52" s="96">
        <f>SUM(G52:H52)</f>
        <v>199</v>
      </c>
      <c r="K52" s="97">
        <v>159.0</v>
      </c>
      <c r="L52" s="98">
        <v>192.0</v>
      </c>
      <c r="M52" s="17">
        <v>0.0</v>
      </c>
      <c r="N52" s="96">
        <f>SUM(L52:M52)</f>
        <v>192</v>
      </c>
      <c r="O52" s="97">
        <v>128.0</v>
      </c>
      <c r="P52" s="32"/>
      <c r="Q52" s="99" t="str">
        <f t="shared" ref="Q52:Q58" si="76">B52</f>
        <v/>
      </c>
      <c r="R52" s="31">
        <f t="shared" ref="R52:S52" si="73">L52+G52+C52</f>
        <v>518</v>
      </c>
      <c r="S52" s="31">
        <f t="shared" si="73"/>
        <v>0</v>
      </c>
      <c r="T52" s="96">
        <f>sum(Q52:S52)</f>
        <v>518</v>
      </c>
      <c r="U52" s="100">
        <f>O52+K52+F52</f>
        <v>457</v>
      </c>
      <c r="X52" s="157">
        <v>46006.0</v>
      </c>
      <c r="Y52" s="149" t="s">
        <v>75</v>
      </c>
    </row>
    <row r="53">
      <c r="A53" s="103" t="s">
        <v>17</v>
      </c>
      <c r="B53" s="190"/>
      <c r="C53" s="27">
        <f t="shared" ref="C53:H53" si="74">sum(C52)</f>
        <v>127</v>
      </c>
      <c r="D53" s="27">
        <f t="shared" si="74"/>
        <v>0</v>
      </c>
      <c r="E53" s="27">
        <f t="shared" si="74"/>
        <v>127</v>
      </c>
      <c r="F53" s="27">
        <f t="shared" si="74"/>
        <v>170</v>
      </c>
      <c r="G53" s="27">
        <f t="shared" si="74"/>
        <v>199</v>
      </c>
      <c r="H53" s="27">
        <f t="shared" si="74"/>
        <v>0</v>
      </c>
      <c r="I53" s="27"/>
      <c r="J53" s="27">
        <f t="shared" ref="J53:O53" si="75">sum(J52)</f>
        <v>199</v>
      </c>
      <c r="K53" s="27">
        <f t="shared" si="75"/>
        <v>159</v>
      </c>
      <c r="L53" s="27">
        <f t="shared" si="75"/>
        <v>192</v>
      </c>
      <c r="M53" s="27">
        <f t="shared" si="75"/>
        <v>0</v>
      </c>
      <c r="N53" s="27">
        <f t="shared" si="75"/>
        <v>192</v>
      </c>
      <c r="O53" s="27">
        <f t="shared" si="75"/>
        <v>128</v>
      </c>
      <c r="P53" s="32"/>
      <c r="Q53" s="99" t="str">
        <f t="shared" si="76"/>
        <v/>
      </c>
      <c r="R53" s="27">
        <f t="shared" ref="R53:U53" si="77">sum(R52)</f>
        <v>518</v>
      </c>
      <c r="S53" s="27">
        <f t="shared" si="77"/>
        <v>0</v>
      </c>
      <c r="T53" s="27">
        <f t="shared" si="77"/>
        <v>518</v>
      </c>
      <c r="U53" s="104">
        <f t="shared" si="77"/>
        <v>457</v>
      </c>
      <c r="Y53" s="136"/>
    </row>
    <row r="54">
      <c r="A54" s="95" t="s">
        <v>19</v>
      </c>
      <c r="B54" s="190"/>
      <c r="C54" s="17">
        <v>14.0</v>
      </c>
      <c r="D54" s="31">
        <v>0.0</v>
      </c>
      <c r="E54" s="96">
        <f>SUM(C54:D54)</f>
        <v>14</v>
      </c>
      <c r="F54" s="97">
        <v>32.0</v>
      </c>
      <c r="G54" s="98">
        <v>6.0</v>
      </c>
      <c r="H54" s="31">
        <v>0.0</v>
      </c>
      <c r="I54" s="96"/>
      <c r="J54" s="96">
        <f>SUM(G54:H54)</f>
        <v>6</v>
      </c>
      <c r="K54" s="97">
        <v>25.0</v>
      </c>
      <c r="L54" s="98">
        <v>24.0</v>
      </c>
      <c r="M54" s="31">
        <v>0.0</v>
      </c>
      <c r="N54" s="96">
        <v>10.0</v>
      </c>
      <c r="O54" s="97">
        <v>40.0</v>
      </c>
      <c r="P54" s="32"/>
      <c r="Q54" s="99" t="str">
        <f t="shared" si="76"/>
        <v/>
      </c>
      <c r="R54" s="31">
        <f>L54+G54+P58+C54</f>
        <v>44</v>
      </c>
      <c r="S54" s="31">
        <f>M54+H54+D54</f>
        <v>0</v>
      </c>
      <c r="T54" s="96">
        <f>sum(Q54:S54)</f>
        <v>44</v>
      </c>
      <c r="U54" s="100">
        <f>O54+K54+F54</f>
        <v>97</v>
      </c>
      <c r="X54" s="157">
        <v>46022.0</v>
      </c>
      <c r="Y54" s="149" t="s">
        <v>48</v>
      </c>
    </row>
    <row r="55">
      <c r="A55" s="103" t="s">
        <v>22</v>
      </c>
      <c r="B55" s="190"/>
      <c r="C55" s="27">
        <f t="shared" ref="C55:H55" si="78">sum(C54)</f>
        <v>14</v>
      </c>
      <c r="D55" s="27">
        <f t="shared" si="78"/>
        <v>0</v>
      </c>
      <c r="E55" s="27">
        <f t="shared" si="78"/>
        <v>14</v>
      </c>
      <c r="F55" s="27">
        <f t="shared" si="78"/>
        <v>32</v>
      </c>
      <c r="G55" s="27">
        <f t="shared" si="78"/>
        <v>6</v>
      </c>
      <c r="H55" s="27">
        <f t="shared" si="78"/>
        <v>0</v>
      </c>
      <c r="I55" s="27"/>
      <c r="J55" s="27">
        <f t="shared" ref="J55:O55" si="79">sum(J54)</f>
        <v>6</v>
      </c>
      <c r="K55" s="27">
        <f t="shared" si="79"/>
        <v>25</v>
      </c>
      <c r="L55" s="27">
        <f t="shared" si="79"/>
        <v>24</v>
      </c>
      <c r="M55" s="27">
        <f t="shared" si="79"/>
        <v>0</v>
      </c>
      <c r="N55" s="27">
        <f t="shared" si="79"/>
        <v>10</v>
      </c>
      <c r="O55" s="27">
        <f t="shared" si="79"/>
        <v>40</v>
      </c>
      <c r="P55" s="32"/>
      <c r="Q55" s="99" t="str">
        <f t="shared" si="76"/>
        <v/>
      </c>
      <c r="R55" s="27">
        <f t="shared" ref="R55:U55" si="80">sum(R54)</f>
        <v>44</v>
      </c>
      <c r="S55" s="27">
        <f t="shared" si="80"/>
        <v>0</v>
      </c>
      <c r="T55" s="27">
        <f t="shared" si="80"/>
        <v>44</v>
      </c>
      <c r="U55" s="104">
        <f t="shared" si="80"/>
        <v>97</v>
      </c>
      <c r="Y55" s="136"/>
    </row>
    <row r="56">
      <c r="A56" s="95" t="s">
        <v>23</v>
      </c>
      <c r="B56" s="190"/>
      <c r="C56" s="17">
        <v>144.0</v>
      </c>
      <c r="D56" s="31">
        <v>0.0</v>
      </c>
      <c r="E56" s="96">
        <f>SUM(C56:D56)</f>
        <v>144</v>
      </c>
      <c r="F56" s="97">
        <v>49.0</v>
      </c>
      <c r="G56" s="98">
        <v>61.0</v>
      </c>
      <c r="H56" s="31">
        <v>0.0</v>
      </c>
      <c r="I56" s="96"/>
      <c r="J56" s="96">
        <f>SUM(G56:H56)</f>
        <v>61</v>
      </c>
      <c r="K56" s="97">
        <v>40.0</v>
      </c>
      <c r="L56" s="98">
        <v>49.0</v>
      </c>
      <c r="M56" s="31">
        <v>0.0</v>
      </c>
      <c r="N56" s="96">
        <f>SUM(L56:M56)</f>
        <v>49</v>
      </c>
      <c r="O56" s="97">
        <v>32.0</v>
      </c>
      <c r="P56" s="32"/>
      <c r="Q56" s="99" t="str">
        <f t="shared" si="76"/>
        <v/>
      </c>
      <c r="R56" s="31">
        <f t="shared" ref="R56:S56" si="81">L56+G56+C56</f>
        <v>254</v>
      </c>
      <c r="S56" s="31">
        <f t="shared" si="81"/>
        <v>0</v>
      </c>
      <c r="T56" s="96">
        <f>sum(Q56:S56)</f>
        <v>254</v>
      </c>
      <c r="U56" s="100">
        <f>O56+K56+F56</f>
        <v>121</v>
      </c>
      <c r="Y56" s="136"/>
    </row>
    <row r="57">
      <c r="A57" s="103"/>
      <c r="B57" s="190"/>
      <c r="C57" s="27">
        <f t="shared" ref="C57:H57" si="82">sum(C56)</f>
        <v>144</v>
      </c>
      <c r="D57" s="27">
        <f t="shared" si="82"/>
        <v>0</v>
      </c>
      <c r="E57" s="27">
        <f t="shared" si="82"/>
        <v>144</v>
      </c>
      <c r="F57" s="27">
        <f t="shared" si="82"/>
        <v>49</v>
      </c>
      <c r="G57" s="27">
        <f t="shared" si="82"/>
        <v>61</v>
      </c>
      <c r="H57" s="27">
        <f t="shared" si="82"/>
        <v>0</v>
      </c>
      <c r="I57" s="27"/>
      <c r="J57" s="27">
        <f t="shared" ref="J57:O57" si="83">sum(J56)</f>
        <v>61</v>
      </c>
      <c r="K57" s="27">
        <f t="shared" si="83"/>
        <v>40</v>
      </c>
      <c r="L57" s="27">
        <f t="shared" si="83"/>
        <v>49</v>
      </c>
      <c r="M57" s="27">
        <f t="shared" si="83"/>
        <v>0</v>
      </c>
      <c r="N57" s="27">
        <f t="shared" si="83"/>
        <v>49</v>
      </c>
      <c r="O57" s="27">
        <f t="shared" si="83"/>
        <v>32</v>
      </c>
      <c r="P57" s="32"/>
      <c r="Q57" s="99" t="str">
        <f t="shared" si="76"/>
        <v/>
      </c>
      <c r="R57" s="27">
        <f t="shared" ref="R57:U57" si="84">sum(R56)</f>
        <v>254</v>
      </c>
      <c r="S57" s="27">
        <f t="shared" si="84"/>
        <v>0</v>
      </c>
      <c r="T57" s="27">
        <f t="shared" si="84"/>
        <v>254</v>
      </c>
      <c r="U57" s="104">
        <f t="shared" si="84"/>
        <v>121</v>
      </c>
      <c r="X57" s="157">
        <v>46022.0</v>
      </c>
      <c r="Y57" s="149" t="s">
        <v>77</v>
      </c>
    </row>
    <row r="58">
      <c r="A58" s="103"/>
      <c r="B58" s="190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99" t="str">
        <f t="shared" si="76"/>
        <v/>
      </c>
      <c r="R58" s="32"/>
      <c r="S58" s="32"/>
      <c r="T58" s="32"/>
      <c r="U58" s="107"/>
    </row>
    <row r="59">
      <c r="A59" s="13"/>
      <c r="B59" s="136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107"/>
    </row>
    <row r="60">
      <c r="A60" s="108" t="s">
        <v>8</v>
      </c>
      <c r="B60" s="205"/>
      <c r="C60" s="35">
        <f t="shared" ref="C60:H60" si="85">C57+C55+C53</f>
        <v>285</v>
      </c>
      <c r="D60" s="35">
        <f t="shared" si="85"/>
        <v>0</v>
      </c>
      <c r="E60" s="35">
        <f t="shared" si="85"/>
        <v>285</v>
      </c>
      <c r="F60" s="35">
        <f t="shared" si="85"/>
        <v>251</v>
      </c>
      <c r="G60" s="35">
        <f t="shared" si="85"/>
        <v>266</v>
      </c>
      <c r="H60" s="35">
        <f t="shared" si="85"/>
        <v>0</v>
      </c>
      <c r="I60" s="35"/>
      <c r="J60" s="35">
        <f t="shared" ref="J60:O60" si="86">J57+J55+J53</f>
        <v>266</v>
      </c>
      <c r="K60" s="35">
        <f t="shared" si="86"/>
        <v>224</v>
      </c>
      <c r="L60" s="35">
        <f t="shared" si="86"/>
        <v>265</v>
      </c>
      <c r="M60" s="35">
        <f t="shared" si="86"/>
        <v>0</v>
      </c>
      <c r="N60" s="35">
        <f t="shared" si="86"/>
        <v>251</v>
      </c>
      <c r="O60" s="35">
        <f t="shared" si="86"/>
        <v>200</v>
      </c>
      <c r="P60" s="109"/>
      <c r="Q60" s="109"/>
      <c r="R60" s="35">
        <f t="shared" ref="R60:U60" si="87">R57+R55+R53</f>
        <v>816</v>
      </c>
      <c r="S60" s="35">
        <f t="shared" si="87"/>
        <v>0</v>
      </c>
      <c r="T60" s="35">
        <f t="shared" si="87"/>
        <v>816</v>
      </c>
      <c r="U60" s="37">
        <f t="shared" si="87"/>
        <v>675</v>
      </c>
    </row>
    <row r="62">
      <c r="A62" s="189" t="s">
        <v>58</v>
      </c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2"/>
      <c r="P62" s="110" t="s">
        <v>29</v>
      </c>
      <c r="Q62" s="111" t="s">
        <v>30</v>
      </c>
      <c r="R62" s="110"/>
      <c r="S62" s="111"/>
    </row>
    <row r="63">
      <c r="A63" s="133"/>
      <c r="B63" s="190" t="str">
        <f>C50</f>
        <v>OCT</v>
      </c>
      <c r="E63" s="190"/>
      <c r="F63" s="178" t="str">
        <f>G50</f>
        <v>NOV</v>
      </c>
      <c r="I63" s="178"/>
      <c r="J63" s="178" t="str">
        <f>L50</f>
        <v>DEC</v>
      </c>
      <c r="M63" s="178"/>
      <c r="N63" s="178" t="s">
        <v>8</v>
      </c>
      <c r="O63" s="191"/>
      <c r="P63" s="136"/>
      <c r="Q63" s="136"/>
    </row>
    <row r="64">
      <c r="A64" s="139"/>
      <c r="B64" s="179" t="s">
        <v>7</v>
      </c>
      <c r="C64" s="179" t="s">
        <v>34</v>
      </c>
      <c r="D64" s="179" t="s">
        <v>38</v>
      </c>
      <c r="E64" s="179"/>
      <c r="F64" s="179" t="s">
        <v>34</v>
      </c>
      <c r="G64" s="179" t="s">
        <v>38</v>
      </c>
      <c r="H64" s="179"/>
      <c r="I64" s="179"/>
      <c r="J64" s="179" t="s">
        <v>34</v>
      </c>
      <c r="K64" s="179" t="s">
        <v>38</v>
      </c>
      <c r="L64" s="179"/>
      <c r="M64" s="179" t="s">
        <v>7</v>
      </c>
      <c r="N64" s="179" t="s">
        <v>34</v>
      </c>
      <c r="O64" s="181" t="s">
        <v>38</v>
      </c>
      <c r="Q64" s="136"/>
    </row>
    <row r="65">
      <c r="A65" s="144" t="s">
        <v>14</v>
      </c>
      <c r="B65" s="194"/>
      <c r="C65" s="17">
        <v>69.0</v>
      </c>
      <c r="D65" s="97">
        <v>48.0</v>
      </c>
      <c r="E65" s="116">
        <f t="shared" ref="E65:E78" si="89">C65/D65</f>
        <v>1.4375</v>
      </c>
      <c r="F65" s="17">
        <v>49.0</v>
      </c>
      <c r="G65" s="97">
        <v>45.0</v>
      </c>
      <c r="H65" s="116">
        <f t="shared" ref="H65:H78" si="90">F65/G65</f>
        <v>1.088888889</v>
      </c>
      <c r="I65" s="17"/>
      <c r="J65" s="17">
        <v>23.0</v>
      </c>
      <c r="K65" s="97">
        <v>32.0</v>
      </c>
      <c r="L65" s="116">
        <f t="shared" ref="L65:L78" si="91">J65/K65</f>
        <v>0.71875</v>
      </c>
      <c r="M65" s="99" t="str">
        <f t="shared" ref="M65:M68" si="92">B65</f>
        <v/>
      </c>
      <c r="N65" s="31">
        <f t="shared" ref="N65:O65" si="88">J65+F65+C65</f>
        <v>141</v>
      </c>
      <c r="O65" s="100">
        <f t="shared" si="88"/>
        <v>125</v>
      </c>
      <c r="P65" s="206"/>
      <c r="Q65" s="149" t="s">
        <v>75</v>
      </c>
    </row>
    <row r="66">
      <c r="A66" s="144" t="s">
        <v>15</v>
      </c>
      <c r="B66" s="194"/>
      <c r="C66" s="17">
        <v>47.0</v>
      </c>
      <c r="D66" s="97">
        <v>47.0</v>
      </c>
      <c r="E66" s="116">
        <f t="shared" si="89"/>
        <v>1</v>
      </c>
      <c r="F66" s="17">
        <v>36.0</v>
      </c>
      <c r="G66" s="97">
        <v>43.0</v>
      </c>
      <c r="H66" s="116">
        <f t="shared" si="90"/>
        <v>0.8372093023</v>
      </c>
      <c r="I66" s="17"/>
      <c r="J66" s="17">
        <v>29.0</v>
      </c>
      <c r="K66" s="97">
        <v>31.0</v>
      </c>
      <c r="L66" s="116">
        <f t="shared" si="91"/>
        <v>0.935483871</v>
      </c>
      <c r="M66" s="99" t="str">
        <f t="shared" si="92"/>
        <v/>
      </c>
      <c r="N66" s="31">
        <f t="shared" ref="N66:O66" si="93">J66+F66+C66</f>
        <v>112</v>
      </c>
      <c r="O66" s="100">
        <f t="shared" si="93"/>
        <v>121</v>
      </c>
      <c r="P66" s="206"/>
      <c r="Q66" s="149" t="s">
        <v>75</v>
      </c>
    </row>
    <row r="67">
      <c r="A67" s="144" t="s">
        <v>16</v>
      </c>
      <c r="B67" s="194"/>
      <c r="C67" s="17">
        <v>46.0</v>
      </c>
      <c r="D67" s="97">
        <v>59.0</v>
      </c>
      <c r="E67" s="116">
        <f t="shared" si="89"/>
        <v>0.7796610169</v>
      </c>
      <c r="F67" s="17">
        <v>40.0</v>
      </c>
      <c r="G67" s="97">
        <v>54.0</v>
      </c>
      <c r="H67" s="116">
        <f t="shared" si="90"/>
        <v>0.7407407407</v>
      </c>
      <c r="I67" s="17"/>
      <c r="J67" s="17">
        <v>23.0</v>
      </c>
      <c r="K67" s="97">
        <v>39.0</v>
      </c>
      <c r="L67" s="116">
        <f t="shared" si="91"/>
        <v>0.5897435897</v>
      </c>
      <c r="M67" s="99" t="str">
        <f t="shared" si="92"/>
        <v/>
      </c>
      <c r="N67" s="31">
        <f t="shared" ref="N67:O67" si="94">J67+F67+C67</f>
        <v>109</v>
      </c>
      <c r="O67" s="100">
        <f t="shared" si="94"/>
        <v>152</v>
      </c>
      <c r="P67" s="157">
        <v>46024.0</v>
      </c>
      <c r="Q67" s="149" t="s">
        <v>75</v>
      </c>
    </row>
    <row r="68">
      <c r="A68" s="144" t="s">
        <v>46</v>
      </c>
      <c r="B68" s="194"/>
      <c r="C68" s="25">
        <v>64.0</v>
      </c>
      <c r="D68" s="97">
        <v>62.0</v>
      </c>
      <c r="E68" s="116">
        <f t="shared" si="89"/>
        <v>1.032258065</v>
      </c>
      <c r="F68" s="17">
        <v>50.0</v>
      </c>
      <c r="G68" s="97">
        <v>57.0</v>
      </c>
      <c r="H68" s="116">
        <f t="shared" si="90"/>
        <v>0.8771929825</v>
      </c>
      <c r="I68" s="17"/>
      <c r="J68" s="17">
        <v>32.0</v>
      </c>
      <c r="K68" s="97">
        <v>40.0</v>
      </c>
      <c r="L68" s="116">
        <f t="shared" si="91"/>
        <v>0.8</v>
      </c>
      <c r="M68" s="99" t="str">
        <f t="shared" si="92"/>
        <v/>
      </c>
      <c r="N68" s="31">
        <f t="shared" ref="N68:O68" si="95">J68+F68+C68</f>
        <v>146</v>
      </c>
      <c r="O68" s="100">
        <f t="shared" si="95"/>
        <v>159</v>
      </c>
      <c r="P68" s="206">
        <v>46024.0</v>
      </c>
      <c r="Q68" s="149" t="s">
        <v>75</v>
      </c>
    </row>
    <row r="69">
      <c r="A69" s="153" t="s">
        <v>17</v>
      </c>
      <c r="B69" s="27">
        <f t="shared" ref="B69:D69" si="96">sum(B65:B68)</f>
        <v>0</v>
      </c>
      <c r="C69" s="27">
        <f t="shared" si="96"/>
        <v>226</v>
      </c>
      <c r="D69" s="27">
        <f t="shared" si="96"/>
        <v>216</v>
      </c>
      <c r="E69" s="116">
        <f t="shared" si="89"/>
        <v>1.046296296</v>
      </c>
      <c r="F69" s="27">
        <f t="shared" ref="F69:G69" si="97">sum(F65:F68)</f>
        <v>175</v>
      </c>
      <c r="G69" s="27">
        <f t="shared" si="97"/>
        <v>199</v>
      </c>
      <c r="H69" s="116">
        <f t="shared" si="90"/>
        <v>0.8793969849</v>
      </c>
      <c r="I69" s="117"/>
      <c r="J69" s="27">
        <f t="shared" ref="J69:K69" si="98">sum(J65:J68)</f>
        <v>107</v>
      </c>
      <c r="K69" s="27">
        <f t="shared" si="98"/>
        <v>142</v>
      </c>
      <c r="L69" s="116">
        <f t="shared" si="91"/>
        <v>0.7535211268</v>
      </c>
      <c r="M69" s="27">
        <f t="shared" ref="M69:O69" si="99">sum(M65:M68)</f>
        <v>0</v>
      </c>
      <c r="N69" s="27">
        <f t="shared" si="99"/>
        <v>508</v>
      </c>
      <c r="O69" s="104">
        <f t="shared" si="99"/>
        <v>557</v>
      </c>
      <c r="Q69" s="136"/>
    </row>
    <row r="70">
      <c r="A70" s="144" t="s">
        <v>20</v>
      </c>
      <c r="B70" s="194"/>
      <c r="C70" s="31">
        <v>43.0</v>
      </c>
      <c r="D70" s="97">
        <v>44.0</v>
      </c>
      <c r="E70" s="116">
        <f t="shared" si="89"/>
        <v>0.9772727273</v>
      </c>
      <c r="F70" s="17">
        <v>42.0</v>
      </c>
      <c r="G70" s="97">
        <v>41.0</v>
      </c>
      <c r="H70" s="116">
        <f t="shared" si="90"/>
        <v>1.024390244</v>
      </c>
      <c r="I70" s="17"/>
      <c r="J70" s="17">
        <v>28.0</v>
      </c>
      <c r="K70" s="97">
        <v>28.0</v>
      </c>
      <c r="L70" s="116">
        <f t="shared" si="91"/>
        <v>1</v>
      </c>
      <c r="M70" s="99" t="str">
        <f t="shared" ref="M70:M73" si="101">B70</f>
        <v/>
      </c>
      <c r="N70" s="31">
        <f t="shared" ref="N70:O70" si="100">J70+F70+C70</f>
        <v>113</v>
      </c>
      <c r="O70" s="100">
        <f t="shared" si="100"/>
        <v>113</v>
      </c>
      <c r="P70" s="157">
        <v>46020.0</v>
      </c>
      <c r="Q70" s="149" t="s">
        <v>48</v>
      </c>
    </row>
    <row r="71">
      <c r="A71" s="144" t="s">
        <v>19</v>
      </c>
      <c r="B71" s="194"/>
      <c r="C71" s="31">
        <v>36.0</v>
      </c>
      <c r="D71" s="97">
        <v>51.0</v>
      </c>
      <c r="E71" s="116">
        <f t="shared" si="89"/>
        <v>0.7058823529</v>
      </c>
      <c r="F71" s="17">
        <v>27.0</v>
      </c>
      <c r="G71" s="97">
        <v>47.0</v>
      </c>
      <c r="H71" s="116">
        <f t="shared" si="90"/>
        <v>0.5744680851</v>
      </c>
      <c r="I71" s="17"/>
      <c r="J71" s="17">
        <v>31.0</v>
      </c>
      <c r="K71" s="97">
        <v>33.0</v>
      </c>
      <c r="L71" s="116">
        <f t="shared" si="91"/>
        <v>0.9393939394</v>
      </c>
      <c r="M71" s="99" t="str">
        <f t="shared" si="101"/>
        <v/>
      </c>
      <c r="N71" s="31">
        <f t="shared" ref="N71:O71" si="102">J71+F71+C71</f>
        <v>94</v>
      </c>
      <c r="O71" s="100">
        <f t="shared" si="102"/>
        <v>131</v>
      </c>
      <c r="P71" s="157">
        <v>46020.0</v>
      </c>
      <c r="Q71" s="149" t="s">
        <v>48</v>
      </c>
    </row>
    <row r="72">
      <c r="A72" s="144" t="s">
        <v>18</v>
      </c>
      <c r="B72" s="194"/>
      <c r="C72" s="31">
        <v>44.0</v>
      </c>
      <c r="D72" s="97">
        <v>41.0</v>
      </c>
      <c r="E72" s="116">
        <f t="shared" si="89"/>
        <v>1.073170732</v>
      </c>
      <c r="F72" s="17">
        <v>27.0</v>
      </c>
      <c r="G72" s="97">
        <v>38.0</v>
      </c>
      <c r="H72" s="116">
        <f t="shared" si="90"/>
        <v>0.7105263158</v>
      </c>
      <c r="I72" s="17"/>
      <c r="J72" s="17">
        <v>28.0</v>
      </c>
      <c r="K72" s="97">
        <v>25.0</v>
      </c>
      <c r="L72" s="116">
        <f t="shared" si="91"/>
        <v>1.12</v>
      </c>
      <c r="M72" s="99" t="str">
        <f t="shared" si="101"/>
        <v/>
      </c>
      <c r="N72" s="31">
        <f t="shared" ref="N72:O72" si="103">J72+F72+C72</f>
        <v>99</v>
      </c>
      <c r="O72" s="100">
        <f t="shared" si="103"/>
        <v>104</v>
      </c>
      <c r="P72" s="157">
        <v>46020.0</v>
      </c>
      <c r="Q72" s="149" t="s">
        <v>48</v>
      </c>
    </row>
    <row r="73">
      <c r="A73" s="144" t="s">
        <v>21</v>
      </c>
      <c r="B73" s="194"/>
      <c r="C73" s="31">
        <v>88.0</v>
      </c>
      <c r="D73" s="97">
        <v>94.0</v>
      </c>
      <c r="E73" s="116">
        <f t="shared" si="89"/>
        <v>0.9361702128</v>
      </c>
      <c r="F73" s="17">
        <v>63.0</v>
      </c>
      <c r="G73" s="97">
        <v>86.0</v>
      </c>
      <c r="H73" s="116">
        <f t="shared" si="90"/>
        <v>0.7325581395</v>
      </c>
      <c r="I73" s="17"/>
      <c r="J73" s="17">
        <v>54.0</v>
      </c>
      <c r="K73" s="97">
        <v>60.0</v>
      </c>
      <c r="L73" s="116">
        <f t="shared" si="91"/>
        <v>0.9</v>
      </c>
      <c r="M73" s="99" t="str">
        <f t="shared" si="101"/>
        <v/>
      </c>
      <c r="N73" s="31">
        <f t="shared" ref="N73:O73" si="104">J73+F73+C73</f>
        <v>205</v>
      </c>
      <c r="O73" s="100">
        <f t="shared" si="104"/>
        <v>240</v>
      </c>
      <c r="P73" s="157">
        <v>46020.0</v>
      </c>
      <c r="Q73" s="149" t="s">
        <v>48</v>
      </c>
    </row>
    <row r="74">
      <c r="A74" s="153" t="s">
        <v>22</v>
      </c>
      <c r="B74" s="27">
        <f t="shared" ref="B74:D74" si="105">sum(B70:B73)</f>
        <v>0</v>
      </c>
      <c r="C74" s="27">
        <f t="shared" si="105"/>
        <v>211</v>
      </c>
      <c r="D74" s="27">
        <f t="shared" si="105"/>
        <v>230</v>
      </c>
      <c r="E74" s="116">
        <f t="shared" si="89"/>
        <v>0.9173913043</v>
      </c>
      <c r="F74" s="27">
        <f t="shared" ref="F74:G74" si="106">sum(F70:F73)</f>
        <v>159</v>
      </c>
      <c r="G74" s="27">
        <f t="shared" si="106"/>
        <v>212</v>
      </c>
      <c r="H74" s="116">
        <f t="shared" si="90"/>
        <v>0.75</v>
      </c>
      <c r="I74" s="117"/>
      <c r="J74" s="27">
        <f t="shared" ref="J74:K74" si="107">sum(J70:J73)</f>
        <v>141</v>
      </c>
      <c r="K74" s="27">
        <f t="shared" si="107"/>
        <v>146</v>
      </c>
      <c r="L74" s="116">
        <f t="shared" si="91"/>
        <v>0.9657534247</v>
      </c>
      <c r="M74" s="27">
        <f t="shared" ref="M74:O74" si="108">sum(M70:M73)</f>
        <v>0</v>
      </c>
      <c r="N74" s="27">
        <f t="shared" si="108"/>
        <v>511</v>
      </c>
      <c r="O74" s="104">
        <f t="shared" si="108"/>
        <v>588</v>
      </c>
      <c r="Q74" s="136"/>
    </row>
    <row r="75">
      <c r="A75" s="144" t="s">
        <v>23</v>
      </c>
      <c r="B75" s="194"/>
      <c r="C75" s="31">
        <v>33.0</v>
      </c>
      <c r="D75" s="97">
        <v>38.0</v>
      </c>
      <c r="E75" s="116">
        <f t="shared" si="89"/>
        <v>0.8684210526</v>
      </c>
      <c r="F75" s="17">
        <v>25.0</v>
      </c>
      <c r="G75" s="97">
        <v>35.0</v>
      </c>
      <c r="H75" s="116">
        <f t="shared" si="90"/>
        <v>0.7142857143</v>
      </c>
      <c r="I75" s="17"/>
      <c r="J75" s="17">
        <v>23.0</v>
      </c>
      <c r="K75" s="97">
        <v>25.0</v>
      </c>
      <c r="L75" s="116">
        <f t="shared" si="91"/>
        <v>0.92</v>
      </c>
      <c r="M75" s="99" t="str">
        <f t="shared" ref="M75:M77" si="110">B75</f>
        <v/>
      </c>
      <c r="N75" s="31">
        <f t="shared" ref="N75:O75" si="109">J75+F75+C75</f>
        <v>81</v>
      </c>
      <c r="O75" s="100">
        <f t="shared" si="109"/>
        <v>98</v>
      </c>
      <c r="P75" s="157">
        <v>46020.0</v>
      </c>
      <c r="Q75" s="149" t="s">
        <v>77</v>
      </c>
    </row>
    <row r="76">
      <c r="A76" s="144" t="s">
        <v>24</v>
      </c>
      <c r="B76" s="194"/>
      <c r="C76" s="31">
        <v>39.0</v>
      </c>
      <c r="D76" s="97">
        <v>51.0</v>
      </c>
      <c r="E76" s="116">
        <f t="shared" si="89"/>
        <v>0.7647058824</v>
      </c>
      <c r="F76" s="17">
        <v>27.0</v>
      </c>
      <c r="G76" s="97">
        <v>47.0</v>
      </c>
      <c r="H76" s="116">
        <f t="shared" si="90"/>
        <v>0.5744680851</v>
      </c>
      <c r="I76" s="17"/>
      <c r="J76" s="17">
        <v>23.0</v>
      </c>
      <c r="K76" s="97">
        <v>33.0</v>
      </c>
      <c r="L76" s="116">
        <f t="shared" si="91"/>
        <v>0.696969697</v>
      </c>
      <c r="M76" s="99" t="str">
        <f t="shared" si="110"/>
        <v/>
      </c>
      <c r="N76" s="31">
        <f t="shared" ref="N76:O76" si="111">J76+F76+C76</f>
        <v>89</v>
      </c>
      <c r="O76" s="100">
        <f t="shared" si="111"/>
        <v>131</v>
      </c>
      <c r="P76" s="157">
        <v>46020.0</v>
      </c>
      <c r="Q76" s="149" t="s">
        <v>77</v>
      </c>
    </row>
    <row r="77">
      <c r="A77" s="144" t="s">
        <v>25</v>
      </c>
      <c r="B77" s="194"/>
      <c r="C77" s="31">
        <v>24.0</v>
      </c>
      <c r="D77" s="97">
        <v>23.0</v>
      </c>
      <c r="E77" s="116">
        <f t="shared" si="89"/>
        <v>1.043478261</v>
      </c>
      <c r="F77" s="17">
        <v>11.0</v>
      </c>
      <c r="G77" s="97">
        <v>21.0</v>
      </c>
      <c r="H77" s="116">
        <f t="shared" si="90"/>
        <v>0.5238095238</v>
      </c>
      <c r="I77" s="17"/>
      <c r="J77" s="17">
        <v>7.0</v>
      </c>
      <c r="K77" s="97">
        <v>15.0</v>
      </c>
      <c r="L77" s="116">
        <f t="shared" si="91"/>
        <v>0.4666666667</v>
      </c>
      <c r="M77" s="99" t="str">
        <f t="shared" si="110"/>
        <v/>
      </c>
      <c r="N77" s="31">
        <f t="shared" ref="N77:O77" si="112">J77+F77+C77</f>
        <v>42</v>
      </c>
      <c r="O77" s="100">
        <f t="shared" si="112"/>
        <v>59</v>
      </c>
      <c r="P77" s="157">
        <v>46020.0</v>
      </c>
      <c r="Q77" s="149" t="s">
        <v>77</v>
      </c>
    </row>
    <row r="78">
      <c r="A78" s="153" t="s">
        <v>26</v>
      </c>
      <c r="B78" s="27">
        <f t="shared" ref="B78:D78" si="113">sum(B75:B77)</f>
        <v>0</v>
      </c>
      <c r="C78" s="27">
        <f t="shared" si="113"/>
        <v>96</v>
      </c>
      <c r="D78" s="27">
        <f t="shared" si="113"/>
        <v>112</v>
      </c>
      <c r="E78" s="116">
        <f t="shared" si="89"/>
        <v>0.8571428571</v>
      </c>
      <c r="F78" s="27">
        <f t="shared" ref="F78:G78" si="114">sum(F75:F77)</f>
        <v>63</v>
      </c>
      <c r="G78" s="27">
        <f t="shared" si="114"/>
        <v>103</v>
      </c>
      <c r="H78" s="116">
        <f t="shared" si="90"/>
        <v>0.6116504854</v>
      </c>
      <c r="I78" s="117"/>
      <c r="J78" s="27">
        <f t="shared" ref="J78:K78" si="115">sum(J75:J77)</f>
        <v>53</v>
      </c>
      <c r="K78" s="27">
        <f t="shared" si="115"/>
        <v>73</v>
      </c>
      <c r="L78" s="116">
        <f t="shared" si="91"/>
        <v>0.7260273973</v>
      </c>
      <c r="M78" s="27">
        <f t="shared" ref="M78:O78" si="116">sum(M75:M77)</f>
        <v>0</v>
      </c>
      <c r="N78" s="27">
        <f t="shared" si="116"/>
        <v>212</v>
      </c>
      <c r="O78" s="104">
        <f t="shared" si="116"/>
        <v>288</v>
      </c>
      <c r="Q78" s="136"/>
    </row>
    <row r="79">
      <c r="A79" s="153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107"/>
      <c r="Q79" s="136"/>
    </row>
    <row r="80">
      <c r="A80" s="161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107"/>
    </row>
    <row r="81">
      <c r="A81" s="162" t="s">
        <v>8</v>
      </c>
      <c r="B81" s="163">
        <f t="shared" ref="B81:D81" si="117">B78+B74+B69</f>
        <v>0</v>
      </c>
      <c r="C81" s="163">
        <f t="shared" si="117"/>
        <v>533</v>
      </c>
      <c r="D81" s="163">
        <f t="shared" si="117"/>
        <v>558</v>
      </c>
      <c r="E81" s="164">
        <f>C81/D81</f>
        <v>0.9551971326</v>
      </c>
      <c r="F81" s="163">
        <f t="shared" ref="F81:G81" si="118">F78+F74+F69</f>
        <v>397</v>
      </c>
      <c r="G81" s="163">
        <f t="shared" si="118"/>
        <v>514</v>
      </c>
      <c r="H81" s="164">
        <f>F81/G81</f>
        <v>0.7723735409</v>
      </c>
      <c r="I81" s="193"/>
      <c r="J81" s="163">
        <f t="shared" ref="J81:K81" si="119">J78+J74+J69</f>
        <v>301</v>
      </c>
      <c r="K81" s="163">
        <f t="shared" si="119"/>
        <v>361</v>
      </c>
      <c r="L81" s="164">
        <f>J81/K81</f>
        <v>0.8337950139</v>
      </c>
      <c r="M81" s="163">
        <f t="shared" ref="M81:O81" si="120">M78+M74+M69</f>
        <v>0</v>
      </c>
      <c r="N81" s="163">
        <f t="shared" si="120"/>
        <v>1231</v>
      </c>
      <c r="O81" s="165">
        <f t="shared" si="120"/>
        <v>1433</v>
      </c>
    </row>
  </sheetData>
  <mergeCells count="16">
    <mergeCell ref="A3:Y3"/>
    <mergeCell ref="C4:F4"/>
    <mergeCell ref="H4:L4"/>
    <mergeCell ref="N4:S4"/>
    <mergeCell ref="V4:Y4"/>
    <mergeCell ref="A25:G25"/>
    <mergeCell ref="L26:P26"/>
    <mergeCell ref="F63:H63"/>
    <mergeCell ref="J63:L63"/>
    <mergeCell ref="A49:U49"/>
    <mergeCell ref="C50:F50"/>
    <mergeCell ref="G50:K50"/>
    <mergeCell ref="L50:O50"/>
    <mergeCell ref="R50:U50"/>
    <mergeCell ref="A62:O62"/>
    <mergeCell ref="B63:D6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13"/>
    <col customWidth="1" min="3" max="3" width="9.0"/>
    <col customWidth="1" min="4" max="4" width="8.88"/>
    <col customWidth="1" min="5" max="5" width="7.13"/>
    <col customWidth="1" min="6" max="8" width="8.13"/>
    <col customWidth="1" min="9" max="9" width="10.38"/>
    <col customWidth="1" min="10" max="12" width="8.5"/>
    <col customWidth="1" min="13" max="13" width="9.38"/>
    <col customWidth="1" min="14" max="16" width="9.75"/>
    <col customWidth="1" min="17" max="17" width="9.25"/>
    <col customWidth="1" min="18" max="18" width="9.88"/>
    <col customWidth="1" min="19" max="19" width="9.38"/>
    <col customWidth="1" min="20" max="20" width="7.13"/>
    <col customWidth="1" min="21" max="21" width="10.13"/>
    <col customWidth="1" min="22" max="22" width="9.0"/>
    <col customWidth="1" min="23" max="23" width="11.38"/>
    <col customWidth="1" min="24" max="24" width="5.88"/>
    <col customWidth="1" min="25" max="25" width="7.13"/>
    <col customWidth="1" min="26" max="26" width="9.88"/>
    <col customWidth="1" hidden="1" min="27" max="27" width="9.88"/>
    <col customWidth="1" hidden="1" min="28" max="28" width="7.75"/>
    <col customWidth="1" min="33" max="35" width="8.75"/>
    <col customWidth="1" min="36" max="36" width="10.5"/>
    <col customWidth="1" min="37" max="51" width="8.75"/>
  </cols>
  <sheetData>
    <row r="1">
      <c r="A1" s="124" t="s">
        <v>63</v>
      </c>
      <c r="AD1" s="40"/>
    </row>
    <row r="3">
      <c r="A3" s="177" t="s">
        <v>28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7"/>
      <c r="Y3" s="128"/>
      <c r="Z3" s="129"/>
      <c r="AA3" s="129"/>
      <c r="AB3" s="130"/>
      <c r="AC3" s="131"/>
      <c r="AD3" s="110" t="s">
        <v>29</v>
      </c>
      <c r="AE3" s="111" t="s">
        <v>30</v>
      </c>
    </row>
    <row r="4">
      <c r="A4" s="133"/>
      <c r="B4" s="190"/>
      <c r="C4" s="89" t="s">
        <v>31</v>
      </c>
      <c r="D4" s="90"/>
      <c r="E4" s="90"/>
      <c r="F4" s="90"/>
      <c r="G4" s="91"/>
      <c r="H4" s="91" t="s">
        <v>32</v>
      </c>
      <c r="I4" s="90"/>
      <c r="J4" s="90"/>
      <c r="K4" s="90"/>
      <c r="L4" s="91"/>
      <c r="M4" s="91" t="s">
        <v>95</v>
      </c>
      <c r="N4" s="90"/>
      <c r="O4" s="90"/>
      <c r="P4" s="90"/>
      <c r="Q4" s="90"/>
      <c r="R4" s="90"/>
      <c r="S4" s="136"/>
      <c r="T4" s="178"/>
      <c r="U4" s="91" t="s">
        <v>8</v>
      </c>
      <c r="V4" s="90"/>
      <c r="W4" s="90"/>
      <c r="X4" s="92"/>
      <c r="Y4" s="9"/>
      <c r="Z4" s="9"/>
      <c r="AA4" s="9"/>
      <c r="AC4" s="138"/>
      <c r="AE4" s="136"/>
    </row>
    <row r="5">
      <c r="A5" s="139"/>
      <c r="B5" s="179" t="s">
        <v>7</v>
      </c>
      <c r="C5" s="179" t="s">
        <v>34</v>
      </c>
      <c r="D5" s="179" t="s">
        <v>36</v>
      </c>
      <c r="E5" s="179" t="s">
        <v>37</v>
      </c>
      <c r="F5" s="179" t="s">
        <v>38</v>
      </c>
      <c r="G5" s="179"/>
      <c r="H5" s="179" t="s">
        <v>34</v>
      </c>
      <c r="I5" s="179" t="s">
        <v>36</v>
      </c>
      <c r="J5" s="179" t="s">
        <v>37</v>
      </c>
      <c r="K5" s="179" t="s">
        <v>38</v>
      </c>
      <c r="L5" s="179"/>
      <c r="M5" s="179" t="s">
        <v>34</v>
      </c>
      <c r="N5" s="180" t="s">
        <v>35</v>
      </c>
      <c r="O5" s="179" t="s">
        <v>82</v>
      </c>
      <c r="P5" s="179" t="s">
        <v>36</v>
      </c>
      <c r="Q5" s="179" t="s">
        <v>37</v>
      </c>
      <c r="R5" s="179" t="s">
        <v>38</v>
      </c>
      <c r="S5" s="179"/>
      <c r="T5" s="179" t="s">
        <v>7</v>
      </c>
      <c r="U5" s="179" t="s">
        <v>34</v>
      </c>
      <c r="V5" s="179" t="s">
        <v>36</v>
      </c>
      <c r="W5" s="179" t="s">
        <v>37</v>
      </c>
      <c r="X5" s="181" t="s">
        <v>38</v>
      </c>
      <c r="Y5" s="182" t="s">
        <v>39</v>
      </c>
      <c r="Z5" s="142" t="s">
        <v>40</v>
      </c>
      <c r="AA5" s="142" t="s">
        <v>41</v>
      </c>
      <c r="AB5" s="8" t="s">
        <v>9</v>
      </c>
      <c r="AC5" s="143" t="s">
        <v>42</v>
      </c>
      <c r="AE5" s="136"/>
      <c r="AF5" s="1">
        <v>45908.0</v>
      </c>
      <c r="AG5" s="8" t="s">
        <v>96</v>
      </c>
      <c r="AH5" s="10" t="s">
        <v>97</v>
      </c>
      <c r="AI5" s="10" t="s">
        <v>98</v>
      </c>
      <c r="AK5" s="10" t="s">
        <v>99</v>
      </c>
    </row>
    <row r="6">
      <c r="A6" s="144" t="s">
        <v>14</v>
      </c>
      <c r="B6" s="194"/>
      <c r="C6" s="17">
        <v>19.0</v>
      </c>
      <c r="D6" s="17">
        <v>3.0</v>
      </c>
      <c r="E6" s="96">
        <f t="shared" ref="E6:E9" si="1">SUM(C6:D6)</f>
        <v>22</v>
      </c>
      <c r="F6" s="97">
        <v>34.0</v>
      </c>
      <c r="G6" s="116">
        <f t="shared" ref="G6:G19" si="2">E6/F6</f>
        <v>0.6470588235</v>
      </c>
      <c r="H6" s="17">
        <v>16.0</v>
      </c>
      <c r="I6" s="17">
        <v>1.0</v>
      </c>
      <c r="J6" s="96">
        <f t="shared" ref="J6:J9" si="3">SUM(H6:I6)</f>
        <v>17</v>
      </c>
      <c r="K6" s="97">
        <v>10.0</v>
      </c>
      <c r="L6" s="116">
        <f t="shared" ref="L6:L19" si="4">J6/K6</f>
        <v>1.7</v>
      </c>
      <c r="M6" s="17">
        <v>77.0</v>
      </c>
      <c r="N6" s="17">
        <v>10.0</v>
      </c>
      <c r="O6" s="17">
        <v>4.0</v>
      </c>
      <c r="P6" s="17">
        <v>1.0</v>
      </c>
      <c r="Q6" s="96">
        <f t="shared" ref="Q6:Q9" si="5">SUM(M6:P6)</f>
        <v>92</v>
      </c>
      <c r="R6" s="97">
        <v>98.0</v>
      </c>
      <c r="S6" s="116">
        <f t="shared" ref="S6:S19" si="6">Q6/R6</f>
        <v>0.9387755102</v>
      </c>
      <c r="T6" s="99"/>
      <c r="U6" s="31">
        <f t="shared" ref="U6:U9" si="7">M6+H6+C6+N6+O6</f>
        <v>126</v>
      </c>
      <c r="V6" s="31">
        <f t="shared" ref="V6:V9" si="8">P6+I6+D6</f>
        <v>5</v>
      </c>
      <c r="W6" s="96">
        <f t="shared" ref="W6:W9" si="9">sum(T6:V6)</f>
        <v>131</v>
      </c>
      <c r="X6" s="100">
        <f t="shared" ref="X6:X9" si="10">R6+K6+F6</f>
        <v>142</v>
      </c>
      <c r="Y6" s="146">
        <f t="shared" ref="Y6:Y9" si="11">X6-W6</f>
        <v>11</v>
      </c>
      <c r="Z6" s="16">
        <f t="shared" ref="Z6:Z19" si="12">round(Y6/$Z$26*7,0)</f>
        <v>0</v>
      </c>
      <c r="AA6" s="16">
        <f t="shared" ref="AA6:AA9" si="13">V6+U6</f>
        <v>131</v>
      </c>
      <c r="AB6" s="31">
        <f t="shared" ref="AB6:AB9" si="14">X6</f>
        <v>142</v>
      </c>
      <c r="AC6" s="147">
        <f t="shared" ref="AC6:AC9" si="15">(U6+V6)/X6</f>
        <v>0.9225352113</v>
      </c>
      <c r="AD6" s="148">
        <v>45930.0</v>
      </c>
      <c r="AE6" s="149" t="s">
        <v>75</v>
      </c>
      <c r="AS6" s="136"/>
      <c r="AT6" s="136"/>
      <c r="AU6" s="136"/>
      <c r="AV6" s="136"/>
      <c r="AW6" s="136"/>
      <c r="AX6" s="136"/>
      <c r="AY6" s="136"/>
      <c r="AZ6" s="136"/>
      <c r="BA6" s="136"/>
    </row>
    <row r="7">
      <c r="A7" s="144" t="s">
        <v>15</v>
      </c>
      <c r="B7" s="194"/>
      <c r="C7" s="17">
        <v>20.0</v>
      </c>
      <c r="D7" s="17"/>
      <c r="E7" s="96">
        <f t="shared" si="1"/>
        <v>20</v>
      </c>
      <c r="F7" s="97">
        <v>26.0</v>
      </c>
      <c r="G7" s="116">
        <f t="shared" si="2"/>
        <v>0.7692307692</v>
      </c>
      <c r="H7" s="17">
        <v>3.0</v>
      </c>
      <c r="I7" s="17"/>
      <c r="J7" s="96">
        <f t="shared" si="3"/>
        <v>3</v>
      </c>
      <c r="K7" s="97">
        <v>10.0</v>
      </c>
      <c r="L7" s="116">
        <f t="shared" si="4"/>
        <v>0.3</v>
      </c>
      <c r="M7" s="17">
        <v>52.0</v>
      </c>
      <c r="N7" s="17">
        <v>12.0</v>
      </c>
      <c r="O7" s="17">
        <v>3.0</v>
      </c>
      <c r="P7" s="17"/>
      <c r="Q7" s="96">
        <f t="shared" si="5"/>
        <v>67</v>
      </c>
      <c r="R7" s="97">
        <v>84.0</v>
      </c>
      <c r="S7" s="116">
        <f t="shared" si="6"/>
        <v>0.7976190476</v>
      </c>
      <c r="T7" s="99"/>
      <c r="U7" s="31">
        <f t="shared" si="7"/>
        <v>90</v>
      </c>
      <c r="V7" s="31">
        <f t="shared" si="8"/>
        <v>0</v>
      </c>
      <c r="W7" s="96">
        <f t="shared" si="9"/>
        <v>90</v>
      </c>
      <c r="X7" s="100">
        <f t="shared" si="10"/>
        <v>120</v>
      </c>
      <c r="Y7" s="146">
        <f t="shared" si="11"/>
        <v>30</v>
      </c>
      <c r="Z7" s="16">
        <f t="shared" si="12"/>
        <v>-1</v>
      </c>
      <c r="AA7" s="16">
        <f t="shared" si="13"/>
        <v>90</v>
      </c>
      <c r="AB7" s="31">
        <f t="shared" si="14"/>
        <v>120</v>
      </c>
      <c r="AC7" s="147">
        <f t="shared" si="15"/>
        <v>0.75</v>
      </c>
      <c r="AD7" s="148">
        <v>45930.0</v>
      </c>
      <c r="AE7" s="149" t="s">
        <v>75</v>
      </c>
      <c r="AS7" s="136"/>
      <c r="AT7" s="136"/>
      <c r="AU7" s="136"/>
      <c r="AV7" s="136"/>
      <c r="AW7" s="136"/>
      <c r="AX7" s="136"/>
      <c r="AY7" s="136"/>
      <c r="AZ7" s="136"/>
      <c r="BA7" s="136"/>
    </row>
    <row r="8">
      <c r="A8" s="144" t="s">
        <v>16</v>
      </c>
      <c r="B8" s="194"/>
      <c r="C8" s="17">
        <v>26.0</v>
      </c>
      <c r="D8" s="207"/>
      <c r="E8" s="96">
        <f t="shared" si="1"/>
        <v>26</v>
      </c>
      <c r="F8" s="97">
        <v>36.0</v>
      </c>
      <c r="G8" s="116">
        <f t="shared" si="2"/>
        <v>0.7222222222</v>
      </c>
      <c r="H8" s="17">
        <v>4.0</v>
      </c>
      <c r="I8" s="17"/>
      <c r="J8" s="96">
        <f t="shared" si="3"/>
        <v>4</v>
      </c>
      <c r="K8" s="97">
        <v>10.0</v>
      </c>
      <c r="L8" s="116">
        <f t="shared" si="4"/>
        <v>0.4</v>
      </c>
      <c r="M8" s="17">
        <v>79.0</v>
      </c>
      <c r="N8" s="17">
        <v>11.0</v>
      </c>
      <c r="O8" s="17">
        <v>3.0</v>
      </c>
      <c r="P8" s="17"/>
      <c r="Q8" s="96">
        <f t="shared" si="5"/>
        <v>93</v>
      </c>
      <c r="R8" s="97">
        <v>104.0</v>
      </c>
      <c r="S8" s="116">
        <f t="shared" si="6"/>
        <v>0.8942307692</v>
      </c>
      <c r="T8" s="99"/>
      <c r="U8" s="31">
        <f t="shared" si="7"/>
        <v>123</v>
      </c>
      <c r="V8" s="31">
        <f t="shared" si="8"/>
        <v>0</v>
      </c>
      <c r="W8" s="96">
        <f t="shared" si="9"/>
        <v>123</v>
      </c>
      <c r="X8" s="100">
        <f t="shared" si="10"/>
        <v>150</v>
      </c>
      <c r="Y8" s="146">
        <f t="shared" si="11"/>
        <v>27</v>
      </c>
      <c r="Z8" s="16">
        <f t="shared" si="12"/>
        <v>-1</v>
      </c>
      <c r="AA8" s="16">
        <f t="shared" si="13"/>
        <v>123</v>
      </c>
      <c r="AB8" s="31">
        <f t="shared" si="14"/>
        <v>150</v>
      </c>
      <c r="AC8" s="147">
        <f t="shared" si="15"/>
        <v>0.82</v>
      </c>
      <c r="AD8" s="148">
        <v>45930.0</v>
      </c>
      <c r="AE8" s="149" t="s">
        <v>75</v>
      </c>
      <c r="AS8" s="136"/>
      <c r="AT8" s="136"/>
      <c r="AU8" s="136"/>
      <c r="AV8" s="136"/>
      <c r="AW8" s="136"/>
      <c r="AX8" s="136"/>
      <c r="AY8" s="136"/>
      <c r="AZ8" s="136"/>
      <c r="BA8" s="136"/>
    </row>
    <row r="9">
      <c r="A9" s="144" t="s">
        <v>46</v>
      </c>
      <c r="B9" s="194"/>
      <c r="C9" s="25">
        <v>42.0</v>
      </c>
      <c r="D9" s="152">
        <v>4.0</v>
      </c>
      <c r="E9" s="96">
        <f t="shared" si="1"/>
        <v>46</v>
      </c>
      <c r="F9" s="97">
        <v>40.0</v>
      </c>
      <c r="G9" s="116">
        <f t="shared" si="2"/>
        <v>1.15</v>
      </c>
      <c r="H9" s="17">
        <v>17.0</v>
      </c>
      <c r="I9" s="17">
        <v>1.0</v>
      </c>
      <c r="J9" s="96">
        <f t="shared" si="3"/>
        <v>18</v>
      </c>
      <c r="K9" s="97">
        <v>15.0</v>
      </c>
      <c r="L9" s="116">
        <f t="shared" si="4"/>
        <v>1.2</v>
      </c>
      <c r="M9" s="17">
        <v>72.0</v>
      </c>
      <c r="N9" s="17">
        <v>14.0</v>
      </c>
      <c r="O9" s="17">
        <v>3.0</v>
      </c>
      <c r="P9" s="17">
        <v>4.0</v>
      </c>
      <c r="Q9" s="96">
        <f t="shared" si="5"/>
        <v>93</v>
      </c>
      <c r="R9" s="97">
        <v>124.0</v>
      </c>
      <c r="S9" s="116">
        <f t="shared" si="6"/>
        <v>0.75</v>
      </c>
      <c r="T9" s="99"/>
      <c r="U9" s="31">
        <f t="shared" si="7"/>
        <v>148</v>
      </c>
      <c r="V9" s="31">
        <f t="shared" si="8"/>
        <v>9</v>
      </c>
      <c r="W9" s="96">
        <f t="shared" si="9"/>
        <v>157</v>
      </c>
      <c r="X9" s="100">
        <f t="shared" si="10"/>
        <v>179</v>
      </c>
      <c r="Y9" s="146">
        <f t="shared" si="11"/>
        <v>22</v>
      </c>
      <c r="Z9" s="16">
        <f t="shared" si="12"/>
        <v>-1</v>
      </c>
      <c r="AA9" s="16">
        <f t="shared" si="13"/>
        <v>157</v>
      </c>
      <c r="AB9" s="31">
        <f t="shared" si="14"/>
        <v>179</v>
      </c>
      <c r="AC9" s="147">
        <f t="shared" si="15"/>
        <v>0.8770949721</v>
      </c>
      <c r="AD9" s="148">
        <v>45930.0</v>
      </c>
      <c r="AE9" s="149" t="s">
        <v>75</v>
      </c>
      <c r="AS9" s="136"/>
      <c r="AT9" s="136"/>
      <c r="AU9" s="136"/>
      <c r="AV9" s="136"/>
      <c r="AW9" s="136"/>
      <c r="AX9" s="136"/>
      <c r="AY9" s="136"/>
      <c r="AZ9" s="136"/>
      <c r="BA9" s="136"/>
    </row>
    <row r="10">
      <c r="A10" s="153" t="s">
        <v>17</v>
      </c>
      <c r="B10" s="27">
        <f t="shared" ref="B10:F10" si="16">sum(B6:B9)</f>
        <v>0</v>
      </c>
      <c r="C10" s="27">
        <f t="shared" si="16"/>
        <v>107</v>
      </c>
      <c r="D10" s="27">
        <f t="shared" si="16"/>
        <v>7</v>
      </c>
      <c r="E10" s="27">
        <f t="shared" si="16"/>
        <v>114</v>
      </c>
      <c r="F10" s="27">
        <f t="shared" si="16"/>
        <v>136</v>
      </c>
      <c r="G10" s="154">
        <f t="shared" si="2"/>
        <v>0.8382352941</v>
      </c>
      <c r="H10" s="27">
        <f t="shared" ref="H10:K10" si="17">sum(H6:H9)</f>
        <v>40</v>
      </c>
      <c r="I10" s="27">
        <f t="shared" si="17"/>
        <v>2</v>
      </c>
      <c r="J10" s="27">
        <f t="shared" si="17"/>
        <v>42</v>
      </c>
      <c r="K10" s="27">
        <f t="shared" si="17"/>
        <v>45</v>
      </c>
      <c r="L10" s="154">
        <f t="shared" si="4"/>
        <v>0.9333333333</v>
      </c>
      <c r="M10" s="27">
        <f t="shared" ref="M10:R10" si="18">sum(M6:M9)</f>
        <v>280</v>
      </c>
      <c r="N10" s="27">
        <f t="shared" si="18"/>
        <v>47</v>
      </c>
      <c r="O10" s="27">
        <f t="shared" si="18"/>
        <v>13</v>
      </c>
      <c r="P10" s="27">
        <f t="shared" si="18"/>
        <v>5</v>
      </c>
      <c r="Q10" s="27">
        <f t="shared" si="18"/>
        <v>345</v>
      </c>
      <c r="R10" s="27">
        <f t="shared" si="18"/>
        <v>410</v>
      </c>
      <c r="S10" s="154">
        <f t="shared" si="6"/>
        <v>0.8414634146</v>
      </c>
      <c r="T10" s="27">
        <f t="shared" ref="T10:Y10" si="19">sum(T6:T9)</f>
        <v>0</v>
      </c>
      <c r="U10" s="27">
        <f t="shared" si="19"/>
        <v>487</v>
      </c>
      <c r="V10" s="27">
        <f t="shared" si="19"/>
        <v>14</v>
      </c>
      <c r="W10" s="27">
        <f t="shared" si="19"/>
        <v>501</v>
      </c>
      <c r="X10" s="104">
        <f t="shared" si="19"/>
        <v>591</v>
      </c>
      <c r="Y10" s="155">
        <f t="shared" si="19"/>
        <v>90</v>
      </c>
      <c r="Z10" s="155">
        <f t="shared" si="12"/>
        <v>-2</v>
      </c>
      <c r="AA10" s="155">
        <f t="shared" ref="AA10:AB10" si="20">sum(AA6:AA9)</f>
        <v>501</v>
      </c>
      <c r="AB10" s="27">
        <f t="shared" si="20"/>
        <v>591</v>
      </c>
      <c r="AC10" s="156">
        <f>AA10/AB10</f>
        <v>0.847715736</v>
      </c>
      <c r="AE10" s="149"/>
      <c r="AF10" s="12">
        <v>400.0</v>
      </c>
      <c r="AG10" s="12">
        <f>12*4</f>
        <v>48</v>
      </c>
      <c r="AH10" s="12">
        <v>48.0</v>
      </c>
      <c r="AI10" s="44">
        <f>AF10+AG10+AH10</f>
        <v>496</v>
      </c>
      <c r="AJ10" s="208">
        <f>AI10/X10</f>
        <v>0.8392554992</v>
      </c>
      <c r="AK10" s="20">
        <f>AI10-W10</f>
        <v>-5</v>
      </c>
      <c r="AS10" s="136"/>
      <c r="AT10" s="136"/>
      <c r="AU10" s="136"/>
      <c r="AV10" s="136"/>
      <c r="AW10" s="136"/>
      <c r="AX10" s="136"/>
      <c r="AY10" s="136"/>
      <c r="AZ10" s="136"/>
      <c r="BA10" s="136"/>
    </row>
    <row r="11">
      <c r="A11" s="144" t="s">
        <v>20</v>
      </c>
      <c r="B11" s="194"/>
      <c r="C11" s="31">
        <v>19.0</v>
      </c>
      <c r="D11" s="31"/>
      <c r="E11" s="96">
        <f t="shared" ref="E11:E14" si="21">SUM(C11:D11)</f>
        <v>19</v>
      </c>
      <c r="F11" s="97">
        <v>28.0</v>
      </c>
      <c r="G11" s="116">
        <f t="shared" si="2"/>
        <v>0.6785714286</v>
      </c>
      <c r="H11" s="17">
        <v>11.0</v>
      </c>
      <c r="I11" s="17"/>
      <c r="J11" s="96">
        <f t="shared" ref="J11:J14" si="22">SUM(H11:I11)</f>
        <v>11</v>
      </c>
      <c r="K11" s="97">
        <v>9.0</v>
      </c>
      <c r="L11" s="116">
        <f t="shared" si="4"/>
        <v>1.222222222</v>
      </c>
      <c r="M11" s="17">
        <v>39.0</v>
      </c>
      <c r="N11" s="17">
        <v>9.0</v>
      </c>
      <c r="O11" s="17">
        <v>3.0</v>
      </c>
      <c r="P11" s="17"/>
      <c r="Q11" s="96">
        <f t="shared" ref="Q11:Q14" si="23">SUM(M11:P11)</f>
        <v>51</v>
      </c>
      <c r="R11" s="97">
        <v>88.0</v>
      </c>
      <c r="S11" s="116">
        <f t="shared" si="6"/>
        <v>0.5795454545</v>
      </c>
      <c r="T11" s="99"/>
      <c r="U11" s="31">
        <f t="shared" ref="U11:U14" si="24">M11+H11+C11+N11+O11</f>
        <v>81</v>
      </c>
      <c r="V11" s="31">
        <f t="shared" ref="V11:V14" si="25">P11+I11+D11</f>
        <v>0</v>
      </c>
      <c r="W11" s="96">
        <f t="shared" ref="W11:W14" si="26">sum(T11:V11)</f>
        <v>81</v>
      </c>
      <c r="X11" s="100">
        <f t="shared" ref="X11:X14" si="27">R11+K11+F11</f>
        <v>125</v>
      </c>
      <c r="Y11" s="146">
        <f t="shared" ref="Y11:Y14" si="28">X11-W11</f>
        <v>44</v>
      </c>
      <c r="Z11" s="16">
        <f t="shared" si="12"/>
        <v>-1</v>
      </c>
      <c r="AA11" s="16">
        <f t="shared" ref="AA11:AA14" si="29">V11+U11</f>
        <v>81</v>
      </c>
      <c r="AB11" s="31">
        <f t="shared" ref="AB11:AB14" si="30">X11</f>
        <v>125</v>
      </c>
      <c r="AC11" s="147">
        <f t="shared" ref="AC11:AC14" si="31">(U11+V11)/X11</f>
        <v>0.648</v>
      </c>
      <c r="AD11" s="148"/>
      <c r="AE11" s="149" t="s">
        <v>48</v>
      </c>
      <c r="AS11" s="136"/>
      <c r="AT11" s="136"/>
      <c r="AU11" s="136"/>
      <c r="AV11" s="136"/>
      <c r="AW11" s="136"/>
      <c r="AX11" s="136"/>
      <c r="AY11" s="136"/>
      <c r="AZ11" s="136"/>
      <c r="BA11" s="136"/>
    </row>
    <row r="12">
      <c r="A12" s="144" t="s">
        <v>19</v>
      </c>
      <c r="B12" s="194"/>
      <c r="C12" s="31">
        <v>15.0</v>
      </c>
      <c r="D12" s="31"/>
      <c r="E12" s="96">
        <f t="shared" si="21"/>
        <v>15</v>
      </c>
      <c r="F12" s="97">
        <v>33.0</v>
      </c>
      <c r="G12" s="116">
        <f t="shared" si="2"/>
        <v>0.4545454545</v>
      </c>
      <c r="H12" s="17">
        <v>16.0</v>
      </c>
      <c r="I12" s="17"/>
      <c r="J12" s="96">
        <f t="shared" si="22"/>
        <v>16</v>
      </c>
      <c r="K12" s="97">
        <v>10.0</v>
      </c>
      <c r="L12" s="116">
        <f t="shared" si="4"/>
        <v>1.6</v>
      </c>
      <c r="M12" s="17">
        <v>79.0</v>
      </c>
      <c r="N12" s="17">
        <v>11.0</v>
      </c>
      <c r="O12" s="17">
        <v>2.0</v>
      </c>
      <c r="P12" s="17"/>
      <c r="Q12" s="96">
        <f t="shared" si="23"/>
        <v>92</v>
      </c>
      <c r="R12" s="97">
        <v>100.0</v>
      </c>
      <c r="S12" s="116">
        <f t="shared" si="6"/>
        <v>0.92</v>
      </c>
      <c r="T12" s="99"/>
      <c r="U12" s="31">
        <f t="shared" si="24"/>
        <v>123</v>
      </c>
      <c r="V12" s="31">
        <f t="shared" si="25"/>
        <v>0</v>
      </c>
      <c r="W12" s="96">
        <f t="shared" si="26"/>
        <v>123</v>
      </c>
      <c r="X12" s="100">
        <f t="shared" si="27"/>
        <v>143</v>
      </c>
      <c r="Y12" s="146">
        <f t="shared" si="28"/>
        <v>20</v>
      </c>
      <c r="Z12" s="16">
        <f t="shared" si="12"/>
        <v>0</v>
      </c>
      <c r="AA12" s="16">
        <f t="shared" si="29"/>
        <v>123</v>
      </c>
      <c r="AB12" s="31">
        <f t="shared" si="30"/>
        <v>143</v>
      </c>
      <c r="AC12" s="147">
        <f t="shared" si="31"/>
        <v>0.8601398601</v>
      </c>
      <c r="AD12" s="148"/>
      <c r="AE12" s="149" t="s">
        <v>48</v>
      </c>
      <c r="AS12" s="136"/>
      <c r="AT12" s="136"/>
      <c r="AU12" s="136"/>
      <c r="AV12" s="136"/>
      <c r="AW12" s="136"/>
      <c r="AX12" s="136"/>
      <c r="AY12" s="136"/>
      <c r="AZ12" s="136"/>
      <c r="BA12" s="136"/>
    </row>
    <row r="13">
      <c r="A13" s="144" t="s">
        <v>18</v>
      </c>
      <c r="B13" s="194"/>
      <c r="C13" s="31">
        <v>13.0</v>
      </c>
      <c r="D13" s="31"/>
      <c r="E13" s="96">
        <f t="shared" si="21"/>
        <v>13</v>
      </c>
      <c r="F13" s="97">
        <v>32.0</v>
      </c>
      <c r="G13" s="116">
        <f t="shared" si="2"/>
        <v>0.40625</v>
      </c>
      <c r="H13" s="17">
        <v>5.0</v>
      </c>
      <c r="I13" s="17"/>
      <c r="J13" s="96">
        <f t="shared" si="22"/>
        <v>5</v>
      </c>
      <c r="K13" s="97">
        <v>12.0</v>
      </c>
      <c r="L13" s="116">
        <f t="shared" si="4"/>
        <v>0.4166666667</v>
      </c>
      <c r="M13" s="17">
        <v>81.0</v>
      </c>
      <c r="N13" s="17">
        <v>10.0</v>
      </c>
      <c r="O13" s="17">
        <v>3.0</v>
      </c>
      <c r="P13" s="17"/>
      <c r="Q13" s="96">
        <f t="shared" si="23"/>
        <v>94</v>
      </c>
      <c r="R13" s="97">
        <v>103.0</v>
      </c>
      <c r="S13" s="116">
        <f t="shared" si="6"/>
        <v>0.9126213592</v>
      </c>
      <c r="T13" s="99"/>
      <c r="U13" s="31">
        <f t="shared" si="24"/>
        <v>112</v>
      </c>
      <c r="V13" s="31">
        <f t="shared" si="25"/>
        <v>0</v>
      </c>
      <c r="W13" s="96">
        <f t="shared" si="26"/>
        <v>112</v>
      </c>
      <c r="X13" s="100">
        <f t="shared" si="27"/>
        <v>147</v>
      </c>
      <c r="Y13" s="146">
        <f t="shared" si="28"/>
        <v>35</v>
      </c>
      <c r="Z13" s="16">
        <f t="shared" si="12"/>
        <v>-1</v>
      </c>
      <c r="AA13" s="16">
        <f t="shared" si="29"/>
        <v>112</v>
      </c>
      <c r="AB13" s="31">
        <f t="shared" si="30"/>
        <v>147</v>
      </c>
      <c r="AC13" s="147">
        <f t="shared" si="31"/>
        <v>0.7619047619</v>
      </c>
      <c r="AD13" s="148"/>
      <c r="AE13" s="149" t="s">
        <v>48</v>
      </c>
      <c r="AS13" s="136"/>
      <c r="AT13" s="136"/>
      <c r="AU13" s="136"/>
      <c r="AV13" s="136"/>
      <c r="AW13" s="136"/>
      <c r="AX13" s="136"/>
      <c r="AY13" s="136"/>
      <c r="AZ13" s="136"/>
      <c r="BA13" s="136"/>
    </row>
    <row r="14">
      <c r="A14" s="144" t="s">
        <v>21</v>
      </c>
      <c r="B14" s="194"/>
      <c r="C14" s="31">
        <v>33.0</v>
      </c>
      <c r="D14" s="31"/>
      <c r="E14" s="96">
        <f t="shared" si="21"/>
        <v>33</v>
      </c>
      <c r="F14" s="97">
        <v>44.0</v>
      </c>
      <c r="G14" s="116">
        <f t="shared" si="2"/>
        <v>0.75</v>
      </c>
      <c r="H14" s="17">
        <v>6.0</v>
      </c>
      <c r="I14" s="17"/>
      <c r="J14" s="96">
        <f t="shared" si="22"/>
        <v>6</v>
      </c>
      <c r="K14" s="97">
        <v>18.0</v>
      </c>
      <c r="L14" s="116">
        <f t="shared" si="4"/>
        <v>0.3333333333</v>
      </c>
      <c r="M14" s="17">
        <v>96.0</v>
      </c>
      <c r="N14" s="17">
        <v>16.0</v>
      </c>
      <c r="O14" s="17">
        <v>3.0</v>
      </c>
      <c r="P14" s="17">
        <v>0.0</v>
      </c>
      <c r="Q14" s="96">
        <f t="shared" si="23"/>
        <v>115</v>
      </c>
      <c r="R14" s="97">
        <v>140.0</v>
      </c>
      <c r="S14" s="116">
        <f t="shared" si="6"/>
        <v>0.8214285714</v>
      </c>
      <c r="T14" s="99"/>
      <c r="U14" s="31">
        <f t="shared" si="24"/>
        <v>154</v>
      </c>
      <c r="V14" s="31">
        <f t="shared" si="25"/>
        <v>0</v>
      </c>
      <c r="W14" s="96">
        <f t="shared" si="26"/>
        <v>154</v>
      </c>
      <c r="X14" s="100">
        <f t="shared" si="27"/>
        <v>202</v>
      </c>
      <c r="Y14" s="146">
        <f t="shared" si="28"/>
        <v>48</v>
      </c>
      <c r="Z14" s="16">
        <f t="shared" si="12"/>
        <v>-1</v>
      </c>
      <c r="AA14" s="16">
        <f t="shared" si="29"/>
        <v>154</v>
      </c>
      <c r="AB14" s="31">
        <f t="shared" si="30"/>
        <v>202</v>
      </c>
      <c r="AC14" s="147">
        <f t="shared" si="31"/>
        <v>0.7623762376</v>
      </c>
      <c r="AD14" s="148"/>
      <c r="AE14" s="149" t="s">
        <v>48</v>
      </c>
      <c r="AS14" s="136"/>
      <c r="AT14" s="136"/>
      <c r="AU14" s="136"/>
      <c r="AV14" s="136"/>
      <c r="AW14" s="136"/>
      <c r="AX14" s="136"/>
      <c r="AY14" s="136"/>
      <c r="AZ14" s="136"/>
      <c r="BA14" s="136"/>
    </row>
    <row r="15">
      <c r="A15" s="153" t="s">
        <v>22</v>
      </c>
      <c r="B15" s="27">
        <f t="shared" ref="B15:F15" si="32">sum(B11:B14)</f>
        <v>0</v>
      </c>
      <c r="C15" s="27">
        <f t="shared" si="32"/>
        <v>80</v>
      </c>
      <c r="D15" s="27">
        <f t="shared" si="32"/>
        <v>0</v>
      </c>
      <c r="E15" s="27">
        <f t="shared" si="32"/>
        <v>80</v>
      </c>
      <c r="F15" s="27">
        <f t="shared" si="32"/>
        <v>137</v>
      </c>
      <c r="G15" s="154">
        <f t="shared" si="2"/>
        <v>0.5839416058</v>
      </c>
      <c r="H15" s="27">
        <f t="shared" ref="H15:K15" si="33">sum(H11:H14)</f>
        <v>38</v>
      </c>
      <c r="I15" s="27">
        <f t="shared" si="33"/>
        <v>0</v>
      </c>
      <c r="J15" s="27">
        <f t="shared" si="33"/>
        <v>38</v>
      </c>
      <c r="K15" s="27">
        <f t="shared" si="33"/>
        <v>49</v>
      </c>
      <c r="L15" s="154">
        <f t="shared" si="4"/>
        <v>0.7755102041</v>
      </c>
      <c r="M15" s="27">
        <f t="shared" ref="M15:R15" si="34">sum(M11:M14)</f>
        <v>295</v>
      </c>
      <c r="N15" s="27">
        <f t="shared" si="34"/>
        <v>46</v>
      </c>
      <c r="O15" s="27">
        <f t="shared" si="34"/>
        <v>11</v>
      </c>
      <c r="P15" s="27">
        <f t="shared" si="34"/>
        <v>0</v>
      </c>
      <c r="Q15" s="27">
        <f t="shared" si="34"/>
        <v>352</v>
      </c>
      <c r="R15" s="27">
        <f t="shared" si="34"/>
        <v>431</v>
      </c>
      <c r="S15" s="154">
        <f t="shared" si="6"/>
        <v>0.8167053364</v>
      </c>
      <c r="T15" s="27">
        <f t="shared" ref="T15:Y15" si="35">sum(T11:T14)</f>
        <v>0</v>
      </c>
      <c r="U15" s="27">
        <f t="shared" si="35"/>
        <v>470</v>
      </c>
      <c r="V15" s="27">
        <f t="shared" si="35"/>
        <v>0</v>
      </c>
      <c r="W15" s="27">
        <f t="shared" si="35"/>
        <v>470</v>
      </c>
      <c r="X15" s="104">
        <f t="shared" si="35"/>
        <v>617</v>
      </c>
      <c r="Y15" s="155">
        <f t="shared" si="35"/>
        <v>147</v>
      </c>
      <c r="Z15" s="155">
        <f t="shared" si="12"/>
        <v>-4</v>
      </c>
      <c r="AA15" s="155">
        <f t="shared" ref="AA15:AB15" si="36">sum(AA11:AA14)</f>
        <v>470</v>
      </c>
      <c r="AB15" s="27">
        <f t="shared" si="36"/>
        <v>617</v>
      </c>
      <c r="AC15" s="156">
        <f>AA15/AB15</f>
        <v>0.7617504052</v>
      </c>
      <c r="AE15" s="149"/>
      <c r="AF15" s="12">
        <v>363.0</v>
      </c>
      <c r="AG15" s="12">
        <v>48.0</v>
      </c>
      <c r="AH15" s="12">
        <v>56.0</v>
      </c>
      <c r="AI15" s="44">
        <f>AF15+AG15+AH15</f>
        <v>467</v>
      </c>
      <c r="AJ15" s="208">
        <f>AI15/X15</f>
        <v>0.7568881686</v>
      </c>
      <c r="AK15" s="20">
        <f>AI15-W15</f>
        <v>-3</v>
      </c>
      <c r="AS15" s="136"/>
      <c r="AT15" s="136"/>
      <c r="AU15" s="136"/>
      <c r="AV15" s="136"/>
      <c r="AW15" s="136"/>
      <c r="AX15" s="136"/>
      <c r="AY15" s="136"/>
      <c r="AZ15" s="136"/>
      <c r="BA15" s="136"/>
    </row>
    <row r="16">
      <c r="A16" s="144" t="s">
        <v>23</v>
      </c>
      <c r="B16" s="194"/>
      <c r="C16" s="31">
        <v>15.0</v>
      </c>
      <c r="D16" s="31">
        <v>9.0</v>
      </c>
      <c r="E16" s="96">
        <f t="shared" ref="E16:E18" si="37">SUM(C16:D16)</f>
        <v>24</v>
      </c>
      <c r="F16" s="97">
        <v>32.0</v>
      </c>
      <c r="G16" s="116">
        <f t="shared" si="2"/>
        <v>0.75</v>
      </c>
      <c r="H16" s="17">
        <v>2.0</v>
      </c>
      <c r="I16" s="17">
        <v>3.0</v>
      </c>
      <c r="J16" s="96">
        <f t="shared" ref="J16:J18" si="38">SUM(H16:I16)</f>
        <v>5</v>
      </c>
      <c r="K16" s="97">
        <v>11.0</v>
      </c>
      <c r="L16" s="116">
        <f t="shared" si="4"/>
        <v>0.4545454545</v>
      </c>
      <c r="M16" s="17">
        <v>32.0</v>
      </c>
      <c r="N16" s="17">
        <v>16.0</v>
      </c>
      <c r="O16" s="17">
        <v>9.0</v>
      </c>
      <c r="P16" s="17">
        <v>4.0</v>
      </c>
      <c r="Q16" s="96">
        <f t="shared" ref="Q16:Q18" si="39">SUM(M16:P16)</f>
        <v>61</v>
      </c>
      <c r="R16" s="97">
        <v>101.0</v>
      </c>
      <c r="S16" s="116">
        <f t="shared" si="6"/>
        <v>0.603960396</v>
      </c>
      <c r="T16" s="99"/>
      <c r="U16" s="31">
        <f t="shared" ref="U16:U18" si="40">M16+H16+C16+N16+O16</f>
        <v>74</v>
      </c>
      <c r="V16" s="31">
        <f t="shared" ref="V16:V18" si="41">P16+I16+D16</f>
        <v>16</v>
      </c>
      <c r="W16" s="96">
        <f t="shared" ref="W16:W18" si="42">sum(T16:V16)</f>
        <v>90</v>
      </c>
      <c r="X16" s="100">
        <f t="shared" ref="X16:X18" si="43">R16+K16+F16</f>
        <v>144</v>
      </c>
      <c r="Y16" s="146">
        <f t="shared" ref="Y16:Y18" si="44">X16-W16</f>
        <v>54</v>
      </c>
      <c r="Z16" s="16">
        <f t="shared" si="12"/>
        <v>-1</v>
      </c>
      <c r="AA16" s="16">
        <f t="shared" ref="AA16:AA18" si="45">V16+U16</f>
        <v>90</v>
      </c>
      <c r="AB16" s="31">
        <f t="shared" ref="AB16:AB18" si="46">X16</f>
        <v>144</v>
      </c>
      <c r="AC16" s="147">
        <f t="shared" ref="AC16:AC18" si="47">(U16+V16)/X16</f>
        <v>0.625</v>
      </c>
      <c r="AD16" s="157">
        <v>45930.0</v>
      </c>
      <c r="AE16" s="149" t="s">
        <v>77</v>
      </c>
      <c r="AS16" s="136"/>
      <c r="AT16" s="136"/>
      <c r="AU16" s="136"/>
      <c r="AV16" s="136"/>
      <c r="AW16" s="136"/>
      <c r="AX16" s="136"/>
      <c r="AY16" s="136"/>
      <c r="AZ16" s="136"/>
      <c r="BA16" s="136"/>
    </row>
    <row r="17">
      <c r="A17" s="144" t="s">
        <v>24</v>
      </c>
      <c r="B17" s="194"/>
      <c r="C17" s="31">
        <v>28.0</v>
      </c>
      <c r="D17" s="31"/>
      <c r="E17" s="96">
        <f t="shared" si="37"/>
        <v>28</v>
      </c>
      <c r="F17" s="97">
        <v>31.0</v>
      </c>
      <c r="G17" s="116">
        <f t="shared" si="2"/>
        <v>0.9032258065</v>
      </c>
      <c r="H17" s="17">
        <v>7.0</v>
      </c>
      <c r="I17" s="17"/>
      <c r="J17" s="96">
        <f t="shared" si="38"/>
        <v>7</v>
      </c>
      <c r="K17" s="97">
        <v>9.0</v>
      </c>
      <c r="L17" s="116">
        <f t="shared" si="4"/>
        <v>0.7777777778</v>
      </c>
      <c r="M17" s="17">
        <v>59.0</v>
      </c>
      <c r="N17" s="17">
        <v>15.0</v>
      </c>
      <c r="O17" s="17">
        <v>5.0</v>
      </c>
      <c r="P17" s="17"/>
      <c r="Q17" s="96">
        <f t="shared" si="39"/>
        <v>79</v>
      </c>
      <c r="R17" s="97">
        <v>90.0</v>
      </c>
      <c r="S17" s="116">
        <f t="shared" si="6"/>
        <v>0.8777777778</v>
      </c>
      <c r="T17" s="99"/>
      <c r="U17" s="31">
        <f t="shared" si="40"/>
        <v>114</v>
      </c>
      <c r="V17" s="31">
        <f t="shared" si="41"/>
        <v>0</v>
      </c>
      <c r="W17" s="96">
        <f t="shared" si="42"/>
        <v>114</v>
      </c>
      <c r="X17" s="100">
        <f t="shared" si="43"/>
        <v>130</v>
      </c>
      <c r="Y17" s="146">
        <f t="shared" si="44"/>
        <v>16</v>
      </c>
      <c r="Z17" s="16">
        <f t="shared" si="12"/>
        <v>0</v>
      </c>
      <c r="AA17" s="16">
        <f t="shared" si="45"/>
        <v>114</v>
      </c>
      <c r="AB17" s="31">
        <f t="shared" si="46"/>
        <v>130</v>
      </c>
      <c r="AC17" s="147">
        <f t="shared" si="47"/>
        <v>0.8769230769</v>
      </c>
      <c r="AD17" s="157">
        <v>45930.0</v>
      </c>
      <c r="AE17" s="149" t="s">
        <v>77</v>
      </c>
      <c r="AS17" s="136"/>
      <c r="AT17" s="136"/>
      <c r="AU17" s="136"/>
      <c r="AV17" s="136"/>
      <c r="AW17" s="136"/>
      <c r="AX17" s="136"/>
      <c r="AY17" s="136"/>
      <c r="AZ17" s="136"/>
      <c r="BA17" s="136"/>
    </row>
    <row r="18">
      <c r="A18" s="144" t="s">
        <v>25</v>
      </c>
      <c r="B18" s="194"/>
      <c r="C18" s="31">
        <v>11.0</v>
      </c>
      <c r="D18" s="31"/>
      <c r="E18" s="96">
        <f t="shared" si="37"/>
        <v>11</v>
      </c>
      <c r="F18" s="97">
        <v>12.0</v>
      </c>
      <c r="G18" s="116">
        <f t="shared" si="2"/>
        <v>0.9166666667</v>
      </c>
      <c r="H18" s="17">
        <v>7.0</v>
      </c>
      <c r="I18" s="17"/>
      <c r="J18" s="96">
        <f t="shared" si="38"/>
        <v>7</v>
      </c>
      <c r="K18" s="97">
        <v>3.0</v>
      </c>
      <c r="L18" s="116">
        <f t="shared" si="4"/>
        <v>2.333333333</v>
      </c>
      <c r="M18" s="17">
        <v>15.0</v>
      </c>
      <c r="N18" s="17">
        <v>5.0</v>
      </c>
      <c r="O18" s="17">
        <v>2.0</v>
      </c>
      <c r="P18" s="17"/>
      <c r="Q18" s="96">
        <f t="shared" si="39"/>
        <v>22</v>
      </c>
      <c r="R18" s="97">
        <v>35.0</v>
      </c>
      <c r="S18" s="116">
        <f t="shared" si="6"/>
        <v>0.6285714286</v>
      </c>
      <c r="T18" s="99"/>
      <c r="U18" s="31">
        <f t="shared" si="40"/>
        <v>40</v>
      </c>
      <c r="V18" s="31">
        <f t="shared" si="41"/>
        <v>0</v>
      </c>
      <c r="W18" s="96">
        <f t="shared" si="42"/>
        <v>40</v>
      </c>
      <c r="X18" s="100">
        <f t="shared" si="43"/>
        <v>50</v>
      </c>
      <c r="Y18" s="146">
        <f t="shared" si="44"/>
        <v>10</v>
      </c>
      <c r="Z18" s="16">
        <f t="shared" si="12"/>
        <v>0</v>
      </c>
      <c r="AA18" s="16">
        <f t="shared" si="45"/>
        <v>40</v>
      </c>
      <c r="AB18" s="31">
        <f t="shared" si="46"/>
        <v>50</v>
      </c>
      <c r="AC18" s="147">
        <f t="shared" si="47"/>
        <v>0.8</v>
      </c>
      <c r="AD18" s="157">
        <v>45930.0</v>
      </c>
      <c r="AE18" s="149" t="s">
        <v>77</v>
      </c>
      <c r="AS18" s="136"/>
      <c r="AT18" s="136"/>
      <c r="AU18" s="136"/>
      <c r="AV18" s="136"/>
      <c r="AW18" s="136"/>
      <c r="AX18" s="136"/>
      <c r="AY18" s="136"/>
      <c r="AZ18" s="136"/>
      <c r="BA18" s="136"/>
    </row>
    <row r="19">
      <c r="A19" s="153" t="s">
        <v>26</v>
      </c>
      <c r="B19" s="27">
        <f t="shared" ref="B19:F19" si="48">sum(B16:B18)</f>
        <v>0</v>
      </c>
      <c r="C19" s="27">
        <f t="shared" si="48"/>
        <v>54</v>
      </c>
      <c r="D19" s="27">
        <f t="shared" si="48"/>
        <v>9</v>
      </c>
      <c r="E19" s="27">
        <f t="shared" si="48"/>
        <v>63</v>
      </c>
      <c r="F19" s="27">
        <f t="shared" si="48"/>
        <v>75</v>
      </c>
      <c r="G19" s="154">
        <f t="shared" si="2"/>
        <v>0.84</v>
      </c>
      <c r="H19" s="27">
        <f t="shared" ref="H19:K19" si="49">sum(H16:H18)</f>
        <v>16</v>
      </c>
      <c r="I19" s="27">
        <f t="shared" si="49"/>
        <v>3</v>
      </c>
      <c r="J19" s="27">
        <f t="shared" si="49"/>
        <v>19</v>
      </c>
      <c r="K19" s="27">
        <f t="shared" si="49"/>
        <v>23</v>
      </c>
      <c r="L19" s="154">
        <f t="shared" si="4"/>
        <v>0.8260869565</v>
      </c>
      <c r="M19" s="27">
        <f t="shared" ref="M19:R19" si="50">sum(M16:M18)</f>
        <v>106</v>
      </c>
      <c r="N19" s="27">
        <f t="shared" si="50"/>
        <v>36</v>
      </c>
      <c r="O19" s="27">
        <f t="shared" si="50"/>
        <v>16</v>
      </c>
      <c r="P19" s="27">
        <f t="shared" si="50"/>
        <v>4</v>
      </c>
      <c r="Q19" s="27">
        <f t="shared" si="50"/>
        <v>162</v>
      </c>
      <c r="R19" s="27">
        <f t="shared" si="50"/>
        <v>226</v>
      </c>
      <c r="S19" s="154">
        <f t="shared" si="6"/>
        <v>0.7168141593</v>
      </c>
      <c r="T19" s="27">
        <f t="shared" ref="T19:Y19" si="51">sum(T16:T18)</f>
        <v>0</v>
      </c>
      <c r="U19" s="27">
        <f t="shared" si="51"/>
        <v>228</v>
      </c>
      <c r="V19" s="27">
        <f t="shared" si="51"/>
        <v>16</v>
      </c>
      <c r="W19" s="27">
        <f t="shared" si="51"/>
        <v>244</v>
      </c>
      <c r="X19" s="104">
        <f t="shared" si="51"/>
        <v>324</v>
      </c>
      <c r="Y19" s="155">
        <f t="shared" si="51"/>
        <v>80</v>
      </c>
      <c r="Z19" s="155">
        <f t="shared" si="12"/>
        <v>-2</v>
      </c>
      <c r="AA19" s="155">
        <f t="shared" ref="AA19:AB19" si="52">sum(AA16:AA18)</f>
        <v>244</v>
      </c>
      <c r="AB19" s="27">
        <f t="shared" si="52"/>
        <v>324</v>
      </c>
      <c r="AC19" s="156">
        <f>AA19/AB19</f>
        <v>0.7530864198</v>
      </c>
      <c r="AE19" s="149"/>
      <c r="AF19" s="12">
        <v>186.0</v>
      </c>
      <c r="AG19" s="12">
        <v>24.0</v>
      </c>
      <c r="AH19" s="12">
        <v>27.0</v>
      </c>
      <c r="AI19" s="44">
        <f>AF19+AG19+AH19</f>
        <v>237</v>
      </c>
      <c r="AJ19" s="208">
        <f>AI19/X19</f>
        <v>0.7314814815</v>
      </c>
      <c r="AK19" s="20">
        <f>AI19-W19</f>
        <v>-7</v>
      </c>
      <c r="AS19" s="136"/>
      <c r="AT19" s="136"/>
      <c r="AU19" s="136"/>
      <c r="AV19" s="136"/>
      <c r="AW19" s="136"/>
      <c r="AX19" s="136"/>
      <c r="AY19" s="136"/>
      <c r="AZ19" s="136"/>
      <c r="BA19" s="136"/>
    </row>
    <row r="20">
      <c r="A20" s="153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107"/>
      <c r="Y20" s="33"/>
      <c r="Z20" s="158"/>
      <c r="AA20" s="158"/>
      <c r="AB20" s="159"/>
      <c r="AC20" s="160"/>
      <c r="AE20" s="136"/>
      <c r="AS20" s="136"/>
      <c r="AT20" s="136"/>
      <c r="AU20" s="136"/>
      <c r="AV20" s="136"/>
      <c r="AW20" s="136"/>
      <c r="AX20" s="136"/>
      <c r="AY20" s="136"/>
      <c r="AZ20" s="136"/>
      <c r="BA20" s="136"/>
    </row>
    <row r="21">
      <c r="A21" s="16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107"/>
      <c r="Y21" s="33"/>
      <c r="Z21" s="158"/>
      <c r="AA21" s="158"/>
      <c r="AB21" s="159"/>
      <c r="AC21" s="160"/>
      <c r="AE21" s="136"/>
      <c r="AS21" s="136"/>
      <c r="AT21" s="136"/>
      <c r="AU21" s="136"/>
      <c r="AV21" s="136"/>
      <c r="AW21" s="136"/>
      <c r="AX21" s="136"/>
      <c r="AY21" s="136"/>
      <c r="AZ21" s="136"/>
      <c r="BA21" s="136"/>
    </row>
    <row r="22">
      <c r="A22" s="162" t="s">
        <v>8</v>
      </c>
      <c r="B22" s="163">
        <f t="shared" ref="B22:F22" si="53">B19+B15+B10</f>
        <v>0</v>
      </c>
      <c r="C22" s="163">
        <f t="shared" si="53"/>
        <v>241</v>
      </c>
      <c r="D22" s="163">
        <f t="shared" si="53"/>
        <v>16</v>
      </c>
      <c r="E22" s="163">
        <f t="shared" si="53"/>
        <v>257</v>
      </c>
      <c r="F22" s="163">
        <f t="shared" si="53"/>
        <v>348</v>
      </c>
      <c r="G22" s="164">
        <f>E22/F22</f>
        <v>0.7385057471</v>
      </c>
      <c r="H22" s="163">
        <f t="shared" ref="H22:K22" si="54">H19+H15+H10</f>
        <v>94</v>
      </c>
      <c r="I22" s="163">
        <f t="shared" si="54"/>
        <v>5</v>
      </c>
      <c r="J22" s="163">
        <f t="shared" si="54"/>
        <v>99</v>
      </c>
      <c r="K22" s="163">
        <f t="shared" si="54"/>
        <v>117</v>
      </c>
      <c r="L22" s="164">
        <f>J22/K22</f>
        <v>0.8461538462</v>
      </c>
      <c r="M22" s="163">
        <f t="shared" ref="M22:R22" si="55">M19+M15+M10</f>
        <v>681</v>
      </c>
      <c r="N22" s="163">
        <f t="shared" si="55"/>
        <v>129</v>
      </c>
      <c r="O22" s="163">
        <f t="shared" si="55"/>
        <v>40</v>
      </c>
      <c r="P22" s="163">
        <f t="shared" si="55"/>
        <v>9</v>
      </c>
      <c r="Q22" s="163">
        <f t="shared" si="55"/>
        <v>859</v>
      </c>
      <c r="R22" s="163">
        <f t="shared" si="55"/>
        <v>1067</v>
      </c>
      <c r="S22" s="164">
        <f>Q22/R22</f>
        <v>0.8050609185</v>
      </c>
      <c r="T22" s="163">
        <f t="shared" ref="T22:Y22" si="56">T19+T15+T10</f>
        <v>0</v>
      </c>
      <c r="U22" s="163">
        <f t="shared" si="56"/>
        <v>1185</v>
      </c>
      <c r="V22" s="163">
        <f t="shared" si="56"/>
        <v>30</v>
      </c>
      <c r="W22" s="163">
        <f t="shared" si="56"/>
        <v>1215</v>
      </c>
      <c r="X22" s="165">
        <f t="shared" si="56"/>
        <v>1532</v>
      </c>
      <c r="Y22" s="166">
        <f t="shared" si="56"/>
        <v>317</v>
      </c>
      <c r="Z22" s="167">
        <f>round(Y22/$Z$26*7,0)</f>
        <v>-8</v>
      </c>
      <c r="AA22" s="166">
        <f t="shared" ref="AA22:AB22" si="57">AA19+AA15+AA10</f>
        <v>1215</v>
      </c>
      <c r="AB22" s="163">
        <f t="shared" si="57"/>
        <v>1532</v>
      </c>
      <c r="AC22" s="168">
        <f>(U22+V22)/X22</f>
        <v>0.7930809399</v>
      </c>
      <c r="AE22" s="136"/>
      <c r="AG22" s="20">
        <f t="shared" ref="AG22:AI22" si="58">sum(AG10:AG21)</f>
        <v>120</v>
      </c>
      <c r="AH22" s="20">
        <f t="shared" si="58"/>
        <v>131</v>
      </c>
      <c r="AI22" s="44">
        <f t="shared" si="58"/>
        <v>1200</v>
      </c>
      <c r="AJ22" s="208">
        <f>AI22/X22</f>
        <v>0.7832898172</v>
      </c>
      <c r="AK22" s="44">
        <f>sum(AK10:AK21)</f>
        <v>-15</v>
      </c>
      <c r="AS22" s="136"/>
      <c r="AT22" s="136"/>
      <c r="AU22" s="136"/>
      <c r="AV22" s="136"/>
      <c r="AW22" s="136"/>
      <c r="AX22" s="136"/>
      <c r="AY22" s="136"/>
      <c r="AZ22" s="136"/>
      <c r="BA22" s="136"/>
    </row>
    <row r="23">
      <c r="AI23" s="44">
        <f>roundup(X22*AJ23,0)</f>
        <v>1226</v>
      </c>
      <c r="AJ23" s="209">
        <v>0.8</v>
      </c>
      <c r="AS23" s="136"/>
      <c r="AT23" s="136"/>
      <c r="AU23" s="136"/>
      <c r="AV23" s="136"/>
      <c r="AW23" s="136"/>
      <c r="AX23" s="136"/>
      <c r="AY23" s="136"/>
      <c r="AZ23" s="136"/>
      <c r="BA23" s="136"/>
    </row>
    <row r="24">
      <c r="Z24" s="1">
        <v>45930.0</v>
      </c>
      <c r="AA24" s="44"/>
      <c r="AB24" s="21">
        <f>AB22-AA22</f>
        <v>317</v>
      </c>
      <c r="AS24" s="136"/>
      <c r="AT24" s="136"/>
      <c r="AU24" s="136"/>
      <c r="AV24" s="136"/>
      <c r="AW24" s="136"/>
      <c r="AX24" s="136"/>
      <c r="AY24" s="136"/>
      <c r="AZ24" s="136"/>
      <c r="BA24" s="136"/>
    </row>
    <row r="25">
      <c r="A25" s="195" t="s">
        <v>83</v>
      </c>
      <c r="B25" s="46"/>
      <c r="C25" s="46"/>
      <c r="D25" s="46"/>
      <c r="E25" s="46"/>
      <c r="F25" s="46"/>
      <c r="G25" s="47"/>
      <c r="Z25" s="169">
        <f>today()-1</f>
        <v>46215</v>
      </c>
      <c r="AS25" s="136"/>
      <c r="AT25" s="136"/>
      <c r="AU25" s="136"/>
      <c r="AV25" s="136"/>
      <c r="AW25" s="136"/>
      <c r="AX25" s="136"/>
      <c r="AY25" s="136"/>
      <c r="AZ25" s="136"/>
      <c r="BA25" s="136"/>
    </row>
    <row r="26">
      <c r="A26" s="9"/>
      <c r="G26" s="14"/>
      <c r="Z26" s="20">
        <f>Z24-Z25</f>
        <v>-285</v>
      </c>
      <c r="AS26" s="136"/>
      <c r="AT26" s="136"/>
      <c r="AU26" s="136"/>
      <c r="AV26" s="136"/>
      <c r="AW26" s="136"/>
      <c r="AX26" s="136"/>
      <c r="AY26" s="136"/>
      <c r="AZ26" s="136"/>
      <c r="BA26" s="136"/>
    </row>
    <row r="27">
      <c r="A27" s="15"/>
      <c r="B27" s="179" t="s">
        <v>37</v>
      </c>
      <c r="C27" s="179" t="s">
        <v>38</v>
      </c>
      <c r="D27" s="179" t="s">
        <v>85</v>
      </c>
      <c r="F27" s="179" t="s">
        <v>86</v>
      </c>
      <c r="G27" s="14"/>
      <c r="N27" s="197"/>
      <c r="O27" s="197"/>
      <c r="P27" s="197"/>
      <c r="AI27" s="136"/>
      <c r="AJ27" s="136"/>
      <c r="AK27" s="136"/>
      <c r="AL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</row>
    <row r="28">
      <c r="A28" s="16" t="s">
        <v>13</v>
      </c>
      <c r="B28" s="96">
        <v>3.0</v>
      </c>
      <c r="C28" s="97">
        <f>12+11</f>
        <v>23</v>
      </c>
      <c r="D28" s="198">
        <f t="shared" ref="D28:D31" si="59">C28-B28</f>
        <v>20</v>
      </c>
      <c r="F28" s="198"/>
      <c r="G28" s="14"/>
      <c r="I28" s="8" t="s">
        <v>91</v>
      </c>
      <c r="R28" s="12" t="s">
        <v>63</v>
      </c>
      <c r="AI28" s="136"/>
      <c r="AJ28" s="136"/>
      <c r="AK28" s="136"/>
      <c r="AL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</row>
    <row r="29">
      <c r="A29" s="16" t="s">
        <v>14</v>
      </c>
      <c r="B29" s="96">
        <v>1.0</v>
      </c>
      <c r="C29" s="97">
        <f>6+7</f>
        <v>13</v>
      </c>
      <c r="D29" s="198">
        <f t="shared" si="59"/>
        <v>12</v>
      </c>
      <c r="F29" s="198"/>
      <c r="G29" s="14"/>
      <c r="I29" s="8" t="s">
        <v>92</v>
      </c>
      <c r="AI29" s="136"/>
      <c r="AJ29" s="136"/>
      <c r="AK29" s="136"/>
      <c r="AL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</row>
    <row r="30">
      <c r="A30" s="16" t="s">
        <v>15</v>
      </c>
      <c r="B30" s="96"/>
      <c r="C30" s="97">
        <f>5+6</f>
        <v>11</v>
      </c>
      <c r="D30" s="198">
        <f t="shared" si="59"/>
        <v>11</v>
      </c>
      <c r="F30" s="198"/>
      <c r="G30" s="14"/>
      <c r="I30" s="8" t="s">
        <v>93</v>
      </c>
      <c r="U30" s="197"/>
    </row>
    <row r="31">
      <c r="A31" s="16" t="s">
        <v>16</v>
      </c>
      <c r="B31" s="96"/>
      <c r="C31" s="97">
        <f>7+7</f>
        <v>14</v>
      </c>
      <c r="D31" s="198">
        <f t="shared" si="59"/>
        <v>14</v>
      </c>
      <c r="F31" s="198"/>
      <c r="G31" s="14"/>
      <c r="I31" s="8" t="s">
        <v>94</v>
      </c>
    </row>
    <row r="32">
      <c r="A32" s="26" t="s">
        <v>17</v>
      </c>
      <c r="B32" s="29">
        <f t="shared" ref="B32:D32" si="60">sum(B28:B31)</f>
        <v>4</v>
      </c>
      <c r="C32" s="29">
        <f t="shared" si="60"/>
        <v>61</v>
      </c>
      <c r="D32" s="29">
        <f t="shared" si="60"/>
        <v>57</v>
      </c>
      <c r="F32" s="29">
        <f>sum(F28:F31)</f>
        <v>0</v>
      </c>
      <c r="G32" s="14"/>
    </row>
    <row r="33">
      <c r="A33" s="16"/>
      <c r="B33" s="116"/>
      <c r="C33" s="116"/>
      <c r="D33" s="116"/>
      <c r="F33" s="116"/>
      <c r="G33" s="14"/>
    </row>
    <row r="34">
      <c r="A34" s="16" t="s">
        <v>18</v>
      </c>
      <c r="B34" s="96">
        <v>1.0</v>
      </c>
      <c r="C34" s="97">
        <f>7+6</f>
        <v>13</v>
      </c>
      <c r="D34" s="198">
        <f t="shared" ref="D34:D37" si="61">C34-B34</f>
        <v>12</v>
      </c>
      <c r="F34" s="198"/>
      <c r="G34" s="14"/>
    </row>
    <row r="35">
      <c r="A35" s="16" t="s">
        <v>19</v>
      </c>
      <c r="B35" s="96">
        <v>1.0</v>
      </c>
      <c r="C35" s="97">
        <f>9+9</f>
        <v>18</v>
      </c>
      <c r="D35" s="198">
        <f t="shared" si="61"/>
        <v>17</v>
      </c>
      <c r="F35" s="198">
        <v>1.0</v>
      </c>
      <c r="G35" s="14"/>
    </row>
    <row r="36">
      <c r="A36" s="16" t="s">
        <v>20</v>
      </c>
      <c r="B36" s="96"/>
      <c r="C36" s="97">
        <f>5+6</f>
        <v>11</v>
      </c>
      <c r="D36" s="198">
        <f t="shared" si="61"/>
        <v>11</v>
      </c>
      <c r="F36" s="198"/>
      <c r="G36" s="14"/>
    </row>
    <row r="37">
      <c r="A37" s="16" t="s">
        <v>21</v>
      </c>
      <c r="B37" s="96"/>
      <c r="C37" s="97">
        <f>9+9</f>
        <v>18</v>
      </c>
      <c r="D37" s="198">
        <f t="shared" si="61"/>
        <v>18</v>
      </c>
      <c r="F37" s="198"/>
      <c r="G37" s="14"/>
    </row>
    <row r="38">
      <c r="A38" s="26" t="s">
        <v>22</v>
      </c>
      <c r="B38" s="29">
        <f t="shared" ref="B38:D38" si="62">sum(B34:B37)</f>
        <v>2</v>
      </c>
      <c r="C38" s="29">
        <f t="shared" si="62"/>
        <v>60</v>
      </c>
      <c r="D38" s="29">
        <f t="shared" si="62"/>
        <v>58</v>
      </c>
      <c r="F38" s="29">
        <f>sum(F34:F37)</f>
        <v>1</v>
      </c>
      <c r="G38" s="14"/>
    </row>
    <row r="39">
      <c r="A39" s="16"/>
      <c r="B39" s="116"/>
      <c r="C39" s="116"/>
      <c r="D39" s="116"/>
      <c r="F39" s="116"/>
      <c r="G39" s="14"/>
    </row>
    <row r="40">
      <c r="A40" s="16" t="s">
        <v>23</v>
      </c>
      <c r="B40" s="96">
        <v>3.0</v>
      </c>
      <c r="C40" s="97">
        <f>9+9</f>
        <v>18</v>
      </c>
      <c r="D40" s="198">
        <f t="shared" ref="D40:D42" si="63">C40-B40</f>
        <v>15</v>
      </c>
      <c r="F40" s="198">
        <v>6.0</v>
      </c>
      <c r="G40" s="14"/>
      <c r="Q40" s="200"/>
      <c r="R40" s="200"/>
      <c r="S40" s="200"/>
    </row>
    <row r="41">
      <c r="A41" s="16" t="s">
        <v>24</v>
      </c>
      <c r="B41" s="96"/>
      <c r="C41" s="97">
        <f>5+6</f>
        <v>11</v>
      </c>
      <c r="D41" s="198">
        <f t="shared" si="63"/>
        <v>11</v>
      </c>
      <c r="F41" s="198"/>
      <c r="G41" s="14"/>
      <c r="Q41" s="200"/>
      <c r="R41" s="200"/>
      <c r="S41" s="200"/>
    </row>
    <row r="42">
      <c r="A42" s="16" t="s">
        <v>25</v>
      </c>
      <c r="B42" s="96"/>
      <c r="C42" s="97">
        <f>2+3</f>
        <v>5</v>
      </c>
      <c r="D42" s="198">
        <f t="shared" si="63"/>
        <v>5</v>
      </c>
      <c r="F42" s="198"/>
      <c r="G42" s="14"/>
      <c r="Q42" s="200"/>
      <c r="R42" s="200"/>
      <c r="S42" s="200"/>
    </row>
    <row r="43">
      <c r="A43" s="26" t="s">
        <v>26</v>
      </c>
      <c r="B43" s="29">
        <f t="shared" ref="B43:D43" si="64">sum(B40:B42)</f>
        <v>3</v>
      </c>
      <c r="C43" s="29">
        <f t="shared" si="64"/>
        <v>34</v>
      </c>
      <c r="D43" s="29">
        <f t="shared" si="64"/>
        <v>31</v>
      </c>
      <c r="F43" s="29">
        <f>sum(F40:F42)</f>
        <v>6</v>
      </c>
      <c r="G43" s="14"/>
    </row>
    <row r="44">
      <c r="A44" s="26"/>
      <c r="B44" s="32"/>
      <c r="C44" s="32"/>
      <c r="D44" s="32"/>
      <c r="F44" s="32"/>
      <c r="G44" s="14"/>
    </row>
    <row r="45">
      <c r="A45" s="26"/>
      <c r="B45" s="154"/>
      <c r="C45" s="154"/>
      <c r="D45" s="154"/>
      <c r="F45" s="154"/>
      <c r="G45" s="14"/>
    </row>
    <row r="46">
      <c r="A46" s="26" t="s">
        <v>8</v>
      </c>
      <c r="B46" s="29">
        <f t="shared" ref="B46:D46" si="65">B43+B38+B32</f>
        <v>9</v>
      </c>
      <c r="C46" s="29">
        <f t="shared" si="65"/>
        <v>155</v>
      </c>
      <c r="D46" s="29">
        <f t="shared" si="65"/>
        <v>146</v>
      </c>
      <c r="F46" s="29">
        <f>F43+F38+F32</f>
        <v>7</v>
      </c>
      <c r="G46" s="14"/>
    </row>
    <row r="47">
      <c r="A47" s="201"/>
      <c r="B47" s="202"/>
      <c r="C47" s="202"/>
      <c r="D47" s="202"/>
      <c r="E47" s="202"/>
      <c r="F47" s="202"/>
      <c r="G47" s="203"/>
    </row>
    <row r="49">
      <c r="A49" s="187" t="s">
        <v>52</v>
      </c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8"/>
      <c r="W49" s="110" t="s">
        <v>29</v>
      </c>
      <c r="X49" s="111" t="s">
        <v>30</v>
      </c>
    </row>
    <row r="50">
      <c r="A50" s="13"/>
      <c r="B50" s="190"/>
      <c r="C50" s="89" t="str">
        <f>C4</f>
        <v>JULY</v>
      </c>
      <c r="D50" s="90"/>
      <c r="E50" s="90"/>
      <c r="F50" s="90"/>
      <c r="G50" s="89" t="str">
        <f>H4</f>
        <v>AUG</v>
      </c>
      <c r="H50" s="90"/>
      <c r="I50" s="90"/>
      <c r="J50" s="90"/>
      <c r="K50" s="89" t="str">
        <f>M4</f>
        <v>SEP</v>
      </c>
      <c r="L50" s="90"/>
      <c r="M50" s="90"/>
      <c r="N50" s="90"/>
      <c r="O50" s="89"/>
      <c r="P50" s="89"/>
      <c r="Q50" s="91" t="s">
        <v>8</v>
      </c>
      <c r="R50" s="90"/>
      <c r="S50" s="90"/>
      <c r="T50" s="92"/>
      <c r="X50" s="136"/>
    </row>
    <row r="51">
      <c r="A51" s="15"/>
      <c r="B51" s="190"/>
      <c r="C51" s="179" t="s">
        <v>54</v>
      </c>
      <c r="D51" s="179" t="s">
        <v>55</v>
      </c>
      <c r="E51" s="179" t="s">
        <v>37</v>
      </c>
      <c r="F51" s="179" t="s">
        <v>56</v>
      </c>
      <c r="G51" s="179" t="s">
        <v>54</v>
      </c>
      <c r="H51" s="179" t="s">
        <v>55</v>
      </c>
      <c r="I51" s="179" t="s">
        <v>37</v>
      </c>
      <c r="J51" s="179" t="s">
        <v>56</v>
      </c>
      <c r="K51" s="179" t="s">
        <v>54</v>
      </c>
      <c r="L51" s="179" t="s">
        <v>55</v>
      </c>
      <c r="M51" s="179" t="s">
        <v>37</v>
      </c>
      <c r="N51" s="179" t="s">
        <v>56</v>
      </c>
      <c r="O51" s="204"/>
      <c r="P51" s="179"/>
      <c r="Q51" s="179" t="s">
        <v>54</v>
      </c>
      <c r="R51" s="179" t="s">
        <v>55</v>
      </c>
      <c r="S51" s="179" t="s">
        <v>37</v>
      </c>
      <c r="T51" s="181" t="s">
        <v>56</v>
      </c>
      <c r="X51" s="136"/>
    </row>
    <row r="52">
      <c r="A52" s="95" t="s">
        <v>13</v>
      </c>
      <c r="B52" s="190"/>
      <c r="C52" s="17">
        <v>146.0</v>
      </c>
      <c r="D52" s="17">
        <v>0.0</v>
      </c>
      <c r="E52" s="96">
        <f>SUM(C52:D52)</f>
        <v>146</v>
      </c>
      <c r="F52" s="97">
        <v>127.0</v>
      </c>
      <c r="G52" s="98">
        <v>81.0</v>
      </c>
      <c r="H52" s="17">
        <v>0.0</v>
      </c>
      <c r="I52" s="96">
        <f>SUM(G52:H52)</f>
        <v>81</v>
      </c>
      <c r="J52" s="97">
        <v>81.0</v>
      </c>
      <c r="K52" s="98">
        <v>346.0</v>
      </c>
      <c r="L52" s="17">
        <v>0.0</v>
      </c>
      <c r="M52" s="96">
        <f>SUM(K52:L52)</f>
        <v>346</v>
      </c>
      <c r="N52" s="97">
        <v>315.0</v>
      </c>
      <c r="O52" s="32"/>
      <c r="P52" s="99" t="str">
        <f t="shared" ref="P52:P58" si="68">B52</f>
        <v/>
      </c>
      <c r="Q52" s="31">
        <f t="shared" ref="Q52:R52" si="66">K52+G52+C52</f>
        <v>573</v>
      </c>
      <c r="R52" s="31">
        <f t="shared" si="66"/>
        <v>0</v>
      </c>
      <c r="S52" s="96">
        <f>sum(P52:R52)</f>
        <v>573</v>
      </c>
      <c r="T52" s="100">
        <f>N52+J52+F52</f>
        <v>523</v>
      </c>
      <c r="W52" s="148">
        <v>45929.0</v>
      </c>
      <c r="X52" s="149" t="s">
        <v>57</v>
      </c>
    </row>
    <row r="53">
      <c r="A53" s="103" t="s">
        <v>17</v>
      </c>
      <c r="B53" s="190"/>
      <c r="C53" s="27">
        <f t="shared" ref="C53:N53" si="67">sum(C52)</f>
        <v>146</v>
      </c>
      <c r="D53" s="27">
        <f t="shared" si="67"/>
        <v>0</v>
      </c>
      <c r="E53" s="27">
        <f t="shared" si="67"/>
        <v>146</v>
      </c>
      <c r="F53" s="27">
        <f t="shared" si="67"/>
        <v>127</v>
      </c>
      <c r="G53" s="27">
        <f t="shared" si="67"/>
        <v>81</v>
      </c>
      <c r="H53" s="27">
        <f t="shared" si="67"/>
        <v>0</v>
      </c>
      <c r="I53" s="27">
        <f t="shared" si="67"/>
        <v>81</v>
      </c>
      <c r="J53" s="27">
        <f t="shared" si="67"/>
        <v>81</v>
      </c>
      <c r="K53" s="27">
        <f t="shared" si="67"/>
        <v>346</v>
      </c>
      <c r="L53" s="27">
        <f t="shared" si="67"/>
        <v>0</v>
      </c>
      <c r="M53" s="27">
        <f t="shared" si="67"/>
        <v>346</v>
      </c>
      <c r="N53" s="27">
        <f t="shared" si="67"/>
        <v>315</v>
      </c>
      <c r="O53" s="32"/>
      <c r="P53" s="99" t="str">
        <f t="shared" si="68"/>
        <v/>
      </c>
      <c r="Q53" s="27">
        <f t="shared" ref="Q53:T53" si="69">sum(Q52)</f>
        <v>573</v>
      </c>
      <c r="R53" s="27">
        <f t="shared" si="69"/>
        <v>0</v>
      </c>
      <c r="S53" s="27">
        <f t="shared" si="69"/>
        <v>573</v>
      </c>
      <c r="T53" s="104">
        <f t="shared" si="69"/>
        <v>523</v>
      </c>
      <c r="X53" s="136"/>
    </row>
    <row r="54">
      <c r="A54" s="95" t="s">
        <v>19</v>
      </c>
      <c r="B54" s="190"/>
      <c r="C54" s="17">
        <v>27.0</v>
      </c>
      <c r="D54" s="31"/>
      <c r="E54" s="96">
        <f>SUM(C54:D54)</f>
        <v>27</v>
      </c>
      <c r="F54" s="97">
        <v>25.0</v>
      </c>
      <c r="G54" s="98">
        <v>31.0</v>
      </c>
      <c r="H54" s="31">
        <v>0.0</v>
      </c>
      <c r="I54" s="96">
        <f>SUM(G54:H54)</f>
        <v>31</v>
      </c>
      <c r="J54" s="97">
        <v>15.0</v>
      </c>
      <c r="K54" s="98">
        <v>45.0</v>
      </c>
      <c r="L54" s="31">
        <v>0.0</v>
      </c>
      <c r="M54" s="96">
        <f>SUM(K54:L54)</f>
        <v>45</v>
      </c>
      <c r="N54" s="97">
        <v>63.0</v>
      </c>
      <c r="O54" s="32"/>
      <c r="P54" s="99" t="str">
        <f t="shared" si="68"/>
        <v/>
      </c>
      <c r="Q54" s="31">
        <f>K54+G54+O58+C54</f>
        <v>103</v>
      </c>
      <c r="R54" s="31">
        <f>L54+H54+D54</f>
        <v>0</v>
      </c>
      <c r="S54" s="96">
        <f>sum(P54:R54)</f>
        <v>103</v>
      </c>
      <c r="T54" s="100">
        <f>N54+J54+F54</f>
        <v>103</v>
      </c>
      <c r="W54" s="210">
        <v>45922.0</v>
      </c>
      <c r="X54" s="149" t="s">
        <v>48</v>
      </c>
    </row>
    <row r="55">
      <c r="A55" s="103" t="s">
        <v>22</v>
      </c>
      <c r="B55" s="190"/>
      <c r="C55" s="27">
        <f t="shared" ref="C55:N55" si="70">sum(C54)</f>
        <v>27</v>
      </c>
      <c r="D55" s="27">
        <f t="shared" si="70"/>
        <v>0</v>
      </c>
      <c r="E55" s="27">
        <f t="shared" si="70"/>
        <v>27</v>
      </c>
      <c r="F55" s="27">
        <f t="shared" si="70"/>
        <v>25</v>
      </c>
      <c r="G55" s="27">
        <f t="shared" si="70"/>
        <v>31</v>
      </c>
      <c r="H55" s="27">
        <f t="shared" si="70"/>
        <v>0</v>
      </c>
      <c r="I55" s="27">
        <f t="shared" si="70"/>
        <v>31</v>
      </c>
      <c r="J55" s="27">
        <f t="shared" si="70"/>
        <v>15</v>
      </c>
      <c r="K55" s="27">
        <f t="shared" si="70"/>
        <v>45</v>
      </c>
      <c r="L55" s="27">
        <f t="shared" si="70"/>
        <v>0</v>
      </c>
      <c r="M55" s="27">
        <f t="shared" si="70"/>
        <v>45</v>
      </c>
      <c r="N55" s="27">
        <f t="shared" si="70"/>
        <v>63</v>
      </c>
      <c r="O55" s="32"/>
      <c r="P55" s="99" t="str">
        <f t="shared" si="68"/>
        <v/>
      </c>
      <c r="Q55" s="27">
        <f t="shared" ref="Q55:T55" si="71">sum(Q54)</f>
        <v>103</v>
      </c>
      <c r="R55" s="27">
        <f t="shared" si="71"/>
        <v>0</v>
      </c>
      <c r="S55" s="27">
        <f t="shared" si="71"/>
        <v>103</v>
      </c>
      <c r="T55" s="104">
        <f t="shared" si="71"/>
        <v>103</v>
      </c>
      <c r="X55" s="136"/>
    </row>
    <row r="56">
      <c r="A56" s="95" t="s">
        <v>23</v>
      </c>
      <c r="B56" s="190"/>
      <c r="C56" s="17">
        <v>87.0</v>
      </c>
      <c r="D56" s="31">
        <v>0.0</v>
      </c>
      <c r="E56" s="96">
        <f>SUM(C56:D56)</f>
        <v>87</v>
      </c>
      <c r="F56" s="97">
        <v>39.0</v>
      </c>
      <c r="G56" s="98">
        <v>108.0</v>
      </c>
      <c r="H56" s="31">
        <v>0.0</v>
      </c>
      <c r="I56" s="96">
        <f>SUM(G56:H56)</f>
        <v>108</v>
      </c>
      <c r="J56" s="97">
        <v>19.0</v>
      </c>
      <c r="K56" s="98">
        <v>177.0</v>
      </c>
      <c r="L56" s="31">
        <v>0.0</v>
      </c>
      <c r="M56" s="96">
        <f>SUM(K56:L56)</f>
        <v>177</v>
      </c>
      <c r="N56" s="97">
        <v>71.0</v>
      </c>
      <c r="O56" s="32"/>
      <c r="P56" s="99" t="str">
        <f t="shared" si="68"/>
        <v/>
      </c>
      <c r="Q56" s="31">
        <f t="shared" ref="Q56:R56" si="72">K56+G56+C56</f>
        <v>372</v>
      </c>
      <c r="R56" s="31">
        <f t="shared" si="72"/>
        <v>0</v>
      </c>
      <c r="S56" s="96">
        <f>sum(P56:R56)</f>
        <v>372</v>
      </c>
      <c r="T56" s="100">
        <f>N56+J56+F56</f>
        <v>129</v>
      </c>
      <c r="W56" s="157">
        <v>45930.0</v>
      </c>
      <c r="X56" s="149" t="s">
        <v>77</v>
      </c>
    </row>
    <row r="57">
      <c r="A57" s="103"/>
      <c r="B57" s="190"/>
      <c r="C57" s="27">
        <f t="shared" ref="C57:N57" si="73">sum(C56)</f>
        <v>87</v>
      </c>
      <c r="D57" s="27">
        <f t="shared" si="73"/>
        <v>0</v>
      </c>
      <c r="E57" s="27">
        <f t="shared" si="73"/>
        <v>87</v>
      </c>
      <c r="F57" s="27">
        <f t="shared" si="73"/>
        <v>39</v>
      </c>
      <c r="G57" s="27">
        <f t="shared" si="73"/>
        <v>108</v>
      </c>
      <c r="H57" s="27">
        <f t="shared" si="73"/>
        <v>0</v>
      </c>
      <c r="I57" s="27">
        <f t="shared" si="73"/>
        <v>108</v>
      </c>
      <c r="J57" s="27">
        <f t="shared" si="73"/>
        <v>19</v>
      </c>
      <c r="K57" s="27">
        <f t="shared" si="73"/>
        <v>177</v>
      </c>
      <c r="L57" s="27">
        <f t="shared" si="73"/>
        <v>0</v>
      </c>
      <c r="M57" s="27">
        <f t="shared" si="73"/>
        <v>177</v>
      </c>
      <c r="N57" s="27">
        <f t="shared" si="73"/>
        <v>71</v>
      </c>
      <c r="O57" s="32"/>
      <c r="P57" s="99" t="str">
        <f t="shared" si="68"/>
        <v/>
      </c>
      <c r="Q57" s="27">
        <f t="shared" ref="Q57:T57" si="74">sum(Q56)</f>
        <v>372</v>
      </c>
      <c r="R57" s="27">
        <f t="shared" si="74"/>
        <v>0</v>
      </c>
      <c r="S57" s="27">
        <f t="shared" si="74"/>
        <v>372</v>
      </c>
      <c r="T57" s="104">
        <f t="shared" si="74"/>
        <v>129</v>
      </c>
      <c r="X57" s="136"/>
    </row>
    <row r="58">
      <c r="A58" s="103"/>
      <c r="B58" s="190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99" t="str">
        <f t="shared" si="68"/>
        <v/>
      </c>
      <c r="Q58" s="32"/>
      <c r="R58" s="32"/>
      <c r="S58" s="32"/>
      <c r="T58" s="107"/>
    </row>
    <row r="59">
      <c r="A59" s="13"/>
      <c r="B59" s="136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107"/>
    </row>
    <row r="60">
      <c r="A60" s="108" t="s">
        <v>8</v>
      </c>
      <c r="B60" s="205"/>
      <c r="C60" s="35">
        <f t="shared" ref="C60:N60" si="75">C57+C55+C53</f>
        <v>260</v>
      </c>
      <c r="D60" s="35">
        <f t="shared" si="75"/>
        <v>0</v>
      </c>
      <c r="E60" s="35">
        <f t="shared" si="75"/>
        <v>260</v>
      </c>
      <c r="F60" s="35">
        <f t="shared" si="75"/>
        <v>191</v>
      </c>
      <c r="G60" s="35">
        <f t="shared" si="75"/>
        <v>220</v>
      </c>
      <c r="H60" s="35">
        <f t="shared" si="75"/>
        <v>0</v>
      </c>
      <c r="I60" s="35">
        <f t="shared" si="75"/>
        <v>220</v>
      </c>
      <c r="J60" s="35">
        <f t="shared" si="75"/>
        <v>115</v>
      </c>
      <c r="K60" s="35">
        <f t="shared" si="75"/>
        <v>568</v>
      </c>
      <c r="L60" s="35">
        <f t="shared" si="75"/>
        <v>0</v>
      </c>
      <c r="M60" s="35">
        <f t="shared" si="75"/>
        <v>568</v>
      </c>
      <c r="N60" s="35">
        <f t="shared" si="75"/>
        <v>449</v>
      </c>
      <c r="O60" s="109"/>
      <c r="P60" s="109"/>
      <c r="Q60" s="35">
        <f t="shared" ref="Q60:T60" si="76">Q57+Q55+Q53</f>
        <v>1048</v>
      </c>
      <c r="R60" s="35">
        <f t="shared" si="76"/>
        <v>0</v>
      </c>
      <c r="S60" s="35">
        <f t="shared" si="76"/>
        <v>1048</v>
      </c>
      <c r="T60" s="37">
        <f t="shared" si="76"/>
        <v>755</v>
      </c>
    </row>
    <row r="62">
      <c r="A62" s="211" t="s">
        <v>58</v>
      </c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8"/>
      <c r="Q62" s="110" t="s">
        <v>29</v>
      </c>
      <c r="R62" s="111" t="s">
        <v>30</v>
      </c>
    </row>
    <row r="63">
      <c r="A63" s="133"/>
      <c r="B63" s="89" t="s">
        <v>100</v>
      </c>
      <c r="C63" s="90"/>
      <c r="D63" s="90"/>
      <c r="E63" s="89"/>
      <c r="F63" s="91" t="s">
        <v>101</v>
      </c>
      <c r="G63" s="90"/>
      <c r="H63" s="90"/>
      <c r="I63" s="91" t="s">
        <v>87</v>
      </c>
      <c r="J63" s="90"/>
      <c r="K63" s="90"/>
      <c r="L63" s="91"/>
      <c r="M63" s="91" t="s">
        <v>8</v>
      </c>
      <c r="N63" s="212"/>
      <c r="P63" s="136"/>
    </row>
    <row r="64">
      <c r="A64" s="139"/>
      <c r="B64" s="179" t="s">
        <v>7</v>
      </c>
      <c r="C64" s="179" t="s">
        <v>34</v>
      </c>
      <c r="D64" s="179" t="s">
        <v>38</v>
      </c>
      <c r="E64" s="179"/>
      <c r="F64" s="179" t="s">
        <v>34</v>
      </c>
      <c r="G64" s="179" t="s">
        <v>38</v>
      </c>
      <c r="H64" s="179"/>
      <c r="I64" s="179" t="s">
        <v>34</v>
      </c>
      <c r="J64" s="179" t="s">
        <v>38</v>
      </c>
      <c r="K64" s="179"/>
      <c r="L64" s="179" t="s">
        <v>7</v>
      </c>
      <c r="M64" s="179" t="s">
        <v>34</v>
      </c>
      <c r="N64" s="181" t="s">
        <v>38</v>
      </c>
      <c r="P64" s="136"/>
    </row>
    <row r="65">
      <c r="A65" s="144" t="s">
        <v>14</v>
      </c>
      <c r="B65" s="194"/>
      <c r="C65" s="17">
        <v>61.0</v>
      </c>
      <c r="D65" s="97">
        <v>49.0</v>
      </c>
      <c r="E65" s="116">
        <f t="shared" ref="E65:E78" si="78">C65/D65</f>
        <v>1.244897959</v>
      </c>
      <c r="F65" s="17">
        <v>61.0</v>
      </c>
      <c r="G65" s="97">
        <v>48.0</v>
      </c>
      <c r="H65" s="116">
        <f t="shared" ref="H65:H78" si="79">F65/G65</f>
        <v>1.270833333</v>
      </c>
      <c r="I65" s="17">
        <v>67.0</v>
      </c>
      <c r="J65" s="97">
        <v>48.0</v>
      </c>
      <c r="K65" s="116">
        <f t="shared" ref="K65:K78" si="80">I65/J65</f>
        <v>1.395833333</v>
      </c>
      <c r="L65" s="99" t="str">
        <f t="shared" ref="L65:L68" si="81">B65</f>
        <v/>
      </c>
      <c r="M65" s="31">
        <f t="shared" ref="M65:N65" si="77">I65+F65+C65</f>
        <v>189</v>
      </c>
      <c r="N65" s="100">
        <f t="shared" si="77"/>
        <v>145</v>
      </c>
      <c r="O65" s="148">
        <v>45929.0</v>
      </c>
      <c r="P65" s="149" t="s">
        <v>57</v>
      </c>
    </row>
    <row r="66">
      <c r="A66" s="144" t="s">
        <v>15</v>
      </c>
      <c r="B66" s="194"/>
      <c r="C66" s="17">
        <v>49.0</v>
      </c>
      <c r="D66" s="97">
        <v>47.0</v>
      </c>
      <c r="E66" s="116">
        <f t="shared" si="78"/>
        <v>1.042553191</v>
      </c>
      <c r="F66" s="17">
        <v>57.0</v>
      </c>
      <c r="G66" s="97">
        <v>46.0</v>
      </c>
      <c r="H66" s="116">
        <f t="shared" si="79"/>
        <v>1.239130435</v>
      </c>
      <c r="I66" s="17">
        <v>53.0</v>
      </c>
      <c r="J66" s="97">
        <v>46.0</v>
      </c>
      <c r="K66" s="116">
        <f t="shared" si="80"/>
        <v>1.152173913</v>
      </c>
      <c r="L66" s="99" t="str">
        <f t="shared" si="81"/>
        <v/>
      </c>
      <c r="M66" s="31">
        <f t="shared" ref="M66:N66" si="82">I66+F66+C66</f>
        <v>159</v>
      </c>
      <c r="N66" s="100">
        <f t="shared" si="82"/>
        <v>139</v>
      </c>
      <c r="O66" s="148">
        <v>45929.0</v>
      </c>
      <c r="P66" s="149" t="s">
        <v>57</v>
      </c>
    </row>
    <row r="67">
      <c r="A67" s="144" t="s">
        <v>16</v>
      </c>
      <c r="B67" s="194"/>
      <c r="C67" s="17">
        <v>44.0</v>
      </c>
      <c r="D67" s="97">
        <v>60.0</v>
      </c>
      <c r="E67" s="116">
        <f t="shared" si="78"/>
        <v>0.7333333333</v>
      </c>
      <c r="F67" s="17">
        <v>53.0</v>
      </c>
      <c r="G67" s="97">
        <v>58.0</v>
      </c>
      <c r="H67" s="116">
        <f t="shared" si="79"/>
        <v>0.9137931034</v>
      </c>
      <c r="I67" s="17">
        <v>39.0</v>
      </c>
      <c r="J67" s="97">
        <v>58.0</v>
      </c>
      <c r="K67" s="116">
        <f t="shared" si="80"/>
        <v>0.6724137931</v>
      </c>
      <c r="L67" s="99" t="str">
        <f t="shared" si="81"/>
        <v/>
      </c>
      <c r="M67" s="31">
        <f t="shared" ref="M67:N67" si="83">I67+F67+C67</f>
        <v>136</v>
      </c>
      <c r="N67" s="100">
        <f t="shared" si="83"/>
        <v>176</v>
      </c>
      <c r="O67" s="148">
        <v>45929.0</v>
      </c>
      <c r="P67" s="149" t="s">
        <v>57</v>
      </c>
    </row>
    <row r="68">
      <c r="A68" s="144" t="s">
        <v>46</v>
      </c>
      <c r="B68" s="194"/>
      <c r="C68" s="25">
        <v>59.0</v>
      </c>
      <c r="D68" s="97">
        <v>62.0</v>
      </c>
      <c r="E68" s="116">
        <f t="shared" si="78"/>
        <v>0.9516129032</v>
      </c>
      <c r="F68" s="17">
        <v>64.0</v>
      </c>
      <c r="G68" s="97">
        <v>61.0</v>
      </c>
      <c r="H68" s="116">
        <f t="shared" si="79"/>
        <v>1.049180328</v>
      </c>
      <c r="I68" s="17">
        <v>68.0</v>
      </c>
      <c r="J68" s="97">
        <v>61.0</v>
      </c>
      <c r="K68" s="116">
        <f t="shared" si="80"/>
        <v>1.114754098</v>
      </c>
      <c r="L68" s="99" t="str">
        <f t="shared" si="81"/>
        <v/>
      </c>
      <c r="M68" s="31">
        <f t="shared" ref="M68:N68" si="84">I68+F68+C68</f>
        <v>191</v>
      </c>
      <c r="N68" s="100">
        <f t="shared" si="84"/>
        <v>184</v>
      </c>
      <c r="O68" s="148">
        <v>45929.0</v>
      </c>
      <c r="P68" s="149" t="s">
        <v>57</v>
      </c>
    </row>
    <row r="69">
      <c r="A69" s="153" t="s">
        <v>17</v>
      </c>
      <c r="B69" s="27">
        <f t="shared" ref="B69:D69" si="85">sum(B65:B68)</f>
        <v>0</v>
      </c>
      <c r="C69" s="27">
        <f t="shared" si="85"/>
        <v>213</v>
      </c>
      <c r="D69" s="27">
        <f t="shared" si="85"/>
        <v>218</v>
      </c>
      <c r="E69" s="116">
        <f t="shared" si="78"/>
        <v>0.9770642202</v>
      </c>
      <c r="F69" s="27">
        <f t="shared" ref="F69:G69" si="86">sum(F65:F68)</f>
        <v>235</v>
      </c>
      <c r="G69" s="27">
        <f t="shared" si="86"/>
        <v>213</v>
      </c>
      <c r="H69" s="116">
        <f t="shared" si="79"/>
        <v>1.103286385</v>
      </c>
      <c r="I69" s="27">
        <f t="shared" ref="I69:J69" si="87">sum(I65:I68)</f>
        <v>227</v>
      </c>
      <c r="J69" s="27">
        <f t="shared" si="87"/>
        <v>213</v>
      </c>
      <c r="K69" s="116">
        <f t="shared" si="80"/>
        <v>1.0657277</v>
      </c>
      <c r="L69" s="27">
        <f t="shared" ref="L69:N69" si="88">sum(L65:L68)</f>
        <v>0</v>
      </c>
      <c r="M69" s="27">
        <f t="shared" si="88"/>
        <v>675</v>
      </c>
      <c r="N69" s="104">
        <f t="shared" si="88"/>
        <v>644</v>
      </c>
    </row>
    <row r="70">
      <c r="A70" s="144" t="s">
        <v>20</v>
      </c>
      <c r="B70" s="194"/>
      <c r="C70" s="31">
        <v>52.0</v>
      </c>
      <c r="D70" s="97">
        <v>45.0</v>
      </c>
      <c r="E70" s="116">
        <f t="shared" si="78"/>
        <v>1.155555556</v>
      </c>
      <c r="F70" s="17">
        <v>52.0</v>
      </c>
      <c r="G70" s="97">
        <v>44.0</v>
      </c>
      <c r="H70" s="116">
        <f t="shared" si="79"/>
        <v>1.181818182</v>
      </c>
      <c r="I70" s="17">
        <v>37.0</v>
      </c>
      <c r="J70" s="97">
        <v>44.0</v>
      </c>
      <c r="K70" s="116">
        <f t="shared" si="80"/>
        <v>0.8409090909</v>
      </c>
      <c r="L70" s="99" t="str">
        <f t="shared" ref="L70:L73" si="90">B70</f>
        <v/>
      </c>
      <c r="M70" s="31">
        <f t="shared" ref="M70:N70" si="89">I70+F70+C70</f>
        <v>141</v>
      </c>
      <c r="N70" s="100">
        <f t="shared" si="89"/>
        <v>133</v>
      </c>
      <c r="O70" s="148">
        <v>45922.0</v>
      </c>
      <c r="P70" s="149" t="s">
        <v>48</v>
      </c>
    </row>
    <row r="71">
      <c r="A71" s="144" t="s">
        <v>19</v>
      </c>
      <c r="B71" s="194"/>
      <c r="C71" s="31">
        <v>62.0</v>
      </c>
      <c r="D71" s="97">
        <v>51.0</v>
      </c>
      <c r="E71" s="116">
        <f t="shared" si="78"/>
        <v>1.215686275</v>
      </c>
      <c r="F71" s="17">
        <v>60.0</v>
      </c>
      <c r="G71" s="97">
        <v>50.0</v>
      </c>
      <c r="H71" s="116">
        <f t="shared" si="79"/>
        <v>1.2</v>
      </c>
      <c r="I71" s="17">
        <v>34.0</v>
      </c>
      <c r="J71" s="97">
        <v>50.0</v>
      </c>
      <c r="K71" s="116">
        <f t="shared" si="80"/>
        <v>0.68</v>
      </c>
      <c r="L71" s="99" t="str">
        <f t="shared" si="90"/>
        <v/>
      </c>
      <c r="M71" s="31">
        <f t="shared" ref="M71:N71" si="91">I71+F71+C71</f>
        <v>156</v>
      </c>
      <c r="N71" s="100">
        <f t="shared" si="91"/>
        <v>151</v>
      </c>
      <c r="O71" s="148">
        <v>45922.0</v>
      </c>
      <c r="P71" s="149" t="s">
        <v>48</v>
      </c>
    </row>
    <row r="72">
      <c r="A72" s="144" t="s">
        <v>18</v>
      </c>
      <c r="B72" s="194"/>
      <c r="C72" s="31">
        <v>52.0</v>
      </c>
      <c r="D72" s="97">
        <v>42.0</v>
      </c>
      <c r="E72" s="116">
        <f t="shared" si="78"/>
        <v>1.238095238</v>
      </c>
      <c r="F72" s="17">
        <v>44.0</v>
      </c>
      <c r="G72" s="97">
        <v>41.0</v>
      </c>
      <c r="H72" s="116">
        <f t="shared" si="79"/>
        <v>1.073170732</v>
      </c>
      <c r="I72" s="17">
        <v>34.0</v>
      </c>
      <c r="J72" s="97">
        <v>41.0</v>
      </c>
      <c r="K72" s="116">
        <f t="shared" si="80"/>
        <v>0.8292682927</v>
      </c>
      <c r="L72" s="99" t="str">
        <f t="shared" si="90"/>
        <v/>
      </c>
      <c r="M72" s="31">
        <f t="shared" ref="M72:N72" si="92">I72+F72+C72</f>
        <v>130</v>
      </c>
      <c r="N72" s="100">
        <f t="shared" si="92"/>
        <v>124</v>
      </c>
      <c r="O72" s="148">
        <v>45922.0</v>
      </c>
      <c r="P72" s="149" t="s">
        <v>48</v>
      </c>
    </row>
    <row r="73">
      <c r="A73" s="144" t="s">
        <v>21</v>
      </c>
      <c r="B73" s="194"/>
      <c r="C73" s="31">
        <v>86.0</v>
      </c>
      <c r="D73" s="97">
        <v>95.0</v>
      </c>
      <c r="E73" s="116">
        <f t="shared" si="78"/>
        <v>0.9052631579</v>
      </c>
      <c r="F73" s="17">
        <v>90.0</v>
      </c>
      <c r="G73" s="97">
        <v>93.0</v>
      </c>
      <c r="H73" s="116">
        <f t="shared" si="79"/>
        <v>0.9677419355</v>
      </c>
      <c r="I73" s="17">
        <v>77.0</v>
      </c>
      <c r="J73" s="97">
        <v>93.0</v>
      </c>
      <c r="K73" s="116">
        <f t="shared" si="80"/>
        <v>0.8279569892</v>
      </c>
      <c r="L73" s="99" t="str">
        <f t="shared" si="90"/>
        <v/>
      </c>
      <c r="M73" s="31">
        <f t="shared" ref="M73:N73" si="93">I73+F73+C73</f>
        <v>253</v>
      </c>
      <c r="N73" s="100">
        <f t="shared" si="93"/>
        <v>281</v>
      </c>
      <c r="O73" s="148">
        <v>45922.0</v>
      </c>
      <c r="P73" s="149" t="s">
        <v>48</v>
      </c>
    </row>
    <row r="74">
      <c r="A74" s="153" t="s">
        <v>22</v>
      </c>
      <c r="B74" s="27">
        <f t="shared" ref="B74:D74" si="94">sum(B70:B73)</f>
        <v>0</v>
      </c>
      <c r="C74" s="27">
        <f t="shared" si="94"/>
        <v>252</v>
      </c>
      <c r="D74" s="27">
        <f t="shared" si="94"/>
        <v>233</v>
      </c>
      <c r="E74" s="116">
        <f t="shared" si="78"/>
        <v>1.081545064</v>
      </c>
      <c r="F74" s="27">
        <f t="shared" ref="F74:G74" si="95">sum(F70:F73)</f>
        <v>246</v>
      </c>
      <c r="G74" s="27">
        <f t="shared" si="95"/>
        <v>228</v>
      </c>
      <c r="H74" s="116">
        <f t="shared" si="79"/>
        <v>1.078947368</v>
      </c>
      <c r="I74" s="27">
        <f t="shared" ref="I74:J74" si="96">sum(I70:I73)</f>
        <v>182</v>
      </c>
      <c r="J74" s="27">
        <f t="shared" si="96"/>
        <v>228</v>
      </c>
      <c r="K74" s="116">
        <f t="shared" si="80"/>
        <v>0.798245614</v>
      </c>
      <c r="L74" s="27">
        <f t="shared" ref="L74:N74" si="97">sum(L70:L73)</f>
        <v>0</v>
      </c>
      <c r="M74" s="27">
        <f t="shared" si="97"/>
        <v>680</v>
      </c>
      <c r="N74" s="104">
        <f t="shared" si="97"/>
        <v>689</v>
      </c>
      <c r="P74" s="136"/>
    </row>
    <row r="75">
      <c r="A75" s="144" t="s">
        <v>23</v>
      </c>
      <c r="B75" s="194"/>
      <c r="C75" s="31">
        <v>47.0</v>
      </c>
      <c r="D75" s="97">
        <v>38.0</v>
      </c>
      <c r="E75" s="116">
        <f t="shared" si="78"/>
        <v>1.236842105</v>
      </c>
      <c r="F75" s="17">
        <v>28.0</v>
      </c>
      <c r="G75" s="97">
        <v>37.0</v>
      </c>
      <c r="H75" s="116">
        <f t="shared" si="79"/>
        <v>0.7567567568</v>
      </c>
      <c r="I75" s="17">
        <v>34.0</v>
      </c>
      <c r="J75" s="97">
        <v>37.0</v>
      </c>
      <c r="K75" s="116">
        <f t="shared" si="80"/>
        <v>0.9189189189</v>
      </c>
      <c r="L75" s="99" t="str">
        <f t="shared" ref="L75:L77" si="99">B75</f>
        <v/>
      </c>
      <c r="M75" s="31">
        <f t="shared" ref="M75:N75" si="98">I75+F75+C75</f>
        <v>109</v>
      </c>
      <c r="N75" s="100">
        <f t="shared" si="98"/>
        <v>112</v>
      </c>
      <c r="O75" s="157">
        <v>45930.0</v>
      </c>
      <c r="P75" s="149" t="s">
        <v>77</v>
      </c>
    </row>
    <row r="76">
      <c r="A76" s="144" t="s">
        <v>24</v>
      </c>
      <c r="B76" s="194"/>
      <c r="C76" s="31">
        <v>50.0</v>
      </c>
      <c r="D76" s="97">
        <v>52.0</v>
      </c>
      <c r="E76" s="116">
        <f t="shared" si="78"/>
        <v>0.9615384615</v>
      </c>
      <c r="F76" s="17">
        <v>59.0</v>
      </c>
      <c r="G76" s="97">
        <v>50.0</v>
      </c>
      <c r="H76" s="116">
        <f t="shared" si="79"/>
        <v>1.18</v>
      </c>
      <c r="I76" s="17">
        <v>53.0</v>
      </c>
      <c r="J76" s="97">
        <v>50.0</v>
      </c>
      <c r="K76" s="116">
        <f t="shared" si="80"/>
        <v>1.06</v>
      </c>
      <c r="L76" s="99" t="str">
        <f t="shared" si="99"/>
        <v/>
      </c>
      <c r="M76" s="31">
        <f t="shared" ref="M76:N76" si="100">I76+F76+C76</f>
        <v>162</v>
      </c>
      <c r="N76" s="100">
        <f t="shared" si="100"/>
        <v>152</v>
      </c>
      <c r="O76" s="157">
        <v>45930.0</v>
      </c>
      <c r="P76" s="149" t="s">
        <v>77</v>
      </c>
    </row>
    <row r="77">
      <c r="A77" s="144" t="s">
        <v>25</v>
      </c>
      <c r="B77" s="194"/>
      <c r="C77" s="31">
        <v>23.0</v>
      </c>
      <c r="D77" s="97">
        <v>23.0</v>
      </c>
      <c r="E77" s="116">
        <f t="shared" si="78"/>
        <v>1</v>
      </c>
      <c r="F77" s="17">
        <v>28.0</v>
      </c>
      <c r="G77" s="97">
        <v>22.0</v>
      </c>
      <c r="H77" s="116">
        <f t="shared" si="79"/>
        <v>1.272727273</v>
      </c>
      <c r="I77" s="17">
        <v>21.0</v>
      </c>
      <c r="J77" s="97">
        <v>22.0</v>
      </c>
      <c r="K77" s="116">
        <f t="shared" si="80"/>
        <v>0.9545454545</v>
      </c>
      <c r="L77" s="99" t="str">
        <f t="shared" si="99"/>
        <v/>
      </c>
      <c r="M77" s="31">
        <f t="shared" ref="M77:N77" si="101">I77+F77+C77</f>
        <v>72</v>
      </c>
      <c r="N77" s="100">
        <f t="shared" si="101"/>
        <v>67</v>
      </c>
      <c r="O77" s="157">
        <v>45930.0</v>
      </c>
      <c r="P77" s="149" t="s">
        <v>77</v>
      </c>
    </row>
    <row r="78">
      <c r="A78" s="153" t="s">
        <v>26</v>
      </c>
      <c r="B78" s="27">
        <f t="shared" ref="B78:D78" si="102">sum(B75:B77)</f>
        <v>0</v>
      </c>
      <c r="C78" s="27">
        <f t="shared" si="102"/>
        <v>120</v>
      </c>
      <c r="D78" s="27">
        <f t="shared" si="102"/>
        <v>113</v>
      </c>
      <c r="E78" s="116">
        <f t="shared" si="78"/>
        <v>1.061946903</v>
      </c>
      <c r="F78" s="27">
        <f t="shared" ref="F78:G78" si="103">sum(F75:F77)</f>
        <v>115</v>
      </c>
      <c r="G78" s="27">
        <f t="shared" si="103"/>
        <v>109</v>
      </c>
      <c r="H78" s="116">
        <f t="shared" si="79"/>
        <v>1.055045872</v>
      </c>
      <c r="I78" s="27">
        <f t="shared" ref="I78:J78" si="104">sum(I75:I77)</f>
        <v>108</v>
      </c>
      <c r="J78" s="27">
        <f t="shared" si="104"/>
        <v>109</v>
      </c>
      <c r="K78" s="116">
        <f t="shared" si="80"/>
        <v>0.9908256881</v>
      </c>
      <c r="L78" s="27">
        <f t="shared" ref="L78:N78" si="105">sum(L75:L77)</f>
        <v>0</v>
      </c>
      <c r="M78" s="27">
        <f t="shared" si="105"/>
        <v>343</v>
      </c>
      <c r="N78" s="104">
        <f t="shared" si="105"/>
        <v>331</v>
      </c>
    </row>
    <row r="79">
      <c r="A79" s="153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107"/>
    </row>
    <row r="80">
      <c r="A80" s="161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107"/>
    </row>
    <row r="81">
      <c r="A81" s="162" t="s">
        <v>8</v>
      </c>
      <c r="B81" s="163">
        <f t="shared" ref="B81:D81" si="106">B78+B74+B69</f>
        <v>0</v>
      </c>
      <c r="C81" s="163">
        <f t="shared" si="106"/>
        <v>585</v>
      </c>
      <c r="D81" s="163">
        <f t="shared" si="106"/>
        <v>564</v>
      </c>
      <c r="E81" s="164">
        <f>C81/D81</f>
        <v>1.037234043</v>
      </c>
      <c r="F81" s="163">
        <f t="shared" ref="F81:G81" si="107">F78+F74+F69</f>
        <v>596</v>
      </c>
      <c r="G81" s="163">
        <f t="shared" si="107"/>
        <v>550</v>
      </c>
      <c r="H81" s="164">
        <f>F81/G81</f>
        <v>1.083636364</v>
      </c>
      <c r="I81" s="163">
        <f t="shared" ref="I81:J81" si="108">I78+I74+I69</f>
        <v>517</v>
      </c>
      <c r="J81" s="163">
        <f t="shared" si="108"/>
        <v>550</v>
      </c>
      <c r="K81" s="164">
        <f>I81/J81</f>
        <v>0.94</v>
      </c>
      <c r="L81" s="163">
        <f t="shared" ref="L81:N81" si="109">L78+L74+L69</f>
        <v>0</v>
      </c>
      <c r="M81" s="163">
        <f t="shared" si="109"/>
        <v>1698</v>
      </c>
      <c r="N81" s="165">
        <f t="shared" si="109"/>
        <v>1664</v>
      </c>
    </row>
  </sheetData>
  <mergeCells count="15">
    <mergeCell ref="C50:F50"/>
    <mergeCell ref="G50:J50"/>
    <mergeCell ref="K50:N50"/>
    <mergeCell ref="Q50:T50"/>
    <mergeCell ref="A62:P62"/>
    <mergeCell ref="B63:D63"/>
    <mergeCell ref="F63:H63"/>
    <mergeCell ref="I63:K63"/>
    <mergeCell ref="A3:X3"/>
    <mergeCell ref="C4:F4"/>
    <mergeCell ref="H4:K4"/>
    <mergeCell ref="M4:R4"/>
    <mergeCell ref="U4:X4"/>
    <mergeCell ref="A25:G25"/>
    <mergeCell ref="A49:T4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13"/>
    <col customWidth="1" min="3" max="3" width="9.0"/>
    <col customWidth="1" min="4" max="4" width="8.88"/>
    <col customWidth="1" min="5" max="5" width="7.13"/>
    <col customWidth="1" min="6" max="8" width="8.13"/>
    <col customWidth="1" min="9" max="9" width="10.38"/>
    <col customWidth="1" min="10" max="12" width="8.5"/>
    <col customWidth="1" min="13" max="13" width="9.38"/>
    <col customWidth="1" min="14" max="14" width="9.75"/>
    <col customWidth="1" min="15" max="15" width="9.25"/>
    <col customWidth="1" min="16" max="16" width="9.88"/>
    <col customWidth="1" min="17" max="17" width="9.38"/>
    <col customWidth="1" min="18" max="18" width="7.13"/>
    <col customWidth="1" min="19" max="19" width="10.13"/>
    <col customWidth="1" min="20" max="20" width="9.0"/>
    <col customWidth="1" min="21" max="21" width="11.38"/>
    <col customWidth="1" min="22" max="22" width="5.88"/>
    <col customWidth="1" min="23" max="23" width="7.13"/>
    <col customWidth="1" min="24" max="24" width="9.88"/>
    <col customWidth="1" min="25" max="25" width="7.75"/>
    <col customWidth="1" min="30" max="32" width="8.75"/>
    <col customWidth="1" min="33" max="33" width="10.5"/>
    <col customWidth="1" min="34" max="48" width="8.75"/>
  </cols>
  <sheetData>
    <row r="1">
      <c r="A1" s="12" t="s">
        <v>63</v>
      </c>
      <c r="AA1" s="40"/>
    </row>
    <row r="3">
      <c r="A3" s="177" t="s">
        <v>28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7"/>
      <c r="W3" s="128"/>
      <c r="X3" s="129"/>
      <c r="Y3" s="130"/>
      <c r="Z3" s="213"/>
      <c r="AA3" s="110" t="s">
        <v>29</v>
      </c>
      <c r="AB3" s="111" t="s">
        <v>30</v>
      </c>
    </row>
    <row r="4">
      <c r="A4" s="133"/>
      <c r="B4" s="190"/>
      <c r="C4" s="89" t="s">
        <v>67</v>
      </c>
      <c r="D4" s="90"/>
      <c r="E4" s="90"/>
      <c r="F4" s="90"/>
      <c r="G4" s="91"/>
      <c r="H4" s="91" t="s">
        <v>65</v>
      </c>
      <c r="I4" s="90"/>
      <c r="J4" s="90"/>
      <c r="K4" s="90"/>
      <c r="L4" s="91"/>
      <c r="M4" s="91" t="s">
        <v>66</v>
      </c>
      <c r="N4" s="90"/>
      <c r="O4" s="90"/>
      <c r="P4" s="90"/>
      <c r="Q4" s="136"/>
      <c r="R4" s="178"/>
      <c r="S4" s="91" t="s">
        <v>8</v>
      </c>
      <c r="T4" s="90"/>
      <c r="U4" s="90"/>
      <c r="V4" s="92"/>
      <c r="W4" s="9"/>
      <c r="X4" s="9"/>
      <c r="Z4" s="214"/>
      <c r="AB4" s="136"/>
    </row>
    <row r="5">
      <c r="A5" s="139"/>
      <c r="B5" s="179" t="s">
        <v>7</v>
      </c>
      <c r="C5" s="179" t="s">
        <v>34</v>
      </c>
      <c r="D5" s="179" t="s">
        <v>36</v>
      </c>
      <c r="E5" s="179" t="s">
        <v>37</v>
      </c>
      <c r="F5" s="179" t="s">
        <v>38</v>
      </c>
      <c r="G5" s="179"/>
      <c r="H5" s="179" t="s">
        <v>34</v>
      </c>
      <c r="I5" s="179" t="s">
        <v>36</v>
      </c>
      <c r="J5" s="179" t="s">
        <v>37</v>
      </c>
      <c r="K5" s="179" t="s">
        <v>38</v>
      </c>
      <c r="L5" s="179"/>
      <c r="M5" s="179" t="s">
        <v>34</v>
      </c>
      <c r="N5" s="179" t="s">
        <v>36</v>
      </c>
      <c r="O5" s="179" t="s">
        <v>37</v>
      </c>
      <c r="P5" s="179" t="s">
        <v>38</v>
      </c>
      <c r="Q5" s="179"/>
      <c r="R5" s="179" t="s">
        <v>7</v>
      </c>
      <c r="S5" s="179" t="s">
        <v>34</v>
      </c>
      <c r="T5" s="179" t="s">
        <v>36</v>
      </c>
      <c r="U5" s="179" t="s">
        <v>37</v>
      </c>
      <c r="V5" s="181" t="s">
        <v>38</v>
      </c>
      <c r="W5" s="182" t="s">
        <v>39</v>
      </c>
      <c r="X5" s="142" t="s">
        <v>41</v>
      </c>
      <c r="Y5" s="8" t="s">
        <v>9</v>
      </c>
      <c r="Z5" s="215" t="s">
        <v>42</v>
      </c>
      <c r="AB5" s="136"/>
    </row>
    <row r="6">
      <c r="A6" s="144" t="s">
        <v>13</v>
      </c>
      <c r="B6" s="216">
        <f>'2025 - Q1'!U6-'2025 - Q1'!V6</f>
        <v>101</v>
      </c>
      <c r="C6" s="17">
        <v>39.0</v>
      </c>
      <c r="D6" s="17">
        <v>1.0</v>
      </c>
      <c r="E6" s="96">
        <f t="shared" ref="E6:E9" si="2">SUM(C6:D6)</f>
        <v>40</v>
      </c>
      <c r="F6" s="97">
        <v>35.0</v>
      </c>
      <c r="G6" s="116">
        <f t="shared" ref="G6:G19" si="3">E6/F6</f>
        <v>1.142857143</v>
      </c>
      <c r="H6" s="17">
        <v>46.0</v>
      </c>
      <c r="I6" s="17">
        <v>2.0</v>
      </c>
      <c r="J6" s="96">
        <f t="shared" ref="J6:J9" si="4">SUM(H6:I6)</f>
        <v>48</v>
      </c>
      <c r="K6" s="97">
        <v>44.0</v>
      </c>
      <c r="L6" s="116">
        <f t="shared" ref="L6:L19" si="5">J6/K6</f>
        <v>1.090909091</v>
      </c>
      <c r="M6" s="17">
        <v>33.0</v>
      </c>
      <c r="N6" s="17">
        <v>2.0</v>
      </c>
      <c r="O6" s="96">
        <f t="shared" ref="O6:O9" si="6">SUM(M6:N6)</f>
        <v>35</v>
      </c>
      <c r="P6" s="97">
        <v>51.0</v>
      </c>
      <c r="Q6" s="116">
        <f t="shared" ref="Q6:Q19" si="7">O6/P6</f>
        <v>0.6862745098</v>
      </c>
      <c r="R6" s="217">
        <f t="shared" ref="R6:R9" si="8">B6</f>
        <v>101</v>
      </c>
      <c r="S6" s="31">
        <f t="shared" ref="S6:T6" si="1">M6+H6+C6</f>
        <v>118</v>
      </c>
      <c r="T6" s="31">
        <f t="shared" si="1"/>
        <v>5</v>
      </c>
      <c r="U6" s="218">
        <f t="shared" ref="U6:U9" si="10">sum(R6:T6)</f>
        <v>224</v>
      </c>
      <c r="V6" s="100">
        <f t="shared" ref="V6:V9" si="11">P6+K6+F6</f>
        <v>130</v>
      </c>
      <c r="W6" s="219">
        <f t="shared" ref="W6:W9" si="12">V6-U6</f>
        <v>-94</v>
      </c>
      <c r="X6" s="16">
        <f t="shared" ref="X6:X9" si="13">T6+S6</f>
        <v>123</v>
      </c>
      <c r="Y6" s="31">
        <f t="shared" ref="Y6:Y9" si="14">V6</f>
        <v>130</v>
      </c>
      <c r="Z6" s="220">
        <f t="shared" ref="Z6:Z9" si="15">(S6+T6)/V6</f>
        <v>0.9461538462</v>
      </c>
      <c r="AA6" s="148">
        <v>45838.0</v>
      </c>
      <c r="AB6" s="149" t="s">
        <v>75</v>
      </c>
      <c r="AO6" s="136"/>
      <c r="AP6" s="136"/>
      <c r="AQ6" s="136"/>
      <c r="AR6" s="136"/>
      <c r="AS6" s="136"/>
      <c r="AT6" s="136"/>
      <c r="AU6" s="136"/>
      <c r="AV6" s="136"/>
      <c r="AW6" s="136"/>
      <c r="AX6" s="136"/>
    </row>
    <row r="7">
      <c r="A7" s="144" t="s">
        <v>14</v>
      </c>
      <c r="B7" s="216">
        <f>'2025 - Q1'!U7-'2025 - Q1'!V7</f>
        <v>-147</v>
      </c>
      <c r="C7" s="17">
        <v>18.0</v>
      </c>
      <c r="D7" s="17"/>
      <c r="E7" s="96">
        <f t="shared" si="2"/>
        <v>18</v>
      </c>
      <c r="F7" s="97">
        <v>28.0</v>
      </c>
      <c r="G7" s="116">
        <f t="shared" si="3"/>
        <v>0.6428571429</v>
      </c>
      <c r="H7" s="17">
        <v>28.0</v>
      </c>
      <c r="I7" s="17"/>
      <c r="J7" s="96">
        <f t="shared" si="4"/>
        <v>28</v>
      </c>
      <c r="K7" s="97">
        <v>34.0</v>
      </c>
      <c r="L7" s="116">
        <f t="shared" si="5"/>
        <v>0.8235294118</v>
      </c>
      <c r="M7" s="17">
        <v>39.0</v>
      </c>
      <c r="N7" s="17"/>
      <c r="O7" s="96">
        <f t="shared" si="6"/>
        <v>39</v>
      </c>
      <c r="P7" s="97">
        <v>42.0</v>
      </c>
      <c r="Q7" s="116">
        <f t="shared" si="7"/>
        <v>0.9285714286</v>
      </c>
      <c r="R7" s="217">
        <f t="shared" si="8"/>
        <v>-147</v>
      </c>
      <c r="S7" s="31">
        <f t="shared" ref="S7:T7" si="9">M7+H7+C7</f>
        <v>85</v>
      </c>
      <c r="T7" s="31">
        <f t="shared" si="9"/>
        <v>0</v>
      </c>
      <c r="U7" s="218">
        <f t="shared" si="10"/>
        <v>-62</v>
      </c>
      <c r="V7" s="100">
        <f t="shared" si="11"/>
        <v>104</v>
      </c>
      <c r="W7" s="219">
        <f t="shared" si="12"/>
        <v>166</v>
      </c>
      <c r="X7" s="16">
        <f t="shared" si="13"/>
        <v>85</v>
      </c>
      <c r="Y7" s="31">
        <f t="shared" si="14"/>
        <v>104</v>
      </c>
      <c r="Z7" s="220">
        <f t="shared" si="15"/>
        <v>0.8173076923</v>
      </c>
      <c r="AA7" s="148">
        <v>45838.0</v>
      </c>
      <c r="AB7" s="149" t="s">
        <v>75</v>
      </c>
      <c r="AO7" s="136"/>
      <c r="AP7" s="136"/>
      <c r="AQ7" s="136"/>
      <c r="AR7" s="136"/>
      <c r="AS7" s="136"/>
      <c r="AT7" s="136"/>
      <c r="AU7" s="136"/>
      <c r="AV7" s="136"/>
      <c r="AW7" s="136"/>
      <c r="AX7" s="136"/>
    </row>
    <row r="8">
      <c r="A8" s="144" t="s">
        <v>15</v>
      </c>
      <c r="B8" s="216">
        <f>'2025 - Q1'!U8-'2025 - Q1'!V8</f>
        <v>2</v>
      </c>
      <c r="C8" s="17">
        <v>14.0</v>
      </c>
      <c r="D8" s="207"/>
      <c r="E8" s="96">
        <f t="shared" si="2"/>
        <v>14</v>
      </c>
      <c r="F8" s="97">
        <v>25.0</v>
      </c>
      <c r="G8" s="116">
        <f t="shared" si="3"/>
        <v>0.56</v>
      </c>
      <c r="H8" s="17">
        <v>20.0</v>
      </c>
      <c r="I8" s="17"/>
      <c r="J8" s="96">
        <f t="shared" si="4"/>
        <v>20</v>
      </c>
      <c r="K8" s="97">
        <v>26.0</v>
      </c>
      <c r="L8" s="116">
        <f t="shared" si="5"/>
        <v>0.7692307692</v>
      </c>
      <c r="M8" s="17">
        <v>25.0</v>
      </c>
      <c r="N8" s="17"/>
      <c r="O8" s="96">
        <f t="shared" si="6"/>
        <v>25</v>
      </c>
      <c r="P8" s="97">
        <v>34.0</v>
      </c>
      <c r="Q8" s="116">
        <f t="shared" si="7"/>
        <v>0.7352941176</v>
      </c>
      <c r="R8" s="217">
        <f t="shared" si="8"/>
        <v>2</v>
      </c>
      <c r="S8" s="31">
        <f t="shared" ref="S8:T8" si="16">M8+H8+C8</f>
        <v>59</v>
      </c>
      <c r="T8" s="31">
        <f t="shared" si="16"/>
        <v>0</v>
      </c>
      <c r="U8" s="218">
        <f t="shared" si="10"/>
        <v>61</v>
      </c>
      <c r="V8" s="100">
        <f t="shared" si="11"/>
        <v>85</v>
      </c>
      <c r="W8" s="219">
        <f t="shared" si="12"/>
        <v>24</v>
      </c>
      <c r="X8" s="16">
        <f t="shared" si="13"/>
        <v>59</v>
      </c>
      <c r="Y8" s="31">
        <f t="shared" si="14"/>
        <v>85</v>
      </c>
      <c r="Z8" s="220">
        <f t="shared" si="15"/>
        <v>0.6941176471</v>
      </c>
      <c r="AA8" s="148">
        <v>45838.0</v>
      </c>
      <c r="AB8" s="149" t="s">
        <v>75</v>
      </c>
      <c r="AO8" s="136"/>
      <c r="AP8" s="136"/>
      <c r="AQ8" s="136"/>
      <c r="AR8" s="136"/>
      <c r="AS8" s="136"/>
      <c r="AT8" s="136"/>
      <c r="AU8" s="136"/>
      <c r="AV8" s="136"/>
      <c r="AW8" s="136"/>
      <c r="AX8" s="136"/>
    </row>
    <row r="9">
      <c r="A9" s="144" t="s">
        <v>16</v>
      </c>
      <c r="B9" s="216">
        <f>'2025 - Q1'!U9-'2025 - Q1'!V9</f>
        <v>-6</v>
      </c>
      <c r="C9" s="25">
        <v>19.0</v>
      </c>
      <c r="D9" s="152"/>
      <c r="E9" s="96">
        <f t="shared" si="2"/>
        <v>19</v>
      </c>
      <c r="F9" s="97">
        <v>32.0</v>
      </c>
      <c r="G9" s="116">
        <f t="shared" si="3"/>
        <v>0.59375</v>
      </c>
      <c r="H9" s="17">
        <v>29.0</v>
      </c>
      <c r="I9" s="17"/>
      <c r="J9" s="96">
        <f t="shared" si="4"/>
        <v>29</v>
      </c>
      <c r="K9" s="97">
        <v>35.0</v>
      </c>
      <c r="L9" s="116">
        <f t="shared" si="5"/>
        <v>0.8285714286</v>
      </c>
      <c r="M9" s="17">
        <v>31.0</v>
      </c>
      <c r="N9" s="17"/>
      <c r="O9" s="96">
        <f t="shared" si="6"/>
        <v>31</v>
      </c>
      <c r="P9" s="97">
        <v>42.0</v>
      </c>
      <c r="Q9" s="116">
        <f t="shared" si="7"/>
        <v>0.7380952381</v>
      </c>
      <c r="R9" s="217">
        <f t="shared" si="8"/>
        <v>-6</v>
      </c>
      <c r="S9" s="31">
        <f t="shared" ref="S9:T9" si="17">M9+H9+C9</f>
        <v>79</v>
      </c>
      <c r="T9" s="31">
        <f t="shared" si="17"/>
        <v>0</v>
      </c>
      <c r="U9" s="218">
        <f t="shared" si="10"/>
        <v>73</v>
      </c>
      <c r="V9" s="100">
        <f t="shared" si="11"/>
        <v>109</v>
      </c>
      <c r="W9" s="219">
        <f t="shared" si="12"/>
        <v>36</v>
      </c>
      <c r="X9" s="16">
        <f t="shared" si="13"/>
        <v>79</v>
      </c>
      <c r="Y9" s="31">
        <f t="shared" si="14"/>
        <v>109</v>
      </c>
      <c r="Z9" s="220">
        <f t="shared" si="15"/>
        <v>0.7247706422</v>
      </c>
      <c r="AA9" s="148">
        <v>45838.0</v>
      </c>
      <c r="AB9" s="149" t="s">
        <v>75</v>
      </c>
      <c r="AO9" s="136"/>
      <c r="AP9" s="136"/>
      <c r="AQ9" s="136"/>
      <c r="AR9" s="136"/>
      <c r="AS9" s="136"/>
      <c r="AT9" s="136"/>
      <c r="AU9" s="136"/>
      <c r="AV9" s="136"/>
      <c r="AW9" s="136"/>
      <c r="AX9" s="136"/>
    </row>
    <row r="10">
      <c r="A10" s="153" t="s">
        <v>17</v>
      </c>
      <c r="B10" s="29">
        <f t="shared" ref="B10:F10" si="18">sum(B6:B9)</f>
        <v>-50</v>
      </c>
      <c r="C10" s="27">
        <f t="shared" si="18"/>
        <v>90</v>
      </c>
      <c r="D10" s="27">
        <f t="shared" si="18"/>
        <v>1</v>
      </c>
      <c r="E10" s="27">
        <f t="shared" si="18"/>
        <v>91</v>
      </c>
      <c r="F10" s="27">
        <f t="shared" si="18"/>
        <v>120</v>
      </c>
      <c r="G10" s="154">
        <f t="shared" si="3"/>
        <v>0.7583333333</v>
      </c>
      <c r="H10" s="27">
        <f t="shared" ref="H10:K10" si="19">sum(H6:H9)</f>
        <v>123</v>
      </c>
      <c r="I10" s="27">
        <f t="shared" si="19"/>
        <v>2</v>
      </c>
      <c r="J10" s="27">
        <f t="shared" si="19"/>
        <v>125</v>
      </c>
      <c r="K10" s="27">
        <f t="shared" si="19"/>
        <v>139</v>
      </c>
      <c r="L10" s="154">
        <f t="shared" si="5"/>
        <v>0.8992805755</v>
      </c>
      <c r="M10" s="27">
        <f t="shared" ref="M10:P10" si="20">sum(M6:M9)</f>
        <v>128</v>
      </c>
      <c r="N10" s="27">
        <f t="shared" si="20"/>
        <v>2</v>
      </c>
      <c r="O10" s="27">
        <f t="shared" si="20"/>
        <v>130</v>
      </c>
      <c r="P10" s="27">
        <f t="shared" si="20"/>
        <v>169</v>
      </c>
      <c r="Q10" s="154">
        <f t="shared" si="7"/>
        <v>0.7692307692</v>
      </c>
      <c r="R10" s="29">
        <f t="shared" ref="R10:Y10" si="21">sum(R6:R9)</f>
        <v>-50</v>
      </c>
      <c r="S10" s="27">
        <f t="shared" si="21"/>
        <v>341</v>
      </c>
      <c r="T10" s="27">
        <f t="shared" si="21"/>
        <v>5</v>
      </c>
      <c r="U10" s="29">
        <f t="shared" si="21"/>
        <v>296</v>
      </c>
      <c r="V10" s="104">
        <f t="shared" si="21"/>
        <v>428</v>
      </c>
      <c r="W10" s="221">
        <f t="shared" si="21"/>
        <v>132</v>
      </c>
      <c r="X10" s="155">
        <f t="shared" si="21"/>
        <v>346</v>
      </c>
      <c r="Y10" s="27">
        <f t="shared" si="21"/>
        <v>428</v>
      </c>
      <c r="Z10" s="222">
        <f>X10/Y10</f>
        <v>0.808411215</v>
      </c>
      <c r="AB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</row>
    <row r="11">
      <c r="A11" s="144" t="s">
        <v>18</v>
      </c>
      <c r="B11" s="216">
        <f>'2025 - Q1'!U11-'2025 - Q1'!V11</f>
        <v>6</v>
      </c>
      <c r="C11" s="31">
        <v>11.0</v>
      </c>
      <c r="D11" s="31"/>
      <c r="E11" s="96">
        <f t="shared" ref="E11:E14" si="23">SUM(C11:D11)</f>
        <v>11</v>
      </c>
      <c r="F11" s="97">
        <v>33.0</v>
      </c>
      <c r="G11" s="116">
        <f t="shared" si="3"/>
        <v>0.3333333333</v>
      </c>
      <c r="H11" s="17">
        <v>28.0</v>
      </c>
      <c r="I11" s="17"/>
      <c r="J11" s="96">
        <f t="shared" ref="J11:J14" si="24">SUM(H11:I11)</f>
        <v>28</v>
      </c>
      <c r="K11" s="97">
        <v>33.0</v>
      </c>
      <c r="L11" s="116">
        <f t="shared" si="5"/>
        <v>0.8484848485</v>
      </c>
      <c r="M11" s="17">
        <v>41.0</v>
      </c>
      <c r="N11" s="17"/>
      <c r="O11" s="96">
        <f t="shared" ref="O11:O14" si="25">SUM(M11:N11)</f>
        <v>41</v>
      </c>
      <c r="P11" s="97">
        <v>42.0</v>
      </c>
      <c r="Q11" s="116">
        <f t="shared" si="7"/>
        <v>0.9761904762</v>
      </c>
      <c r="R11" s="217">
        <f t="shared" ref="R11:R14" si="26">B11</f>
        <v>6</v>
      </c>
      <c r="S11" s="31">
        <f t="shared" ref="S11:T11" si="22">M11+H11+C11</f>
        <v>80</v>
      </c>
      <c r="T11" s="31">
        <f t="shared" si="22"/>
        <v>0</v>
      </c>
      <c r="U11" s="218">
        <f t="shared" ref="U11:U14" si="28">sum(R11:T11)</f>
        <v>86</v>
      </c>
      <c r="V11" s="100">
        <f t="shared" ref="V11:V14" si="29">P11+K11+F11</f>
        <v>108</v>
      </c>
      <c r="W11" s="219">
        <f t="shared" ref="W11:W14" si="30">V11-U11</f>
        <v>22</v>
      </c>
      <c r="X11" s="16">
        <f t="shared" ref="X11:X14" si="31">T11+S11</f>
        <v>80</v>
      </c>
      <c r="Y11" s="31">
        <f t="shared" ref="Y11:Y14" si="32">V11</f>
        <v>108</v>
      </c>
      <c r="Z11" s="220">
        <f t="shared" ref="Z11:Z14" si="33">(S11+T11)/V11</f>
        <v>0.7407407407</v>
      </c>
      <c r="AA11" s="157">
        <v>45838.0</v>
      </c>
      <c r="AB11" s="149" t="s">
        <v>102</v>
      </c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</row>
    <row r="12">
      <c r="A12" s="144" t="s">
        <v>19</v>
      </c>
      <c r="B12" s="216">
        <f>'2025 - Q1'!U12-'2025 - Q1'!V12</f>
        <v>15</v>
      </c>
      <c r="C12" s="31">
        <v>19.0</v>
      </c>
      <c r="D12" s="31">
        <v>1.0</v>
      </c>
      <c r="E12" s="96">
        <f t="shared" si="23"/>
        <v>20</v>
      </c>
      <c r="F12" s="97">
        <v>28.0</v>
      </c>
      <c r="G12" s="116">
        <f t="shared" si="3"/>
        <v>0.7142857143</v>
      </c>
      <c r="H12" s="17">
        <v>26.0</v>
      </c>
      <c r="I12" s="17">
        <v>2.0</v>
      </c>
      <c r="J12" s="96">
        <f t="shared" si="24"/>
        <v>28</v>
      </c>
      <c r="K12" s="97">
        <v>35.0</v>
      </c>
      <c r="L12" s="116">
        <f t="shared" si="5"/>
        <v>0.8</v>
      </c>
      <c r="M12" s="17">
        <v>43.0</v>
      </c>
      <c r="N12" s="17"/>
      <c r="O12" s="96">
        <f t="shared" si="25"/>
        <v>43</v>
      </c>
      <c r="P12" s="97">
        <v>44.0</v>
      </c>
      <c r="Q12" s="116">
        <f t="shared" si="7"/>
        <v>0.9772727273</v>
      </c>
      <c r="R12" s="217">
        <f t="shared" si="26"/>
        <v>15</v>
      </c>
      <c r="S12" s="31">
        <f t="shared" ref="S12:T12" si="27">M12+H12+C12</f>
        <v>88</v>
      </c>
      <c r="T12" s="31">
        <f t="shared" si="27"/>
        <v>3</v>
      </c>
      <c r="U12" s="218">
        <f t="shared" si="28"/>
        <v>106</v>
      </c>
      <c r="V12" s="100">
        <f t="shared" si="29"/>
        <v>107</v>
      </c>
      <c r="W12" s="219">
        <f t="shared" si="30"/>
        <v>1</v>
      </c>
      <c r="X12" s="16">
        <f t="shared" si="31"/>
        <v>91</v>
      </c>
      <c r="Y12" s="31">
        <f t="shared" si="32"/>
        <v>107</v>
      </c>
      <c r="Z12" s="220">
        <f t="shared" si="33"/>
        <v>0.8504672897</v>
      </c>
      <c r="AA12" s="157">
        <v>45838.0</v>
      </c>
      <c r="AB12" s="149" t="s">
        <v>102</v>
      </c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</row>
    <row r="13">
      <c r="A13" s="144" t="s">
        <v>20</v>
      </c>
      <c r="B13" s="216">
        <f>'2025 - Q1'!U13-'2025 - Q1'!V13</f>
        <v>26</v>
      </c>
      <c r="C13" s="31">
        <v>29.0</v>
      </c>
      <c r="D13" s="31"/>
      <c r="E13" s="96">
        <f t="shared" si="23"/>
        <v>29</v>
      </c>
      <c r="F13" s="97">
        <v>25.0</v>
      </c>
      <c r="G13" s="116">
        <f t="shared" si="3"/>
        <v>1.16</v>
      </c>
      <c r="H13" s="17">
        <v>21.0</v>
      </c>
      <c r="I13" s="17"/>
      <c r="J13" s="96">
        <f t="shared" si="24"/>
        <v>21</v>
      </c>
      <c r="K13" s="97">
        <v>30.0</v>
      </c>
      <c r="L13" s="116">
        <f t="shared" si="5"/>
        <v>0.7</v>
      </c>
      <c r="M13" s="17">
        <v>41.0</v>
      </c>
      <c r="N13" s="17"/>
      <c r="O13" s="96">
        <f t="shared" si="25"/>
        <v>41</v>
      </c>
      <c r="P13" s="97">
        <v>36.0</v>
      </c>
      <c r="Q13" s="116">
        <f t="shared" si="7"/>
        <v>1.138888889</v>
      </c>
      <c r="R13" s="217">
        <f t="shared" si="26"/>
        <v>26</v>
      </c>
      <c r="S13" s="31">
        <f t="shared" ref="S13:T13" si="34">M13+H13+C13</f>
        <v>91</v>
      </c>
      <c r="T13" s="31">
        <f t="shared" si="34"/>
        <v>0</v>
      </c>
      <c r="U13" s="218">
        <f t="shared" si="28"/>
        <v>117</v>
      </c>
      <c r="V13" s="100">
        <f t="shared" si="29"/>
        <v>91</v>
      </c>
      <c r="W13" s="219">
        <f t="shared" si="30"/>
        <v>-26</v>
      </c>
      <c r="X13" s="16">
        <f t="shared" si="31"/>
        <v>91</v>
      </c>
      <c r="Y13" s="31">
        <f t="shared" si="32"/>
        <v>91</v>
      </c>
      <c r="Z13" s="220">
        <f t="shared" si="33"/>
        <v>1</v>
      </c>
      <c r="AA13" s="157">
        <v>45838.0</v>
      </c>
      <c r="AB13" s="149" t="s">
        <v>102</v>
      </c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</row>
    <row r="14">
      <c r="A14" s="144" t="s">
        <v>21</v>
      </c>
      <c r="B14" s="216">
        <f>'2025 - Q1'!U14-'2025 - Q1'!V14</f>
        <v>13</v>
      </c>
      <c r="C14" s="31">
        <v>28.0</v>
      </c>
      <c r="D14" s="31"/>
      <c r="E14" s="96">
        <f t="shared" si="23"/>
        <v>28</v>
      </c>
      <c r="F14" s="97">
        <v>41.0</v>
      </c>
      <c r="G14" s="116">
        <f t="shared" si="3"/>
        <v>0.6829268293</v>
      </c>
      <c r="H14" s="17">
        <v>37.0</v>
      </c>
      <c r="I14" s="17"/>
      <c r="J14" s="96">
        <f t="shared" si="24"/>
        <v>37</v>
      </c>
      <c r="K14" s="97">
        <v>47.0</v>
      </c>
      <c r="L14" s="116">
        <f t="shared" si="5"/>
        <v>0.7872340426</v>
      </c>
      <c r="M14" s="17">
        <v>59.0</v>
      </c>
      <c r="N14" s="17"/>
      <c r="O14" s="96">
        <f t="shared" si="25"/>
        <v>59</v>
      </c>
      <c r="P14" s="97">
        <v>60.0</v>
      </c>
      <c r="Q14" s="116">
        <f t="shared" si="7"/>
        <v>0.9833333333</v>
      </c>
      <c r="R14" s="217">
        <f t="shared" si="26"/>
        <v>13</v>
      </c>
      <c r="S14" s="31">
        <f t="shared" ref="S14:T14" si="35">M14+H14+C14</f>
        <v>124</v>
      </c>
      <c r="T14" s="31">
        <f t="shared" si="35"/>
        <v>0</v>
      </c>
      <c r="U14" s="218">
        <f t="shared" si="28"/>
        <v>137</v>
      </c>
      <c r="V14" s="100">
        <f t="shared" si="29"/>
        <v>148</v>
      </c>
      <c r="W14" s="219">
        <f t="shared" si="30"/>
        <v>11</v>
      </c>
      <c r="X14" s="16">
        <f t="shared" si="31"/>
        <v>124</v>
      </c>
      <c r="Y14" s="31">
        <f t="shared" si="32"/>
        <v>148</v>
      </c>
      <c r="Z14" s="220">
        <f t="shared" si="33"/>
        <v>0.8378378378</v>
      </c>
      <c r="AA14" s="157">
        <v>45838.0</v>
      </c>
      <c r="AB14" s="149" t="s">
        <v>102</v>
      </c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</row>
    <row r="15">
      <c r="A15" s="153" t="s">
        <v>22</v>
      </c>
      <c r="B15" s="29">
        <f t="shared" ref="B15:F15" si="36">sum(B11:B14)</f>
        <v>60</v>
      </c>
      <c r="C15" s="27">
        <f t="shared" si="36"/>
        <v>87</v>
      </c>
      <c r="D15" s="27">
        <f t="shared" si="36"/>
        <v>1</v>
      </c>
      <c r="E15" s="27">
        <f t="shared" si="36"/>
        <v>88</v>
      </c>
      <c r="F15" s="27">
        <f t="shared" si="36"/>
        <v>127</v>
      </c>
      <c r="G15" s="154">
        <f t="shared" si="3"/>
        <v>0.6929133858</v>
      </c>
      <c r="H15" s="27">
        <f t="shared" ref="H15:K15" si="37">sum(H11:H14)</f>
        <v>112</v>
      </c>
      <c r="I15" s="27">
        <f t="shared" si="37"/>
        <v>2</v>
      </c>
      <c r="J15" s="27">
        <f t="shared" si="37"/>
        <v>114</v>
      </c>
      <c r="K15" s="27">
        <f t="shared" si="37"/>
        <v>145</v>
      </c>
      <c r="L15" s="154">
        <f t="shared" si="5"/>
        <v>0.7862068966</v>
      </c>
      <c r="M15" s="27">
        <f t="shared" ref="M15:P15" si="38">sum(M11:M14)</f>
        <v>184</v>
      </c>
      <c r="N15" s="27">
        <f t="shared" si="38"/>
        <v>0</v>
      </c>
      <c r="O15" s="27">
        <f t="shared" si="38"/>
        <v>184</v>
      </c>
      <c r="P15" s="27">
        <f t="shared" si="38"/>
        <v>182</v>
      </c>
      <c r="Q15" s="154">
        <f t="shared" si="7"/>
        <v>1.010989011</v>
      </c>
      <c r="R15" s="29">
        <f t="shared" ref="R15:Y15" si="39">sum(R11:R14)</f>
        <v>60</v>
      </c>
      <c r="S15" s="27">
        <f t="shared" si="39"/>
        <v>383</v>
      </c>
      <c r="T15" s="27">
        <f t="shared" si="39"/>
        <v>3</v>
      </c>
      <c r="U15" s="29">
        <f t="shared" si="39"/>
        <v>446</v>
      </c>
      <c r="V15" s="104">
        <f t="shared" si="39"/>
        <v>454</v>
      </c>
      <c r="W15" s="221">
        <f t="shared" si="39"/>
        <v>8</v>
      </c>
      <c r="X15" s="155">
        <f t="shared" si="39"/>
        <v>386</v>
      </c>
      <c r="Y15" s="27">
        <f t="shared" si="39"/>
        <v>454</v>
      </c>
      <c r="Z15" s="222">
        <f>X15/Y15</f>
        <v>0.8502202643</v>
      </c>
      <c r="AB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</row>
    <row r="16">
      <c r="A16" s="144" t="s">
        <v>23</v>
      </c>
      <c r="B16" s="216">
        <f>'2025 - Q1'!U16-'2025 - Q1'!V16</f>
        <v>16</v>
      </c>
      <c r="C16" s="31">
        <v>23.0</v>
      </c>
      <c r="D16" s="31">
        <v>13.0</v>
      </c>
      <c r="E16" s="96">
        <f t="shared" ref="E16:E18" si="41">SUM(C16:D16)</f>
        <v>36</v>
      </c>
      <c r="F16" s="97">
        <v>28.0</v>
      </c>
      <c r="G16" s="116">
        <f t="shared" si="3"/>
        <v>1.285714286</v>
      </c>
      <c r="H16" s="17">
        <v>14.0</v>
      </c>
      <c r="I16" s="17">
        <v>16.0</v>
      </c>
      <c r="J16" s="96">
        <f t="shared" ref="J16:J18" si="42">SUM(H16:I16)</f>
        <v>30</v>
      </c>
      <c r="K16" s="97">
        <v>34.0</v>
      </c>
      <c r="L16" s="116">
        <f t="shared" si="5"/>
        <v>0.8823529412</v>
      </c>
      <c r="M16" s="17">
        <v>22.0</v>
      </c>
      <c r="N16" s="17">
        <v>15.0</v>
      </c>
      <c r="O16" s="96">
        <f t="shared" ref="O16:O18" si="43">SUM(M16:N16)</f>
        <v>37</v>
      </c>
      <c r="P16" s="97">
        <v>42.0</v>
      </c>
      <c r="Q16" s="116">
        <f t="shared" si="7"/>
        <v>0.880952381</v>
      </c>
      <c r="R16" s="217">
        <f t="shared" ref="R16:R18" si="44">B16</f>
        <v>16</v>
      </c>
      <c r="S16" s="31">
        <f t="shared" ref="S16:T16" si="40">M16+H16+C16</f>
        <v>59</v>
      </c>
      <c r="T16" s="31">
        <f t="shared" si="40"/>
        <v>44</v>
      </c>
      <c r="U16" s="218">
        <f t="shared" ref="U16:U18" si="46">sum(R16:T16)</f>
        <v>119</v>
      </c>
      <c r="V16" s="100">
        <f t="shared" ref="V16:V18" si="47">P16+K16+F16</f>
        <v>104</v>
      </c>
      <c r="W16" s="219">
        <f t="shared" ref="W16:W18" si="48">V16-U16</f>
        <v>-15</v>
      </c>
      <c r="X16" s="16">
        <f t="shared" ref="X16:X18" si="49">T16+S16</f>
        <v>103</v>
      </c>
      <c r="Y16" s="31">
        <f t="shared" ref="Y16:Y18" si="50">V16</f>
        <v>104</v>
      </c>
      <c r="Z16" s="220">
        <f t="shared" ref="Z16:Z18" si="51">(S16+T16)/V16</f>
        <v>0.9903846154</v>
      </c>
      <c r="AA16" s="157">
        <v>45838.0</v>
      </c>
      <c r="AB16" s="149" t="s">
        <v>77</v>
      </c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</row>
    <row r="17">
      <c r="A17" s="144" t="s">
        <v>24</v>
      </c>
      <c r="B17" s="216">
        <f>'2025 - Q1'!U17-'2025 - Q1'!V17</f>
        <v>-2</v>
      </c>
      <c r="C17" s="31">
        <v>25.0</v>
      </c>
      <c r="D17" s="31">
        <v>5.0</v>
      </c>
      <c r="E17" s="96">
        <f t="shared" si="41"/>
        <v>30</v>
      </c>
      <c r="F17" s="97">
        <v>27.0</v>
      </c>
      <c r="G17" s="116">
        <f t="shared" si="3"/>
        <v>1.111111111</v>
      </c>
      <c r="H17" s="17">
        <v>27.0</v>
      </c>
      <c r="I17" s="17">
        <v>4.0</v>
      </c>
      <c r="J17" s="96">
        <f t="shared" si="42"/>
        <v>31</v>
      </c>
      <c r="K17" s="97">
        <v>29.0</v>
      </c>
      <c r="L17" s="116">
        <f t="shared" si="5"/>
        <v>1.068965517</v>
      </c>
      <c r="M17" s="17">
        <v>44.0</v>
      </c>
      <c r="N17" s="17"/>
      <c r="O17" s="96">
        <f t="shared" si="43"/>
        <v>44</v>
      </c>
      <c r="P17" s="97">
        <v>36.0</v>
      </c>
      <c r="Q17" s="116">
        <f t="shared" si="7"/>
        <v>1.222222222</v>
      </c>
      <c r="R17" s="217">
        <f t="shared" si="44"/>
        <v>-2</v>
      </c>
      <c r="S17" s="31">
        <f t="shared" ref="S17:T17" si="45">M17+H17+C17</f>
        <v>96</v>
      </c>
      <c r="T17" s="31">
        <f t="shared" si="45"/>
        <v>9</v>
      </c>
      <c r="U17" s="218">
        <f t="shared" si="46"/>
        <v>103</v>
      </c>
      <c r="V17" s="100">
        <f t="shared" si="47"/>
        <v>92</v>
      </c>
      <c r="W17" s="219">
        <f t="shared" si="48"/>
        <v>-11</v>
      </c>
      <c r="X17" s="16">
        <f t="shared" si="49"/>
        <v>105</v>
      </c>
      <c r="Y17" s="31">
        <f t="shared" si="50"/>
        <v>92</v>
      </c>
      <c r="Z17" s="220">
        <f t="shared" si="51"/>
        <v>1.141304348</v>
      </c>
      <c r="AA17" s="157">
        <v>45838.0</v>
      </c>
      <c r="AB17" s="149" t="s">
        <v>77</v>
      </c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</row>
    <row r="18">
      <c r="A18" s="144" t="s">
        <v>25</v>
      </c>
      <c r="B18" s="216">
        <f>'2025 - Q1'!U18-'2025 - Q1'!V18</f>
        <v>15</v>
      </c>
      <c r="C18" s="31">
        <v>9.0</v>
      </c>
      <c r="D18" s="31"/>
      <c r="E18" s="96">
        <f t="shared" si="41"/>
        <v>9</v>
      </c>
      <c r="F18" s="97">
        <v>12.0</v>
      </c>
      <c r="G18" s="116">
        <f t="shared" si="3"/>
        <v>0.75</v>
      </c>
      <c r="H18" s="17">
        <v>9.0</v>
      </c>
      <c r="I18" s="17">
        <v>0.0</v>
      </c>
      <c r="J18" s="96">
        <f t="shared" si="42"/>
        <v>9</v>
      </c>
      <c r="K18" s="97">
        <v>11.0</v>
      </c>
      <c r="L18" s="116">
        <f t="shared" si="5"/>
        <v>0.8181818182</v>
      </c>
      <c r="M18" s="17">
        <v>17.0</v>
      </c>
      <c r="N18" s="17"/>
      <c r="O18" s="96">
        <f t="shared" si="43"/>
        <v>17</v>
      </c>
      <c r="P18" s="97">
        <v>13.0</v>
      </c>
      <c r="Q18" s="116">
        <f t="shared" si="7"/>
        <v>1.307692308</v>
      </c>
      <c r="R18" s="217">
        <f t="shared" si="44"/>
        <v>15</v>
      </c>
      <c r="S18" s="31">
        <f t="shared" ref="S18:T18" si="52">M18+H18+C18</f>
        <v>35</v>
      </c>
      <c r="T18" s="31">
        <f t="shared" si="52"/>
        <v>0</v>
      </c>
      <c r="U18" s="218">
        <f t="shared" si="46"/>
        <v>50</v>
      </c>
      <c r="V18" s="100">
        <f t="shared" si="47"/>
        <v>36</v>
      </c>
      <c r="W18" s="219">
        <f t="shared" si="48"/>
        <v>-14</v>
      </c>
      <c r="X18" s="16">
        <f t="shared" si="49"/>
        <v>35</v>
      </c>
      <c r="Y18" s="31">
        <f t="shared" si="50"/>
        <v>36</v>
      </c>
      <c r="Z18" s="220">
        <f t="shared" si="51"/>
        <v>0.9722222222</v>
      </c>
      <c r="AA18" s="157">
        <v>45838.0</v>
      </c>
      <c r="AB18" s="149" t="s">
        <v>77</v>
      </c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</row>
    <row r="19">
      <c r="A19" s="153" t="s">
        <v>26</v>
      </c>
      <c r="B19" s="29">
        <f t="shared" ref="B19:F19" si="53">sum(B16:B18)</f>
        <v>29</v>
      </c>
      <c r="C19" s="27">
        <f t="shared" si="53"/>
        <v>57</v>
      </c>
      <c r="D19" s="27">
        <f t="shared" si="53"/>
        <v>18</v>
      </c>
      <c r="E19" s="27">
        <f t="shared" si="53"/>
        <v>75</v>
      </c>
      <c r="F19" s="27">
        <f t="shared" si="53"/>
        <v>67</v>
      </c>
      <c r="G19" s="154">
        <f t="shared" si="3"/>
        <v>1.119402985</v>
      </c>
      <c r="H19" s="27">
        <f t="shared" ref="H19:K19" si="54">sum(H16:H18)</f>
        <v>50</v>
      </c>
      <c r="I19" s="27">
        <f t="shared" si="54"/>
        <v>20</v>
      </c>
      <c r="J19" s="27">
        <f t="shared" si="54"/>
        <v>70</v>
      </c>
      <c r="K19" s="27">
        <f t="shared" si="54"/>
        <v>74</v>
      </c>
      <c r="L19" s="154">
        <f t="shared" si="5"/>
        <v>0.9459459459</v>
      </c>
      <c r="M19" s="27">
        <f t="shared" ref="M19:P19" si="55">sum(M16:M18)</f>
        <v>83</v>
      </c>
      <c r="N19" s="27">
        <f t="shared" si="55"/>
        <v>15</v>
      </c>
      <c r="O19" s="27">
        <f t="shared" si="55"/>
        <v>98</v>
      </c>
      <c r="P19" s="27">
        <f t="shared" si="55"/>
        <v>91</v>
      </c>
      <c r="Q19" s="154">
        <f t="shared" si="7"/>
        <v>1.076923077</v>
      </c>
      <c r="R19" s="29">
        <f t="shared" ref="R19:Y19" si="56">sum(R16:R18)</f>
        <v>29</v>
      </c>
      <c r="S19" s="27">
        <f t="shared" si="56"/>
        <v>190</v>
      </c>
      <c r="T19" s="27">
        <f t="shared" si="56"/>
        <v>53</v>
      </c>
      <c r="U19" s="29">
        <f t="shared" si="56"/>
        <v>272</v>
      </c>
      <c r="V19" s="104">
        <f t="shared" si="56"/>
        <v>232</v>
      </c>
      <c r="W19" s="221">
        <f t="shared" si="56"/>
        <v>-40</v>
      </c>
      <c r="X19" s="155">
        <f t="shared" si="56"/>
        <v>243</v>
      </c>
      <c r="Y19" s="27">
        <f t="shared" si="56"/>
        <v>232</v>
      </c>
      <c r="Z19" s="222">
        <f>X19/Y19</f>
        <v>1.047413793</v>
      </c>
      <c r="AB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</row>
    <row r="20">
      <c r="A20" s="153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107"/>
      <c r="W20" s="33"/>
      <c r="X20" s="158"/>
      <c r="Y20" s="159"/>
      <c r="Z20" s="223"/>
      <c r="AB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</row>
    <row r="21">
      <c r="A21" s="16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107"/>
      <c r="W21" s="33"/>
      <c r="X21" s="158"/>
      <c r="Y21" s="159"/>
      <c r="Z21" s="223"/>
      <c r="AB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</row>
    <row r="22">
      <c r="A22" s="162" t="s">
        <v>8</v>
      </c>
      <c r="B22" s="163">
        <f t="shared" ref="B22:F22" si="57">B19+B15+B10</f>
        <v>39</v>
      </c>
      <c r="C22" s="163">
        <f t="shared" si="57"/>
        <v>234</v>
      </c>
      <c r="D22" s="163">
        <f t="shared" si="57"/>
        <v>20</v>
      </c>
      <c r="E22" s="163">
        <f t="shared" si="57"/>
        <v>254</v>
      </c>
      <c r="F22" s="163">
        <f t="shared" si="57"/>
        <v>314</v>
      </c>
      <c r="G22" s="164">
        <f>E22/F22</f>
        <v>0.8089171975</v>
      </c>
      <c r="H22" s="163">
        <f t="shared" ref="H22:K22" si="58">H19+H15+H10</f>
        <v>285</v>
      </c>
      <c r="I22" s="163">
        <f t="shared" si="58"/>
        <v>24</v>
      </c>
      <c r="J22" s="163">
        <f t="shared" si="58"/>
        <v>309</v>
      </c>
      <c r="K22" s="163">
        <f t="shared" si="58"/>
        <v>358</v>
      </c>
      <c r="L22" s="164">
        <f>J22/K22</f>
        <v>0.8631284916</v>
      </c>
      <c r="M22" s="163">
        <f t="shared" ref="M22:P22" si="59">M19+M15+M10</f>
        <v>395</v>
      </c>
      <c r="N22" s="163">
        <f t="shared" si="59"/>
        <v>17</v>
      </c>
      <c r="O22" s="163">
        <f t="shared" si="59"/>
        <v>412</v>
      </c>
      <c r="P22" s="163">
        <f t="shared" si="59"/>
        <v>442</v>
      </c>
      <c r="Q22" s="164">
        <f>O22/P22</f>
        <v>0.9321266968</v>
      </c>
      <c r="R22" s="163">
        <f t="shared" ref="R22:Y22" si="60">R19+R15+R10</f>
        <v>39</v>
      </c>
      <c r="S22" s="163">
        <f t="shared" si="60"/>
        <v>914</v>
      </c>
      <c r="T22" s="163">
        <f t="shared" si="60"/>
        <v>61</v>
      </c>
      <c r="U22" s="163">
        <f t="shared" si="60"/>
        <v>1014</v>
      </c>
      <c r="V22" s="165">
        <f t="shared" si="60"/>
        <v>1114</v>
      </c>
      <c r="W22" s="166">
        <f t="shared" si="60"/>
        <v>100</v>
      </c>
      <c r="X22" s="166">
        <f t="shared" si="60"/>
        <v>975</v>
      </c>
      <c r="Y22" s="163">
        <f t="shared" si="60"/>
        <v>1114</v>
      </c>
      <c r="Z22" s="224">
        <f>(S22+T22)/V22</f>
        <v>0.8752244165</v>
      </c>
      <c r="AB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</row>
    <row r="23"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</row>
    <row r="24">
      <c r="U24" s="225">
        <f>U22/V22</f>
        <v>0.9102333932</v>
      </c>
      <c r="X24" s="44">
        <f>1114-200+111</f>
        <v>1025</v>
      </c>
      <c r="Y24" s="21">
        <f>Y22-X22</f>
        <v>139</v>
      </c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</row>
    <row r="25">
      <c r="A25" s="195" t="s">
        <v>103</v>
      </c>
      <c r="B25" s="46"/>
      <c r="C25" s="46"/>
      <c r="D25" s="46"/>
      <c r="E25" s="46"/>
      <c r="F25" s="46"/>
      <c r="G25" s="47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</row>
    <row r="26">
      <c r="A26" s="9"/>
      <c r="G26" s="14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</row>
    <row r="27">
      <c r="A27" s="15"/>
      <c r="B27" s="179" t="s">
        <v>37</v>
      </c>
      <c r="C27" s="179" t="s">
        <v>38</v>
      </c>
      <c r="D27" s="179" t="s">
        <v>85</v>
      </c>
      <c r="F27" s="179" t="s">
        <v>86</v>
      </c>
      <c r="G27" s="14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</row>
    <row r="28">
      <c r="A28" s="16" t="s">
        <v>13</v>
      </c>
      <c r="B28" s="96"/>
      <c r="C28" s="97">
        <v>2.0</v>
      </c>
      <c r="D28" s="198">
        <f t="shared" ref="D28:D31" si="61">C28-B28</f>
        <v>2</v>
      </c>
      <c r="F28" s="198">
        <v>0.0</v>
      </c>
      <c r="G28" s="14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</row>
    <row r="29">
      <c r="A29" s="16" t="s">
        <v>14</v>
      </c>
      <c r="B29" s="96"/>
      <c r="C29" s="97">
        <v>2.0</v>
      </c>
      <c r="D29" s="198">
        <f t="shared" si="61"/>
        <v>2</v>
      </c>
      <c r="F29" s="198">
        <v>0.0</v>
      </c>
      <c r="G29" s="14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</row>
    <row r="30">
      <c r="A30" s="16" t="s">
        <v>15</v>
      </c>
      <c r="B30" s="96"/>
      <c r="C30" s="97">
        <v>2.0</v>
      </c>
      <c r="D30" s="198">
        <f t="shared" si="61"/>
        <v>2</v>
      </c>
      <c r="F30" s="198">
        <v>0.0</v>
      </c>
      <c r="G30" s="14"/>
    </row>
    <row r="31">
      <c r="A31" s="16" t="s">
        <v>16</v>
      </c>
      <c r="B31" s="96">
        <v>4.0</v>
      </c>
      <c r="C31" s="97">
        <v>2.0</v>
      </c>
      <c r="D31" s="198">
        <f t="shared" si="61"/>
        <v>-2</v>
      </c>
      <c r="F31" s="198">
        <v>0.0</v>
      </c>
      <c r="G31" s="14"/>
    </row>
    <row r="32">
      <c r="A32" s="26" t="s">
        <v>17</v>
      </c>
      <c r="B32" s="29">
        <f t="shared" ref="B32:D32" si="62">sum(B28:B31)</f>
        <v>4</v>
      </c>
      <c r="C32" s="29">
        <f t="shared" si="62"/>
        <v>8</v>
      </c>
      <c r="D32" s="29">
        <f t="shared" si="62"/>
        <v>4</v>
      </c>
      <c r="F32" s="29">
        <f>sum(F28:F31)</f>
        <v>0</v>
      </c>
      <c r="G32" s="14"/>
    </row>
    <row r="33">
      <c r="A33" s="16"/>
      <c r="B33" s="116"/>
      <c r="C33" s="116"/>
      <c r="D33" s="116"/>
      <c r="F33" s="116"/>
      <c r="G33" s="14"/>
    </row>
    <row r="34">
      <c r="A34" s="16" t="s">
        <v>18</v>
      </c>
      <c r="B34" s="96">
        <v>3.0</v>
      </c>
      <c r="C34" s="97">
        <v>2.0</v>
      </c>
      <c r="D34" s="198">
        <f t="shared" ref="D34:D37" si="63">C34-B34</f>
        <v>-1</v>
      </c>
      <c r="F34" s="198">
        <v>0.0</v>
      </c>
      <c r="G34" s="14"/>
    </row>
    <row r="35">
      <c r="A35" s="16" t="s">
        <v>19</v>
      </c>
      <c r="B35" s="96">
        <v>1.0</v>
      </c>
      <c r="C35" s="97">
        <v>2.0</v>
      </c>
      <c r="D35" s="198">
        <f t="shared" si="63"/>
        <v>1</v>
      </c>
      <c r="F35" s="198">
        <v>0.0</v>
      </c>
      <c r="G35" s="14"/>
    </row>
    <row r="36">
      <c r="A36" s="16" t="s">
        <v>20</v>
      </c>
      <c r="B36" s="96"/>
      <c r="C36" s="97">
        <v>2.0</v>
      </c>
      <c r="D36" s="198">
        <f t="shared" si="63"/>
        <v>2</v>
      </c>
      <c r="F36" s="198">
        <v>0.0</v>
      </c>
      <c r="G36" s="14"/>
    </row>
    <row r="37">
      <c r="A37" s="16" t="s">
        <v>21</v>
      </c>
      <c r="B37" s="96">
        <v>1.0</v>
      </c>
      <c r="C37" s="97">
        <v>2.0</v>
      </c>
      <c r="D37" s="198">
        <f t="shared" si="63"/>
        <v>1</v>
      </c>
      <c r="F37" s="198">
        <v>0.0</v>
      </c>
      <c r="G37" s="14"/>
    </row>
    <row r="38">
      <c r="A38" s="26" t="s">
        <v>22</v>
      </c>
      <c r="B38" s="29">
        <f t="shared" ref="B38:D38" si="64">sum(B34:B37)</f>
        <v>5</v>
      </c>
      <c r="C38" s="29">
        <f t="shared" si="64"/>
        <v>8</v>
      </c>
      <c r="D38" s="29">
        <f t="shared" si="64"/>
        <v>3</v>
      </c>
      <c r="F38" s="29">
        <f>sum(F34:F37)</f>
        <v>0</v>
      </c>
      <c r="G38" s="14"/>
    </row>
    <row r="39">
      <c r="A39" s="16"/>
      <c r="B39" s="116"/>
      <c r="C39" s="116"/>
      <c r="D39" s="116"/>
      <c r="F39" s="116"/>
      <c r="G39" s="14"/>
    </row>
    <row r="40">
      <c r="A40" s="16" t="s">
        <v>23</v>
      </c>
      <c r="B40" s="96"/>
      <c r="C40" s="97">
        <v>3.0</v>
      </c>
      <c r="D40" s="198">
        <f t="shared" ref="D40:D42" si="65">C40-B40</f>
        <v>3</v>
      </c>
      <c r="F40" s="198">
        <v>0.0</v>
      </c>
      <c r="G40" s="14"/>
    </row>
    <row r="41">
      <c r="A41" s="16" t="s">
        <v>24</v>
      </c>
      <c r="B41" s="96">
        <v>3.0</v>
      </c>
      <c r="C41" s="97">
        <v>2.0</v>
      </c>
      <c r="D41" s="198">
        <f t="shared" si="65"/>
        <v>-1</v>
      </c>
      <c r="F41" s="198">
        <v>0.0</v>
      </c>
      <c r="G41" s="14"/>
    </row>
    <row r="42">
      <c r="A42" s="16" t="s">
        <v>25</v>
      </c>
      <c r="B42" s="96"/>
      <c r="C42" s="97">
        <v>1.0</v>
      </c>
      <c r="D42" s="198">
        <f t="shared" si="65"/>
        <v>1</v>
      </c>
      <c r="F42" s="198">
        <v>0.0</v>
      </c>
      <c r="G42" s="14"/>
    </row>
    <row r="43">
      <c r="A43" s="26" t="s">
        <v>26</v>
      </c>
      <c r="B43" s="29">
        <f t="shared" ref="B43:D43" si="66">sum(B40:B42)</f>
        <v>3</v>
      </c>
      <c r="C43" s="29">
        <f t="shared" si="66"/>
        <v>6</v>
      </c>
      <c r="D43" s="29">
        <f t="shared" si="66"/>
        <v>3</v>
      </c>
      <c r="F43" s="29">
        <f>sum(F40:F42)</f>
        <v>0</v>
      </c>
      <c r="G43" s="14"/>
    </row>
    <row r="44">
      <c r="A44" s="26"/>
      <c r="B44" s="32"/>
      <c r="C44" s="32"/>
      <c r="D44" s="32"/>
      <c r="F44" s="32"/>
      <c r="G44" s="14"/>
    </row>
    <row r="45">
      <c r="A45" s="26"/>
      <c r="B45" s="154"/>
      <c r="C45" s="154"/>
      <c r="D45" s="154"/>
      <c r="F45" s="154"/>
      <c r="G45" s="14"/>
    </row>
    <row r="46">
      <c r="A46" s="26" t="s">
        <v>8</v>
      </c>
      <c r="B46" s="29">
        <f t="shared" ref="B46:D46" si="67">B43+B38+B32</f>
        <v>12</v>
      </c>
      <c r="C46" s="29">
        <f t="shared" si="67"/>
        <v>22</v>
      </c>
      <c r="D46" s="29">
        <f t="shared" si="67"/>
        <v>10</v>
      </c>
      <c r="F46" s="29">
        <f>F43+F38+F32</f>
        <v>0</v>
      </c>
      <c r="G46" s="14"/>
    </row>
    <row r="47">
      <c r="A47" s="201"/>
      <c r="B47" s="202"/>
      <c r="C47" s="202"/>
      <c r="D47" s="202"/>
      <c r="E47" s="202"/>
      <c r="F47" s="202"/>
      <c r="G47" s="203"/>
    </row>
    <row r="49">
      <c r="A49" s="187" t="s">
        <v>52</v>
      </c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8"/>
      <c r="U49" s="110" t="s">
        <v>29</v>
      </c>
      <c r="V49" s="111" t="s">
        <v>30</v>
      </c>
    </row>
    <row r="50">
      <c r="A50" s="13"/>
      <c r="B50" s="190"/>
      <c r="C50" s="89" t="str">
        <f>C4</f>
        <v>APRIL</v>
      </c>
      <c r="D50" s="90"/>
      <c r="E50" s="90"/>
      <c r="F50" s="90"/>
      <c r="G50" s="89" t="str">
        <f>H4</f>
        <v>MAY</v>
      </c>
      <c r="H50" s="90"/>
      <c r="I50" s="90"/>
      <c r="J50" s="90"/>
      <c r="K50" s="89" t="str">
        <f>M4</f>
        <v>JUNE</v>
      </c>
      <c r="L50" s="90"/>
      <c r="M50" s="90"/>
      <c r="N50" s="90"/>
      <c r="O50" s="136"/>
      <c r="P50" s="178"/>
      <c r="Q50" s="91" t="s">
        <v>8</v>
      </c>
      <c r="R50" s="90"/>
      <c r="S50" s="90"/>
      <c r="T50" s="92"/>
      <c r="V50" s="136"/>
    </row>
    <row r="51">
      <c r="A51" s="15"/>
      <c r="B51" s="190"/>
      <c r="C51" s="179" t="s">
        <v>54</v>
      </c>
      <c r="D51" s="179" t="s">
        <v>55</v>
      </c>
      <c r="E51" s="179" t="s">
        <v>37</v>
      </c>
      <c r="F51" s="179" t="s">
        <v>56</v>
      </c>
      <c r="G51" s="179" t="s">
        <v>54</v>
      </c>
      <c r="H51" s="179" t="s">
        <v>55</v>
      </c>
      <c r="I51" s="179" t="s">
        <v>37</v>
      </c>
      <c r="J51" s="179" t="s">
        <v>56</v>
      </c>
      <c r="K51" s="179" t="s">
        <v>54</v>
      </c>
      <c r="L51" s="179" t="s">
        <v>55</v>
      </c>
      <c r="M51" s="179" t="s">
        <v>37</v>
      </c>
      <c r="N51" s="179" t="s">
        <v>56</v>
      </c>
      <c r="O51" s="204"/>
      <c r="P51" s="179"/>
      <c r="Q51" s="179" t="s">
        <v>54</v>
      </c>
      <c r="R51" s="179" t="s">
        <v>55</v>
      </c>
      <c r="S51" s="179" t="s">
        <v>37</v>
      </c>
      <c r="T51" s="181" t="s">
        <v>56</v>
      </c>
      <c r="V51" s="136"/>
    </row>
    <row r="52">
      <c r="A52" s="95" t="s">
        <v>13</v>
      </c>
      <c r="B52" s="190"/>
      <c r="C52" s="17">
        <v>53.0</v>
      </c>
      <c r="D52" s="17">
        <v>0.0</v>
      </c>
      <c r="E52" s="96">
        <f>SUM(C52:D52)</f>
        <v>53</v>
      </c>
      <c r="F52" s="97">
        <v>114.0</v>
      </c>
      <c r="G52" s="98">
        <v>99.0</v>
      </c>
      <c r="H52" s="17"/>
      <c r="I52" s="96">
        <f>SUM(G52:H52)</f>
        <v>99</v>
      </c>
      <c r="J52" s="97">
        <v>129.0</v>
      </c>
      <c r="K52" s="98">
        <v>103.0</v>
      </c>
      <c r="L52" s="17">
        <v>57.0</v>
      </c>
      <c r="M52" s="96">
        <f>SUM(K52:L52)</f>
        <v>160</v>
      </c>
      <c r="N52" s="97">
        <v>155.0</v>
      </c>
      <c r="O52" s="32"/>
      <c r="P52" s="99" t="str">
        <f t="shared" ref="P52:P58" si="70">B52</f>
        <v/>
      </c>
      <c r="Q52" s="31">
        <f t="shared" ref="Q52:R52" si="68">K52+G52+C52</f>
        <v>255</v>
      </c>
      <c r="R52" s="31">
        <f t="shared" si="68"/>
        <v>57</v>
      </c>
      <c r="S52" s="96">
        <f>sum(P52:R52)</f>
        <v>312</v>
      </c>
      <c r="T52" s="100">
        <f>N52+J52+F52</f>
        <v>398</v>
      </c>
      <c r="U52" s="148">
        <v>45831.0</v>
      </c>
      <c r="V52" s="149" t="s">
        <v>75</v>
      </c>
    </row>
    <row r="53">
      <c r="A53" s="103" t="s">
        <v>17</v>
      </c>
      <c r="B53" s="190"/>
      <c r="C53" s="27">
        <f t="shared" ref="C53:N53" si="69">sum(C52)</f>
        <v>53</v>
      </c>
      <c r="D53" s="27">
        <f t="shared" si="69"/>
        <v>0</v>
      </c>
      <c r="E53" s="27">
        <f t="shared" si="69"/>
        <v>53</v>
      </c>
      <c r="F53" s="27">
        <f t="shared" si="69"/>
        <v>114</v>
      </c>
      <c r="G53" s="27">
        <f t="shared" si="69"/>
        <v>99</v>
      </c>
      <c r="H53" s="27">
        <f t="shared" si="69"/>
        <v>0</v>
      </c>
      <c r="I53" s="27">
        <f t="shared" si="69"/>
        <v>99</v>
      </c>
      <c r="J53" s="27">
        <f t="shared" si="69"/>
        <v>129</v>
      </c>
      <c r="K53" s="27">
        <f t="shared" si="69"/>
        <v>103</v>
      </c>
      <c r="L53" s="27">
        <f t="shared" si="69"/>
        <v>57</v>
      </c>
      <c r="M53" s="27">
        <f t="shared" si="69"/>
        <v>160</v>
      </c>
      <c r="N53" s="27">
        <f t="shared" si="69"/>
        <v>155</v>
      </c>
      <c r="O53" s="32"/>
      <c r="P53" s="99" t="str">
        <f t="shared" si="70"/>
        <v/>
      </c>
      <c r="Q53" s="27">
        <f t="shared" ref="Q53:T53" si="71">sum(Q52)</f>
        <v>255</v>
      </c>
      <c r="R53" s="27">
        <f t="shared" si="71"/>
        <v>57</v>
      </c>
      <c r="S53" s="27">
        <f t="shared" si="71"/>
        <v>312</v>
      </c>
      <c r="T53" s="104">
        <f t="shared" si="71"/>
        <v>398</v>
      </c>
      <c r="V53" s="136"/>
    </row>
    <row r="54">
      <c r="A54" s="95" t="s">
        <v>19</v>
      </c>
      <c r="B54" s="190"/>
      <c r="C54" s="17">
        <v>60.0</v>
      </c>
      <c r="D54" s="31"/>
      <c r="E54" s="96">
        <f>SUM(C54:D54)</f>
        <v>60</v>
      </c>
      <c r="F54" s="97">
        <v>20.0</v>
      </c>
      <c r="G54" s="98">
        <v>50.0</v>
      </c>
      <c r="H54" s="31">
        <v>0.0</v>
      </c>
      <c r="I54" s="96">
        <f>SUM(G54:H54)</f>
        <v>50</v>
      </c>
      <c r="J54" s="97">
        <v>30.0</v>
      </c>
      <c r="K54" s="98">
        <v>6.0</v>
      </c>
      <c r="L54" s="31">
        <v>46.0</v>
      </c>
      <c r="M54" s="96">
        <f>SUM(K54:L54)</f>
        <v>52</v>
      </c>
      <c r="N54" s="97">
        <v>37.0</v>
      </c>
      <c r="O54" s="32"/>
      <c r="P54" s="99" t="str">
        <f t="shared" si="70"/>
        <v/>
      </c>
      <c r="Q54" s="31">
        <f>K54+G54+O58+C54</f>
        <v>116</v>
      </c>
      <c r="R54" s="31">
        <f>L54+H54+D54</f>
        <v>46</v>
      </c>
      <c r="S54" s="96">
        <f>sum(P54:R54)</f>
        <v>162</v>
      </c>
      <c r="T54" s="100">
        <f>N54+J54+F54</f>
        <v>87</v>
      </c>
      <c r="U54" s="210">
        <v>45824.0</v>
      </c>
      <c r="V54" s="149" t="s">
        <v>48</v>
      </c>
    </row>
    <row r="55">
      <c r="A55" s="103" t="s">
        <v>22</v>
      </c>
      <c r="B55" s="190"/>
      <c r="C55" s="27">
        <f t="shared" ref="C55:N55" si="72">sum(C54)</f>
        <v>60</v>
      </c>
      <c r="D55" s="27">
        <f t="shared" si="72"/>
        <v>0</v>
      </c>
      <c r="E55" s="27">
        <f t="shared" si="72"/>
        <v>60</v>
      </c>
      <c r="F55" s="27">
        <f t="shared" si="72"/>
        <v>20</v>
      </c>
      <c r="G55" s="27">
        <f t="shared" si="72"/>
        <v>50</v>
      </c>
      <c r="H55" s="27">
        <f t="shared" si="72"/>
        <v>0</v>
      </c>
      <c r="I55" s="27">
        <f t="shared" si="72"/>
        <v>50</v>
      </c>
      <c r="J55" s="27">
        <f t="shared" si="72"/>
        <v>30</v>
      </c>
      <c r="K55" s="27">
        <f t="shared" si="72"/>
        <v>6</v>
      </c>
      <c r="L55" s="27">
        <f t="shared" si="72"/>
        <v>46</v>
      </c>
      <c r="M55" s="27">
        <f t="shared" si="72"/>
        <v>52</v>
      </c>
      <c r="N55" s="27">
        <f t="shared" si="72"/>
        <v>37</v>
      </c>
      <c r="O55" s="32"/>
      <c r="P55" s="99" t="str">
        <f t="shared" si="70"/>
        <v/>
      </c>
      <c r="Q55" s="27">
        <f t="shared" ref="Q55:T55" si="73">sum(Q54)</f>
        <v>116</v>
      </c>
      <c r="R55" s="27">
        <f t="shared" si="73"/>
        <v>46</v>
      </c>
      <c r="S55" s="27">
        <f t="shared" si="73"/>
        <v>162</v>
      </c>
      <c r="T55" s="104">
        <f t="shared" si="73"/>
        <v>87</v>
      </c>
      <c r="V55" s="136"/>
    </row>
    <row r="56">
      <c r="A56" s="95" t="s">
        <v>23</v>
      </c>
      <c r="B56" s="190"/>
      <c r="C56" s="17">
        <v>53.0</v>
      </c>
      <c r="D56" s="31">
        <v>0.0</v>
      </c>
      <c r="E56" s="96">
        <f>SUM(C56:D56)</f>
        <v>53</v>
      </c>
      <c r="F56" s="97">
        <v>25.0</v>
      </c>
      <c r="G56" s="98">
        <v>45.0</v>
      </c>
      <c r="H56" s="31">
        <v>0.0</v>
      </c>
      <c r="I56" s="96">
        <f>SUM(G56:H56)</f>
        <v>45</v>
      </c>
      <c r="J56" s="97">
        <v>38.0</v>
      </c>
      <c r="K56" s="98">
        <v>46.0</v>
      </c>
      <c r="L56" s="31">
        <v>0.0</v>
      </c>
      <c r="M56" s="96">
        <f>SUM(K56:L56)</f>
        <v>46</v>
      </c>
      <c r="N56" s="97">
        <v>61.0</v>
      </c>
      <c r="O56" s="32"/>
      <c r="P56" s="99" t="str">
        <f t="shared" si="70"/>
        <v/>
      </c>
      <c r="Q56" s="31">
        <f t="shared" ref="Q56:R56" si="74">K56+G56+C56</f>
        <v>144</v>
      </c>
      <c r="R56" s="31">
        <f t="shared" si="74"/>
        <v>0</v>
      </c>
      <c r="S56" s="96">
        <f>sum(P56:R56)</f>
        <v>144</v>
      </c>
      <c r="T56" s="100">
        <f>N56+J56+F56</f>
        <v>124</v>
      </c>
      <c r="U56" s="157">
        <v>45838.0</v>
      </c>
      <c r="V56" s="149" t="s">
        <v>77</v>
      </c>
    </row>
    <row r="57">
      <c r="A57" s="103"/>
      <c r="B57" s="190"/>
      <c r="C57" s="27">
        <f t="shared" ref="C57:N57" si="75">sum(C56)</f>
        <v>53</v>
      </c>
      <c r="D57" s="27">
        <f t="shared" si="75"/>
        <v>0</v>
      </c>
      <c r="E57" s="27">
        <f t="shared" si="75"/>
        <v>53</v>
      </c>
      <c r="F57" s="27">
        <f t="shared" si="75"/>
        <v>25</v>
      </c>
      <c r="G57" s="27">
        <f t="shared" si="75"/>
        <v>45</v>
      </c>
      <c r="H57" s="27">
        <f t="shared" si="75"/>
        <v>0</v>
      </c>
      <c r="I57" s="27">
        <f t="shared" si="75"/>
        <v>45</v>
      </c>
      <c r="J57" s="27">
        <f t="shared" si="75"/>
        <v>38</v>
      </c>
      <c r="K57" s="27">
        <f t="shared" si="75"/>
        <v>46</v>
      </c>
      <c r="L57" s="27">
        <f t="shared" si="75"/>
        <v>0</v>
      </c>
      <c r="M57" s="27">
        <f t="shared" si="75"/>
        <v>46</v>
      </c>
      <c r="N57" s="27">
        <f t="shared" si="75"/>
        <v>61</v>
      </c>
      <c r="O57" s="32"/>
      <c r="P57" s="99" t="str">
        <f t="shared" si="70"/>
        <v/>
      </c>
      <c r="Q57" s="27">
        <f t="shared" ref="Q57:T57" si="76">sum(Q56)</f>
        <v>144</v>
      </c>
      <c r="R57" s="27">
        <f t="shared" si="76"/>
        <v>0</v>
      </c>
      <c r="S57" s="27">
        <f t="shared" si="76"/>
        <v>144</v>
      </c>
      <c r="T57" s="104">
        <f t="shared" si="76"/>
        <v>124</v>
      </c>
      <c r="V57" s="136"/>
    </row>
    <row r="58">
      <c r="A58" s="103"/>
      <c r="B58" s="190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99" t="str">
        <f t="shared" si="70"/>
        <v/>
      </c>
      <c r="Q58" s="32"/>
      <c r="R58" s="32"/>
      <c r="S58" s="32"/>
      <c r="T58" s="107"/>
    </row>
    <row r="59">
      <c r="A59" s="13"/>
      <c r="B59" s="136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107"/>
    </row>
    <row r="60">
      <c r="A60" s="108" t="s">
        <v>8</v>
      </c>
      <c r="B60" s="205"/>
      <c r="C60" s="35">
        <f t="shared" ref="C60:N60" si="77">C57+C55+C53</f>
        <v>166</v>
      </c>
      <c r="D60" s="35">
        <f t="shared" si="77"/>
        <v>0</v>
      </c>
      <c r="E60" s="35">
        <f t="shared" si="77"/>
        <v>166</v>
      </c>
      <c r="F60" s="35">
        <f t="shared" si="77"/>
        <v>159</v>
      </c>
      <c r="G60" s="35">
        <f t="shared" si="77"/>
        <v>194</v>
      </c>
      <c r="H60" s="35">
        <f t="shared" si="77"/>
        <v>0</v>
      </c>
      <c r="I60" s="35">
        <f t="shared" si="77"/>
        <v>194</v>
      </c>
      <c r="J60" s="35">
        <f t="shared" si="77"/>
        <v>197</v>
      </c>
      <c r="K60" s="35">
        <f t="shared" si="77"/>
        <v>155</v>
      </c>
      <c r="L60" s="35">
        <f t="shared" si="77"/>
        <v>103</v>
      </c>
      <c r="M60" s="35">
        <f t="shared" si="77"/>
        <v>258</v>
      </c>
      <c r="N60" s="35">
        <f t="shared" si="77"/>
        <v>253</v>
      </c>
      <c r="O60" s="109"/>
      <c r="P60" s="109"/>
      <c r="Q60" s="35">
        <f t="shared" ref="Q60:T60" si="78">Q57+Q55+Q53</f>
        <v>515</v>
      </c>
      <c r="R60" s="35">
        <f t="shared" si="78"/>
        <v>103</v>
      </c>
      <c r="S60" s="35">
        <f t="shared" si="78"/>
        <v>618</v>
      </c>
      <c r="T60" s="37">
        <f t="shared" si="78"/>
        <v>609</v>
      </c>
    </row>
    <row r="62">
      <c r="A62" s="211" t="s">
        <v>58</v>
      </c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P62" s="2"/>
      <c r="Q62" s="4"/>
      <c r="R62" s="7"/>
      <c r="S62" s="226"/>
    </row>
    <row r="63">
      <c r="A63" s="133"/>
      <c r="B63" s="89" t="s">
        <v>67</v>
      </c>
      <c r="C63" s="90"/>
      <c r="D63" s="90"/>
      <c r="E63" s="89"/>
      <c r="F63" s="91" t="s">
        <v>65</v>
      </c>
      <c r="G63" s="90"/>
      <c r="H63" s="90"/>
      <c r="I63" s="91" t="s">
        <v>66</v>
      </c>
      <c r="J63" s="90"/>
      <c r="K63" s="90"/>
      <c r="L63" s="91"/>
      <c r="M63" s="91" t="s">
        <v>8</v>
      </c>
      <c r="N63" s="212"/>
      <c r="P63" s="227" t="s">
        <v>104</v>
      </c>
      <c r="Q63" s="90"/>
      <c r="R63" s="92"/>
      <c r="S63" s="143" t="s">
        <v>105</v>
      </c>
    </row>
    <row r="64">
      <c r="A64" s="139"/>
      <c r="B64" s="179" t="s">
        <v>7</v>
      </c>
      <c r="C64" s="179" t="s">
        <v>34</v>
      </c>
      <c r="D64" s="179" t="s">
        <v>38</v>
      </c>
      <c r="E64" s="179"/>
      <c r="F64" s="179" t="s">
        <v>34</v>
      </c>
      <c r="G64" s="179" t="s">
        <v>38</v>
      </c>
      <c r="H64" s="179"/>
      <c r="I64" s="179" t="s">
        <v>34</v>
      </c>
      <c r="J64" s="179" t="s">
        <v>38</v>
      </c>
      <c r="K64" s="179"/>
      <c r="L64" s="179" t="s">
        <v>7</v>
      </c>
      <c r="M64" s="179" t="s">
        <v>34</v>
      </c>
      <c r="N64" s="181" t="s">
        <v>38</v>
      </c>
      <c r="P64" s="182" t="s">
        <v>34</v>
      </c>
      <c r="Q64" s="179" t="s">
        <v>38</v>
      </c>
      <c r="R64" s="181"/>
      <c r="S64" s="228" t="s">
        <v>38</v>
      </c>
    </row>
    <row r="65">
      <c r="A65" s="144" t="s">
        <v>13</v>
      </c>
      <c r="B65" s="194">
        <v>-13.0</v>
      </c>
      <c r="C65" s="17">
        <v>42.0</v>
      </c>
      <c r="D65" s="97">
        <v>61.0</v>
      </c>
      <c r="E65" s="116">
        <f t="shared" ref="E65:E78" si="80">C65/D65</f>
        <v>0.6885245902</v>
      </c>
      <c r="F65" s="17">
        <v>55.0</v>
      </c>
      <c r="G65" s="97">
        <v>61.0</v>
      </c>
      <c r="H65" s="116">
        <f t="shared" ref="H65:H78" si="81">F65/G65</f>
        <v>0.9016393443</v>
      </c>
      <c r="I65" s="17">
        <v>41.0</v>
      </c>
      <c r="J65" s="97">
        <v>63.0</v>
      </c>
      <c r="K65" s="116">
        <f t="shared" ref="K65:K78" si="82">I65/J65</f>
        <v>0.6507936508</v>
      </c>
      <c r="L65" s="99">
        <f t="shared" ref="L65:L68" si="83">B65</f>
        <v>-13</v>
      </c>
      <c r="M65" s="31">
        <f t="shared" ref="M65:N65" si="79">I65+F65+C65</f>
        <v>138</v>
      </c>
      <c r="N65" s="100">
        <f t="shared" si="79"/>
        <v>185</v>
      </c>
      <c r="O65" s="12">
        <v>743.0</v>
      </c>
      <c r="P65" s="229">
        <v>185.0</v>
      </c>
      <c r="Q65" s="97">
        <v>198.0</v>
      </c>
      <c r="R65" s="230">
        <f t="shared" ref="R65:R78" si="85">P65/Q65</f>
        <v>0.9343434343</v>
      </c>
      <c r="S65" s="231">
        <f t="shared" ref="S65:S68" si="86">N65+Q65-P65</f>
        <v>198</v>
      </c>
      <c r="T65" s="12">
        <v>62.0</v>
      </c>
      <c r="U65" s="157">
        <v>45838.0</v>
      </c>
      <c r="V65" s="12" t="s">
        <v>57</v>
      </c>
    </row>
    <row r="66">
      <c r="A66" s="144" t="s">
        <v>14</v>
      </c>
      <c r="B66" s="194">
        <v>1.0</v>
      </c>
      <c r="C66" s="17">
        <v>60.0</v>
      </c>
      <c r="D66" s="97">
        <v>48.0</v>
      </c>
      <c r="E66" s="116">
        <f t="shared" si="80"/>
        <v>1.25</v>
      </c>
      <c r="F66" s="17">
        <v>52.0</v>
      </c>
      <c r="G66" s="97">
        <v>48.0</v>
      </c>
      <c r="H66" s="116">
        <f t="shared" si="81"/>
        <v>1.083333333</v>
      </c>
      <c r="I66" s="17">
        <v>54.0</v>
      </c>
      <c r="J66" s="97">
        <v>50.0</v>
      </c>
      <c r="K66" s="116">
        <f t="shared" si="82"/>
        <v>1.08</v>
      </c>
      <c r="L66" s="99">
        <f t="shared" si="83"/>
        <v>1</v>
      </c>
      <c r="M66" s="31">
        <f t="shared" ref="M66:N66" si="84">I66+F66+C66</f>
        <v>166</v>
      </c>
      <c r="N66" s="100">
        <f t="shared" si="84"/>
        <v>146</v>
      </c>
      <c r="O66" s="12">
        <v>584.0</v>
      </c>
      <c r="P66" s="229">
        <v>157.0</v>
      </c>
      <c r="Q66" s="97">
        <v>156.0</v>
      </c>
      <c r="R66" s="230">
        <f t="shared" si="85"/>
        <v>1.006410256</v>
      </c>
      <c r="S66" s="231">
        <f t="shared" si="86"/>
        <v>145</v>
      </c>
      <c r="T66" s="12">
        <v>52.0</v>
      </c>
      <c r="U66" s="157">
        <v>45838.0</v>
      </c>
      <c r="V66" s="12" t="s">
        <v>57</v>
      </c>
    </row>
    <row r="67">
      <c r="A67" s="144" t="s">
        <v>15</v>
      </c>
      <c r="B67" s="194">
        <v>27.0</v>
      </c>
      <c r="C67" s="17">
        <v>47.0</v>
      </c>
      <c r="D67" s="97">
        <v>46.0</v>
      </c>
      <c r="E67" s="116">
        <f t="shared" si="80"/>
        <v>1.02173913</v>
      </c>
      <c r="F67" s="17">
        <v>52.0</v>
      </c>
      <c r="G67" s="97">
        <v>46.0</v>
      </c>
      <c r="H67" s="116">
        <f t="shared" si="81"/>
        <v>1.130434783</v>
      </c>
      <c r="I67" s="17">
        <v>39.0</v>
      </c>
      <c r="J67" s="97">
        <v>48.0</v>
      </c>
      <c r="K67" s="116">
        <f t="shared" si="82"/>
        <v>0.8125</v>
      </c>
      <c r="L67" s="99">
        <f t="shared" si="83"/>
        <v>27</v>
      </c>
      <c r="M67" s="31">
        <f t="shared" ref="M67:N67" si="87">I67+F67+C67</f>
        <v>138</v>
      </c>
      <c r="N67" s="100">
        <f t="shared" si="87"/>
        <v>140</v>
      </c>
      <c r="O67" s="12">
        <v>562.0</v>
      </c>
      <c r="P67" s="229">
        <v>177.0</v>
      </c>
      <c r="Q67" s="97">
        <v>150.0</v>
      </c>
      <c r="R67" s="230">
        <f t="shared" si="85"/>
        <v>1.18</v>
      </c>
      <c r="S67" s="231">
        <f t="shared" si="86"/>
        <v>113</v>
      </c>
      <c r="T67" s="12">
        <v>59.0</v>
      </c>
      <c r="U67" s="157">
        <v>45838.0</v>
      </c>
      <c r="V67" s="12" t="s">
        <v>57</v>
      </c>
    </row>
    <row r="68">
      <c r="A68" s="144" t="s">
        <v>16</v>
      </c>
      <c r="B68" s="194">
        <v>-45.0</v>
      </c>
      <c r="C68" s="25">
        <v>48.0</v>
      </c>
      <c r="D68" s="97">
        <v>58.0</v>
      </c>
      <c r="E68" s="116">
        <f t="shared" si="80"/>
        <v>0.8275862069</v>
      </c>
      <c r="F68" s="17">
        <v>37.0</v>
      </c>
      <c r="G68" s="97">
        <v>58.0</v>
      </c>
      <c r="H68" s="116">
        <f t="shared" si="81"/>
        <v>0.6379310345</v>
      </c>
      <c r="I68" s="17">
        <v>41.0</v>
      </c>
      <c r="J68" s="97">
        <v>60.0</v>
      </c>
      <c r="K68" s="116">
        <f t="shared" si="82"/>
        <v>0.6833333333</v>
      </c>
      <c r="L68" s="99">
        <f t="shared" si="83"/>
        <v>-45</v>
      </c>
      <c r="M68" s="31">
        <f t="shared" ref="M68:N68" si="88">I68+F68+C68</f>
        <v>126</v>
      </c>
      <c r="N68" s="100">
        <f t="shared" si="88"/>
        <v>176</v>
      </c>
      <c r="O68" s="12">
        <v>711.0</v>
      </c>
      <c r="P68" s="229">
        <v>144.0</v>
      </c>
      <c r="Q68" s="97">
        <v>189.0</v>
      </c>
      <c r="R68" s="230">
        <f t="shared" si="85"/>
        <v>0.7619047619</v>
      </c>
      <c r="S68" s="231">
        <f t="shared" si="86"/>
        <v>221</v>
      </c>
      <c r="T68" s="12">
        <v>48.0</v>
      </c>
      <c r="U68" s="157">
        <v>45838.0</v>
      </c>
      <c r="V68" s="12" t="s">
        <v>57</v>
      </c>
    </row>
    <row r="69">
      <c r="A69" s="153" t="s">
        <v>17</v>
      </c>
      <c r="B69" s="27">
        <f t="shared" ref="B69:D69" si="89">sum(B65:B68)</f>
        <v>-30</v>
      </c>
      <c r="C69" s="27">
        <f t="shared" si="89"/>
        <v>197</v>
      </c>
      <c r="D69" s="27">
        <f t="shared" si="89"/>
        <v>213</v>
      </c>
      <c r="E69" s="116">
        <f t="shared" si="80"/>
        <v>0.9248826291</v>
      </c>
      <c r="F69" s="27">
        <f t="shared" ref="F69:G69" si="90">sum(F65:F68)</f>
        <v>196</v>
      </c>
      <c r="G69" s="27">
        <f t="shared" si="90"/>
        <v>213</v>
      </c>
      <c r="H69" s="116">
        <f t="shared" si="81"/>
        <v>0.9201877934</v>
      </c>
      <c r="I69" s="27">
        <f t="shared" ref="I69:J69" si="91">sum(I65:I68)</f>
        <v>175</v>
      </c>
      <c r="J69" s="27">
        <f t="shared" si="91"/>
        <v>221</v>
      </c>
      <c r="K69" s="116">
        <f t="shared" si="82"/>
        <v>0.7918552036</v>
      </c>
      <c r="L69" s="27">
        <f t="shared" ref="L69:N69" si="92">sum(L65:L68)</f>
        <v>-30</v>
      </c>
      <c r="M69" s="27">
        <f t="shared" si="92"/>
        <v>568</v>
      </c>
      <c r="N69" s="104">
        <f t="shared" si="92"/>
        <v>647</v>
      </c>
      <c r="P69" s="155">
        <f t="shared" ref="P69:Q69" si="93">sum(P65:P68)</f>
        <v>663</v>
      </c>
      <c r="Q69" s="27">
        <f t="shared" si="93"/>
        <v>693</v>
      </c>
      <c r="R69" s="230">
        <f t="shared" si="85"/>
        <v>0.9567099567</v>
      </c>
      <c r="S69" s="232">
        <f>sum(S65:S68)</f>
        <v>677</v>
      </c>
      <c r="U69" s="148"/>
      <c r="V69" s="185"/>
      <c r="W69" s="233"/>
    </row>
    <row r="70">
      <c r="A70" s="144" t="s">
        <v>18</v>
      </c>
      <c r="B70" s="194">
        <v>16.0</v>
      </c>
      <c r="C70" s="31">
        <v>43.0</v>
      </c>
      <c r="D70" s="97">
        <v>39.0</v>
      </c>
      <c r="E70" s="116">
        <f t="shared" si="80"/>
        <v>1.102564103</v>
      </c>
      <c r="F70" s="17">
        <v>35.0</v>
      </c>
      <c r="G70" s="97">
        <v>39.0</v>
      </c>
      <c r="H70" s="116">
        <f t="shared" si="81"/>
        <v>0.8974358974</v>
      </c>
      <c r="I70" s="17">
        <v>44.0</v>
      </c>
      <c r="J70" s="97">
        <v>40.0</v>
      </c>
      <c r="K70" s="116">
        <f t="shared" si="82"/>
        <v>1.1</v>
      </c>
      <c r="L70" s="99">
        <f t="shared" ref="L70:L73" si="95">B70</f>
        <v>16</v>
      </c>
      <c r="M70" s="31">
        <f t="shared" ref="M70:N70" si="94">I70+F70+C70</f>
        <v>122</v>
      </c>
      <c r="N70" s="100">
        <f t="shared" si="94"/>
        <v>118</v>
      </c>
      <c r="O70" s="12">
        <v>473.0</v>
      </c>
      <c r="P70" s="229">
        <v>143.0</v>
      </c>
      <c r="Q70" s="97">
        <v>127.0</v>
      </c>
      <c r="R70" s="230">
        <f t="shared" si="85"/>
        <v>1.125984252</v>
      </c>
      <c r="S70" s="231">
        <f t="shared" ref="S70:S73" si="97">N70+Q70-P70</f>
        <v>102</v>
      </c>
      <c r="T70" s="12">
        <v>48.0</v>
      </c>
      <c r="U70" s="210">
        <v>45831.0</v>
      </c>
      <c r="V70" s="12" t="s">
        <v>48</v>
      </c>
    </row>
    <row r="71">
      <c r="A71" s="144" t="s">
        <v>19</v>
      </c>
      <c r="B71" s="194">
        <v>-24.0</v>
      </c>
      <c r="C71" s="31">
        <v>34.0</v>
      </c>
      <c r="D71" s="97">
        <v>48.0</v>
      </c>
      <c r="E71" s="116">
        <f t="shared" si="80"/>
        <v>0.7083333333</v>
      </c>
      <c r="F71" s="17">
        <v>25.0</v>
      </c>
      <c r="G71" s="97">
        <v>48.0</v>
      </c>
      <c r="H71" s="116">
        <f t="shared" si="81"/>
        <v>0.5208333333</v>
      </c>
      <c r="I71" s="17">
        <v>44.0</v>
      </c>
      <c r="J71" s="97">
        <v>50.0</v>
      </c>
      <c r="K71" s="116">
        <f t="shared" si="82"/>
        <v>0.88</v>
      </c>
      <c r="L71" s="99">
        <f t="shared" si="95"/>
        <v>-24</v>
      </c>
      <c r="M71" s="31">
        <f t="shared" ref="M71:N71" si="96">I71+F71+C71</f>
        <v>103</v>
      </c>
      <c r="N71" s="100">
        <f t="shared" si="96"/>
        <v>146</v>
      </c>
      <c r="O71" s="12">
        <v>584.0</v>
      </c>
      <c r="P71" s="229">
        <v>132.0</v>
      </c>
      <c r="Q71" s="97">
        <v>156.0</v>
      </c>
      <c r="R71" s="230">
        <f t="shared" si="85"/>
        <v>0.8461538462</v>
      </c>
      <c r="S71" s="231">
        <f t="shared" si="97"/>
        <v>170</v>
      </c>
      <c r="T71" s="12">
        <v>44.0</v>
      </c>
      <c r="U71" s="210">
        <v>45831.0</v>
      </c>
      <c r="V71" s="12" t="s">
        <v>48</v>
      </c>
    </row>
    <row r="72">
      <c r="A72" s="144" t="s">
        <v>20</v>
      </c>
      <c r="B72" s="194">
        <v>5.0</v>
      </c>
      <c r="C72" s="31">
        <v>42.0</v>
      </c>
      <c r="D72" s="97">
        <v>42.0</v>
      </c>
      <c r="E72" s="116">
        <f t="shared" si="80"/>
        <v>1</v>
      </c>
      <c r="F72" s="17">
        <v>41.0</v>
      </c>
      <c r="G72" s="97">
        <v>42.0</v>
      </c>
      <c r="H72" s="116">
        <f t="shared" si="81"/>
        <v>0.9761904762</v>
      </c>
      <c r="I72" s="17">
        <v>48.0</v>
      </c>
      <c r="J72" s="97">
        <v>43.0</v>
      </c>
      <c r="K72" s="116">
        <f t="shared" si="82"/>
        <v>1.11627907</v>
      </c>
      <c r="L72" s="99">
        <f t="shared" si="95"/>
        <v>5</v>
      </c>
      <c r="M72" s="31">
        <f t="shared" ref="M72:N72" si="98">I72+F72+C72</f>
        <v>131</v>
      </c>
      <c r="N72" s="100">
        <f t="shared" si="98"/>
        <v>127</v>
      </c>
      <c r="O72" s="12">
        <v>509.0</v>
      </c>
      <c r="P72" s="229">
        <v>141.0</v>
      </c>
      <c r="Q72" s="97">
        <v>136.0</v>
      </c>
      <c r="R72" s="230">
        <f t="shared" si="85"/>
        <v>1.036764706</v>
      </c>
      <c r="S72" s="231">
        <f t="shared" si="97"/>
        <v>122</v>
      </c>
      <c r="T72" s="12">
        <v>47.0</v>
      </c>
      <c r="U72" s="210">
        <v>45831.0</v>
      </c>
      <c r="V72" s="12" t="s">
        <v>48</v>
      </c>
    </row>
    <row r="73">
      <c r="A73" s="144" t="s">
        <v>21</v>
      </c>
      <c r="B73" s="194">
        <v>-32.0</v>
      </c>
      <c r="C73" s="31">
        <v>77.0</v>
      </c>
      <c r="D73" s="97">
        <v>88.0</v>
      </c>
      <c r="E73" s="116">
        <f t="shared" si="80"/>
        <v>0.875</v>
      </c>
      <c r="F73" s="17">
        <v>82.0</v>
      </c>
      <c r="G73" s="97">
        <v>88.0</v>
      </c>
      <c r="H73" s="116">
        <f t="shared" si="81"/>
        <v>0.9318181818</v>
      </c>
      <c r="I73" s="17">
        <v>74.0</v>
      </c>
      <c r="J73" s="97">
        <v>92.0</v>
      </c>
      <c r="K73" s="116">
        <f t="shared" si="82"/>
        <v>0.8043478261</v>
      </c>
      <c r="L73" s="99">
        <f t="shared" si="95"/>
        <v>-32</v>
      </c>
      <c r="M73" s="31">
        <f t="shared" ref="M73:N73" si="99">I73+F73+C73</f>
        <v>233</v>
      </c>
      <c r="N73" s="100">
        <f t="shared" si="99"/>
        <v>268</v>
      </c>
      <c r="O73" s="12">
        <v>1077.0</v>
      </c>
      <c r="P73" s="229">
        <v>256.0</v>
      </c>
      <c r="Q73" s="97">
        <v>288.0</v>
      </c>
      <c r="R73" s="230">
        <f t="shared" si="85"/>
        <v>0.8888888889</v>
      </c>
      <c r="S73" s="231">
        <f t="shared" si="97"/>
        <v>300</v>
      </c>
      <c r="T73" s="12">
        <v>85.0</v>
      </c>
      <c r="U73" s="157">
        <v>45831.0</v>
      </c>
      <c r="V73" s="12" t="s">
        <v>48</v>
      </c>
    </row>
    <row r="74">
      <c r="A74" s="153" t="s">
        <v>22</v>
      </c>
      <c r="B74" s="27">
        <f t="shared" ref="B74:D74" si="100">sum(B70:B73)</f>
        <v>-35</v>
      </c>
      <c r="C74" s="27">
        <f t="shared" si="100"/>
        <v>196</v>
      </c>
      <c r="D74" s="27">
        <f t="shared" si="100"/>
        <v>217</v>
      </c>
      <c r="E74" s="116">
        <f t="shared" si="80"/>
        <v>0.9032258065</v>
      </c>
      <c r="F74" s="27">
        <f t="shared" ref="F74:G74" si="101">sum(F70:F73)</f>
        <v>183</v>
      </c>
      <c r="G74" s="27">
        <f t="shared" si="101"/>
        <v>217</v>
      </c>
      <c r="H74" s="116">
        <f t="shared" si="81"/>
        <v>0.8433179724</v>
      </c>
      <c r="I74" s="27">
        <f t="shared" ref="I74:J74" si="102">sum(I70:I73)</f>
        <v>210</v>
      </c>
      <c r="J74" s="27">
        <f t="shared" si="102"/>
        <v>225</v>
      </c>
      <c r="K74" s="116">
        <f t="shared" si="82"/>
        <v>0.9333333333</v>
      </c>
      <c r="L74" s="27">
        <f t="shared" ref="L74:N74" si="103">sum(L70:L73)</f>
        <v>-35</v>
      </c>
      <c r="M74" s="27">
        <f t="shared" si="103"/>
        <v>589</v>
      </c>
      <c r="N74" s="104">
        <f t="shared" si="103"/>
        <v>659</v>
      </c>
      <c r="P74" s="155">
        <f t="shared" ref="P74:Q74" si="104">sum(P70:P73)</f>
        <v>672</v>
      </c>
      <c r="Q74" s="27">
        <f t="shared" si="104"/>
        <v>707</v>
      </c>
      <c r="R74" s="230">
        <f t="shared" si="85"/>
        <v>0.9504950495</v>
      </c>
      <c r="S74" s="232">
        <f>sum(S70:S73)</f>
        <v>694</v>
      </c>
    </row>
    <row r="75">
      <c r="A75" s="144" t="s">
        <v>23</v>
      </c>
      <c r="B75" s="194">
        <v>-28.0</v>
      </c>
      <c r="C75" s="31">
        <v>26.0</v>
      </c>
      <c r="D75" s="97">
        <v>38.0</v>
      </c>
      <c r="E75" s="116">
        <f t="shared" si="80"/>
        <v>0.6842105263</v>
      </c>
      <c r="F75" s="17">
        <v>43.0</v>
      </c>
      <c r="G75" s="97">
        <v>38.0</v>
      </c>
      <c r="H75" s="116">
        <f t="shared" si="81"/>
        <v>1.131578947</v>
      </c>
      <c r="I75" s="17">
        <v>22.0</v>
      </c>
      <c r="J75" s="97">
        <v>39.0</v>
      </c>
      <c r="K75" s="116">
        <f t="shared" si="82"/>
        <v>0.5641025641</v>
      </c>
      <c r="L75" s="99">
        <f t="shared" ref="L75:L77" si="106">B75</f>
        <v>-28</v>
      </c>
      <c r="M75" s="31">
        <f t="shared" ref="M75:N75" si="105">I75+F75+C75</f>
        <v>91</v>
      </c>
      <c r="N75" s="100">
        <f t="shared" si="105"/>
        <v>115</v>
      </c>
      <c r="O75" s="12">
        <v>462.0</v>
      </c>
      <c r="P75" s="229">
        <v>96.0</v>
      </c>
      <c r="Q75" s="97">
        <v>124.0</v>
      </c>
      <c r="R75" s="230">
        <f t="shared" si="85"/>
        <v>0.7741935484</v>
      </c>
      <c r="S75" s="231">
        <f t="shared" ref="S75:S77" si="108">N75+Q75-P75</f>
        <v>143</v>
      </c>
      <c r="T75" s="12">
        <v>30.0</v>
      </c>
      <c r="U75" s="157">
        <v>45838.0</v>
      </c>
      <c r="V75" s="12" t="s">
        <v>77</v>
      </c>
    </row>
    <row r="76">
      <c r="A76" s="144" t="s">
        <v>24</v>
      </c>
      <c r="B76" s="194">
        <v>-40.0</v>
      </c>
      <c r="C76" s="31">
        <v>40.0</v>
      </c>
      <c r="D76" s="97">
        <v>51.0</v>
      </c>
      <c r="E76" s="116">
        <f t="shared" si="80"/>
        <v>0.7843137255</v>
      </c>
      <c r="F76" s="17">
        <v>40.0</v>
      </c>
      <c r="G76" s="97">
        <v>51.0</v>
      </c>
      <c r="H76" s="116">
        <f t="shared" si="81"/>
        <v>0.7843137255</v>
      </c>
      <c r="I76" s="17">
        <v>37.0</v>
      </c>
      <c r="J76" s="97">
        <v>53.0</v>
      </c>
      <c r="K76" s="116">
        <f t="shared" si="82"/>
        <v>0.6981132075</v>
      </c>
      <c r="L76" s="99">
        <f t="shared" si="106"/>
        <v>-40</v>
      </c>
      <c r="M76" s="31">
        <f t="shared" ref="M76:N76" si="107">I76+F76+C76</f>
        <v>117</v>
      </c>
      <c r="N76" s="100">
        <f t="shared" si="107"/>
        <v>155</v>
      </c>
      <c r="O76" s="12">
        <v>623.0</v>
      </c>
      <c r="P76" s="229">
        <v>126.0</v>
      </c>
      <c r="Q76" s="97">
        <v>166.0</v>
      </c>
      <c r="R76" s="230">
        <f t="shared" si="85"/>
        <v>0.7590361446</v>
      </c>
      <c r="S76" s="231">
        <f t="shared" si="108"/>
        <v>195</v>
      </c>
      <c r="T76" s="12">
        <v>40.0</v>
      </c>
      <c r="U76" s="157">
        <v>45838.0</v>
      </c>
      <c r="V76" s="12" t="s">
        <v>77</v>
      </c>
    </row>
    <row r="77">
      <c r="A77" s="144" t="s">
        <v>25</v>
      </c>
      <c r="B77" s="194">
        <v>-4.0</v>
      </c>
      <c r="C77" s="31">
        <v>21.0</v>
      </c>
      <c r="D77" s="97">
        <v>23.0</v>
      </c>
      <c r="E77" s="116">
        <f t="shared" si="80"/>
        <v>0.9130434783</v>
      </c>
      <c r="F77" s="17">
        <v>16.0</v>
      </c>
      <c r="G77" s="97">
        <v>23.0</v>
      </c>
      <c r="H77" s="116">
        <f t="shared" si="81"/>
        <v>0.6956521739</v>
      </c>
      <c r="I77" s="17">
        <v>14.0</v>
      </c>
      <c r="J77" s="97">
        <v>23.0</v>
      </c>
      <c r="K77" s="116">
        <f t="shared" si="82"/>
        <v>0.6086956522</v>
      </c>
      <c r="L77" s="99">
        <f t="shared" si="106"/>
        <v>-4</v>
      </c>
      <c r="M77" s="31">
        <f t="shared" ref="M77:N77" si="109">I77+F77+C77</f>
        <v>51</v>
      </c>
      <c r="N77" s="100">
        <f t="shared" si="109"/>
        <v>69</v>
      </c>
      <c r="O77" s="12">
        <v>275.0</v>
      </c>
      <c r="P77" s="229">
        <v>69.0</v>
      </c>
      <c r="Q77" s="97">
        <v>73.0</v>
      </c>
      <c r="R77" s="230">
        <f t="shared" si="85"/>
        <v>0.9452054795</v>
      </c>
      <c r="S77" s="231">
        <f t="shared" si="108"/>
        <v>73</v>
      </c>
      <c r="T77" s="12">
        <v>25.0</v>
      </c>
      <c r="U77" s="157">
        <v>45838.0</v>
      </c>
      <c r="V77" s="12" t="s">
        <v>77</v>
      </c>
    </row>
    <row r="78">
      <c r="A78" s="153" t="s">
        <v>26</v>
      </c>
      <c r="B78" s="27">
        <f t="shared" ref="B78:D78" si="110">sum(B75:B77)</f>
        <v>-72</v>
      </c>
      <c r="C78" s="27">
        <f t="shared" si="110"/>
        <v>87</v>
      </c>
      <c r="D78" s="27">
        <f t="shared" si="110"/>
        <v>112</v>
      </c>
      <c r="E78" s="116">
        <f t="shared" si="80"/>
        <v>0.7767857143</v>
      </c>
      <c r="F78" s="27">
        <f t="shared" ref="F78:G78" si="111">sum(F75:F77)</f>
        <v>99</v>
      </c>
      <c r="G78" s="27">
        <f t="shared" si="111"/>
        <v>112</v>
      </c>
      <c r="H78" s="116">
        <f t="shared" si="81"/>
        <v>0.8839285714</v>
      </c>
      <c r="I78" s="27">
        <f t="shared" ref="I78:J78" si="112">sum(I75:I77)</f>
        <v>73</v>
      </c>
      <c r="J78" s="27">
        <f t="shared" si="112"/>
        <v>115</v>
      </c>
      <c r="K78" s="116">
        <f t="shared" si="82"/>
        <v>0.6347826087</v>
      </c>
      <c r="L78" s="27">
        <f t="shared" ref="L78:N78" si="113">sum(L75:L77)</f>
        <v>-72</v>
      </c>
      <c r="M78" s="27">
        <f t="shared" si="113"/>
        <v>259</v>
      </c>
      <c r="N78" s="104">
        <f t="shared" si="113"/>
        <v>339</v>
      </c>
      <c r="P78" s="155">
        <f t="shared" ref="P78:Q78" si="114">sum(P75:P77)</f>
        <v>291</v>
      </c>
      <c r="Q78" s="27">
        <f t="shared" si="114"/>
        <v>363</v>
      </c>
      <c r="R78" s="230">
        <f t="shared" si="85"/>
        <v>0.8016528926</v>
      </c>
      <c r="S78" s="232">
        <f>sum(S75:S77)</f>
        <v>411</v>
      </c>
      <c r="U78" s="157"/>
    </row>
    <row r="79">
      <c r="A79" s="153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107"/>
      <c r="P79" s="33"/>
      <c r="Q79" s="32"/>
      <c r="R79" s="107"/>
      <c r="S79" s="234"/>
    </row>
    <row r="80">
      <c r="A80" s="161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107"/>
      <c r="P80" s="33"/>
      <c r="Q80" s="32"/>
      <c r="R80" s="107"/>
      <c r="S80" s="234"/>
    </row>
    <row r="81">
      <c r="A81" s="162" t="s">
        <v>8</v>
      </c>
      <c r="B81" s="163">
        <f t="shared" ref="B81:D81" si="115">B78+B74+B69</f>
        <v>-137</v>
      </c>
      <c r="C81" s="163">
        <f t="shared" si="115"/>
        <v>480</v>
      </c>
      <c r="D81" s="163">
        <f t="shared" si="115"/>
        <v>542</v>
      </c>
      <c r="E81" s="164">
        <f>C81/D81</f>
        <v>0.8856088561</v>
      </c>
      <c r="F81" s="163">
        <f t="shared" ref="F81:G81" si="116">F78+F74+F69</f>
        <v>478</v>
      </c>
      <c r="G81" s="163">
        <f t="shared" si="116"/>
        <v>542</v>
      </c>
      <c r="H81" s="164">
        <f>F81/G81</f>
        <v>0.8819188192</v>
      </c>
      <c r="I81" s="163">
        <f t="shared" ref="I81:J81" si="117">I78+I74+I69</f>
        <v>458</v>
      </c>
      <c r="J81" s="163">
        <f t="shared" si="117"/>
        <v>561</v>
      </c>
      <c r="K81" s="164">
        <f>I81/J81</f>
        <v>0.816399287</v>
      </c>
      <c r="L81" s="163">
        <f t="shared" ref="L81:N81" si="118">L78+L74+L69</f>
        <v>-137</v>
      </c>
      <c r="M81" s="163">
        <f t="shared" si="118"/>
        <v>1416</v>
      </c>
      <c r="N81" s="165">
        <f t="shared" si="118"/>
        <v>1645</v>
      </c>
      <c r="P81" s="235">
        <f t="shared" ref="P81:Q81" si="119">P78+P74+P69</f>
        <v>1626</v>
      </c>
      <c r="Q81" s="35">
        <f t="shared" si="119"/>
        <v>1763</v>
      </c>
      <c r="R81" s="236">
        <f>P81/Q81</f>
        <v>0.9222915485</v>
      </c>
      <c r="S81" s="237">
        <f>S78+S74+S69</f>
        <v>1782</v>
      </c>
    </row>
    <row r="84">
      <c r="R84" s="238">
        <v>0.95</v>
      </c>
      <c r="S84" s="8" t="s">
        <v>106</v>
      </c>
      <c r="T84" s="8" t="s">
        <v>107</v>
      </c>
    </row>
    <row r="85">
      <c r="L85" s="157"/>
      <c r="R85" s="21">
        <f t="shared" ref="R85:R87" si="120">S85*0.95</f>
        <v>2470</v>
      </c>
      <c r="S85" s="41">
        <v>2600.0</v>
      </c>
      <c r="T85" s="41">
        <v>220.0</v>
      </c>
    </row>
    <row r="86">
      <c r="R86" s="21">
        <f t="shared" si="120"/>
        <v>2510.85</v>
      </c>
      <c r="S86" s="41">
        <v>2643.0</v>
      </c>
      <c r="T86" s="41">
        <v>220.0</v>
      </c>
    </row>
    <row r="87">
      <c r="R87" s="21">
        <f t="shared" si="120"/>
        <v>1292</v>
      </c>
      <c r="S87" s="41">
        <v>1360.0</v>
      </c>
      <c r="T87" s="41">
        <v>100.0</v>
      </c>
    </row>
    <row r="88">
      <c r="R88" s="239">
        <f t="shared" ref="R88:T88" si="121">sum(R85:R87)</f>
        <v>6272.85</v>
      </c>
      <c r="S88" s="239">
        <f t="shared" si="121"/>
        <v>6603</v>
      </c>
      <c r="T88" s="239">
        <f t="shared" si="121"/>
        <v>540</v>
      </c>
    </row>
  </sheetData>
  <mergeCells count="16">
    <mergeCell ref="A3:V3"/>
    <mergeCell ref="C4:F4"/>
    <mergeCell ref="H4:K4"/>
    <mergeCell ref="M4:P4"/>
    <mergeCell ref="S4:V4"/>
    <mergeCell ref="A25:G25"/>
    <mergeCell ref="A49:T49"/>
    <mergeCell ref="I63:K63"/>
    <mergeCell ref="P63:R63"/>
    <mergeCell ref="C50:F50"/>
    <mergeCell ref="G50:J50"/>
    <mergeCell ref="K50:N50"/>
    <mergeCell ref="Q50:T50"/>
    <mergeCell ref="A62:N62"/>
    <mergeCell ref="B63:D63"/>
    <mergeCell ref="F63:H6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2" t="s">
        <v>13</v>
      </c>
      <c r="B3" s="240" t="s">
        <v>108</v>
      </c>
      <c r="C3" s="200">
        <v>114.0</v>
      </c>
      <c r="D3" s="200">
        <v>129.0</v>
      </c>
      <c r="E3" s="200">
        <v>155.0</v>
      </c>
      <c r="F3" s="200">
        <v>127.0</v>
      </c>
      <c r="G3" s="200">
        <v>81.0</v>
      </c>
      <c r="H3" s="200">
        <v>315.0</v>
      </c>
      <c r="I3" s="200">
        <v>170.0</v>
      </c>
      <c r="J3" s="200">
        <v>159.0</v>
      </c>
      <c r="K3" s="200">
        <v>128.0</v>
      </c>
      <c r="L3" s="200">
        <v>134.0</v>
      </c>
      <c r="M3" s="200">
        <v>78.0</v>
      </c>
      <c r="N3" s="200">
        <v>315.0</v>
      </c>
      <c r="O3" s="241">
        <v>1905.0</v>
      </c>
    </row>
    <row r="4">
      <c r="A4" s="12" t="s">
        <v>19</v>
      </c>
      <c r="B4" s="240" t="s">
        <v>108</v>
      </c>
      <c r="C4" s="200">
        <v>20.0</v>
      </c>
      <c r="D4" s="200">
        <v>30.0</v>
      </c>
      <c r="E4" s="200">
        <v>37.0</v>
      </c>
      <c r="F4" s="200">
        <v>25.0</v>
      </c>
      <c r="G4" s="200">
        <v>15.0</v>
      </c>
      <c r="H4" s="200">
        <v>63.0</v>
      </c>
      <c r="I4" s="200">
        <v>32.0</v>
      </c>
      <c r="J4" s="200">
        <v>25.0</v>
      </c>
      <c r="K4" s="200">
        <v>40.0</v>
      </c>
      <c r="L4" s="200">
        <v>26.0</v>
      </c>
      <c r="M4" s="200">
        <v>15.0</v>
      </c>
      <c r="N4" s="200">
        <v>72.0</v>
      </c>
      <c r="O4" s="242">
        <v>400.0</v>
      </c>
    </row>
    <row r="5">
      <c r="A5" s="12" t="s">
        <v>23</v>
      </c>
      <c r="B5" s="240" t="s">
        <v>108</v>
      </c>
      <c r="C5" s="200">
        <v>25.0</v>
      </c>
      <c r="D5" s="200">
        <v>38.0</v>
      </c>
      <c r="E5" s="200">
        <v>61.0</v>
      </c>
      <c r="F5" s="200">
        <v>39.0</v>
      </c>
      <c r="G5" s="200">
        <v>19.0</v>
      </c>
      <c r="H5" s="200">
        <v>71.0</v>
      </c>
      <c r="I5" s="200">
        <v>49.0</v>
      </c>
      <c r="J5" s="200">
        <v>40.0</v>
      </c>
      <c r="K5" s="200">
        <v>32.0</v>
      </c>
      <c r="L5" s="200">
        <v>20.0</v>
      </c>
      <c r="M5" s="200">
        <v>12.0</v>
      </c>
      <c r="N5" s="200">
        <v>79.0</v>
      </c>
      <c r="O5" s="242">
        <v>485.0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13"/>
    <col customWidth="1" min="3" max="3" width="9.0"/>
    <col customWidth="1" min="4" max="4" width="8.88"/>
    <col customWidth="1" min="5" max="5" width="7.13"/>
    <col customWidth="1" min="6" max="8" width="8.13"/>
    <col customWidth="1" min="9" max="9" width="10.38"/>
    <col customWidth="1" min="10" max="12" width="8.5"/>
    <col customWidth="1" min="13" max="13" width="9.38"/>
    <col customWidth="1" min="14" max="14" width="9.75"/>
    <col customWidth="1" min="15" max="15" width="9.25"/>
    <col customWidth="1" min="16" max="16" width="7.13"/>
    <col customWidth="1" min="17" max="17" width="6.5"/>
    <col customWidth="1" min="18" max="18" width="7.13"/>
    <col customWidth="1" min="19" max="19" width="10.13"/>
    <col customWidth="1" min="20" max="20" width="9.0"/>
    <col customWidth="1" min="21" max="21" width="11.38"/>
    <col customWidth="1" min="22" max="22" width="5.88"/>
    <col customWidth="1" min="23" max="23" width="7.13"/>
    <col customWidth="1" min="30" max="32" width="8.75"/>
    <col customWidth="1" min="33" max="33" width="10.5"/>
    <col customWidth="1" min="34" max="48" width="8.75"/>
  </cols>
  <sheetData>
    <row r="1">
      <c r="A1" s="12" t="s">
        <v>63</v>
      </c>
      <c r="AA1" s="40"/>
    </row>
    <row r="3">
      <c r="A3" s="177" t="s">
        <v>28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7"/>
      <c r="W3" s="128"/>
      <c r="X3" s="129"/>
      <c r="Y3" s="130"/>
      <c r="Z3" s="213"/>
      <c r="AA3" s="110" t="s">
        <v>29</v>
      </c>
      <c r="AB3" s="111" t="s">
        <v>30</v>
      </c>
    </row>
    <row r="4">
      <c r="A4" s="133"/>
      <c r="B4" s="190"/>
      <c r="C4" s="89" t="s">
        <v>109</v>
      </c>
      <c r="D4" s="90"/>
      <c r="E4" s="90"/>
      <c r="F4" s="90"/>
      <c r="G4" s="91"/>
      <c r="H4" s="91" t="s">
        <v>110</v>
      </c>
      <c r="I4" s="90"/>
      <c r="J4" s="90"/>
      <c r="K4" s="90"/>
      <c r="L4" s="91"/>
      <c r="M4" s="91" t="s">
        <v>111</v>
      </c>
      <c r="N4" s="90"/>
      <c r="O4" s="90"/>
      <c r="P4" s="90"/>
      <c r="Q4" s="136"/>
      <c r="R4" s="178"/>
      <c r="S4" s="91" t="s">
        <v>8</v>
      </c>
      <c r="T4" s="90"/>
      <c r="U4" s="90"/>
      <c r="V4" s="92"/>
      <c r="W4" s="9"/>
      <c r="X4" s="9"/>
      <c r="Z4" s="214"/>
      <c r="AB4" s="136"/>
    </row>
    <row r="5">
      <c r="A5" s="139"/>
      <c r="B5" s="179" t="s">
        <v>7</v>
      </c>
      <c r="C5" s="179" t="s">
        <v>34</v>
      </c>
      <c r="D5" s="179" t="s">
        <v>36</v>
      </c>
      <c r="E5" s="179" t="s">
        <v>37</v>
      </c>
      <c r="F5" s="179" t="s">
        <v>38</v>
      </c>
      <c r="G5" s="179"/>
      <c r="H5" s="179" t="s">
        <v>34</v>
      </c>
      <c r="I5" s="179" t="s">
        <v>36</v>
      </c>
      <c r="J5" s="179" t="s">
        <v>37</v>
      </c>
      <c r="K5" s="179" t="s">
        <v>38</v>
      </c>
      <c r="L5" s="179"/>
      <c r="M5" s="179" t="s">
        <v>34</v>
      </c>
      <c r="N5" s="179" t="s">
        <v>36</v>
      </c>
      <c r="O5" s="179" t="s">
        <v>37</v>
      </c>
      <c r="P5" s="179" t="s">
        <v>38</v>
      </c>
      <c r="Q5" s="179"/>
      <c r="R5" s="179" t="s">
        <v>7</v>
      </c>
      <c r="S5" s="179" t="s">
        <v>34</v>
      </c>
      <c r="T5" s="179" t="s">
        <v>36</v>
      </c>
      <c r="U5" s="179" t="s">
        <v>37</v>
      </c>
      <c r="V5" s="181" t="s">
        <v>38</v>
      </c>
      <c r="W5" s="182" t="s">
        <v>39</v>
      </c>
      <c r="X5" s="142" t="s">
        <v>41</v>
      </c>
      <c r="Y5" s="8" t="s">
        <v>9</v>
      </c>
      <c r="Z5" s="215" t="s">
        <v>42</v>
      </c>
      <c r="AB5" s="136"/>
    </row>
    <row r="6">
      <c r="A6" s="144" t="s">
        <v>13</v>
      </c>
      <c r="B6" s="216">
        <f>-'2024 - Q4'!U6</f>
        <v>106</v>
      </c>
      <c r="C6" s="17">
        <v>32.0</v>
      </c>
      <c r="D6" s="17">
        <v>1.0</v>
      </c>
      <c r="E6" s="96">
        <f t="shared" ref="E6:E9" si="2">SUM(C6:D6)</f>
        <v>33</v>
      </c>
      <c r="F6" s="97">
        <v>37.0</v>
      </c>
      <c r="G6" s="116">
        <f t="shared" ref="G6:G19" si="3">E6/F6</f>
        <v>0.8918918919</v>
      </c>
      <c r="H6" s="17">
        <v>12.0</v>
      </c>
      <c r="I6" s="17">
        <v>2.0</v>
      </c>
      <c r="J6" s="96">
        <f t="shared" ref="J6:J9" si="4">SUM(H6:I6)</f>
        <v>14</v>
      </c>
      <c r="K6" s="97">
        <v>20.0</v>
      </c>
      <c r="L6" s="116">
        <f t="shared" ref="L6:L19" si="5">J6/K6</f>
        <v>0.7</v>
      </c>
      <c r="M6" s="17">
        <v>102.0</v>
      </c>
      <c r="N6" s="17">
        <v>7.0</v>
      </c>
      <c r="O6" s="96">
        <f t="shared" ref="O6:O9" si="6">SUM(M6:N6)</f>
        <v>109</v>
      </c>
      <c r="P6" s="97">
        <v>104.0</v>
      </c>
      <c r="Q6" s="116">
        <f t="shared" ref="Q6:Q19" si="7">O6/P6</f>
        <v>1.048076923</v>
      </c>
      <c r="R6" s="217">
        <f t="shared" ref="R6:R9" si="8">B6</f>
        <v>106</v>
      </c>
      <c r="S6" s="31">
        <f t="shared" ref="S6:T6" si="1">M6+H6+C6</f>
        <v>146</v>
      </c>
      <c r="T6" s="31">
        <f t="shared" si="1"/>
        <v>10</v>
      </c>
      <c r="U6" s="218">
        <f t="shared" ref="U6:U9" si="10">sum(R6:T6)</f>
        <v>262</v>
      </c>
      <c r="V6" s="100">
        <f t="shared" ref="V6:V9" si="11">P6+K6+F6</f>
        <v>161</v>
      </c>
      <c r="W6" s="219">
        <f t="shared" ref="W6:W9" si="12">V6-U6</f>
        <v>-101</v>
      </c>
      <c r="X6" s="16">
        <f t="shared" ref="X6:X9" si="13">T6+S6</f>
        <v>156</v>
      </c>
      <c r="Y6" s="31">
        <f t="shared" ref="Y6:Y9" si="14">V6</f>
        <v>161</v>
      </c>
      <c r="Z6" s="220">
        <f t="shared" ref="Z6:Z9" si="15">(S6+T6)/V6</f>
        <v>0.9689440994</v>
      </c>
      <c r="AA6" s="157">
        <v>45747.0</v>
      </c>
      <c r="AB6" s="149" t="s">
        <v>75</v>
      </c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</row>
    <row r="7">
      <c r="A7" s="144" t="s">
        <v>14</v>
      </c>
      <c r="B7" s="216">
        <f>-'2024 - Q4'!U7</f>
        <v>-113</v>
      </c>
      <c r="C7" s="17">
        <v>13.0</v>
      </c>
      <c r="D7" s="17"/>
      <c r="E7" s="96">
        <f t="shared" si="2"/>
        <v>13</v>
      </c>
      <c r="F7" s="97">
        <v>27.0</v>
      </c>
      <c r="G7" s="116">
        <f t="shared" si="3"/>
        <v>0.4814814815</v>
      </c>
      <c r="H7" s="17">
        <v>5.0</v>
      </c>
      <c r="I7" s="17"/>
      <c r="J7" s="96">
        <f t="shared" si="4"/>
        <v>5</v>
      </c>
      <c r="K7" s="97">
        <v>16.0</v>
      </c>
      <c r="L7" s="116">
        <f t="shared" si="5"/>
        <v>0.3125</v>
      </c>
      <c r="M7" s="17">
        <v>72.0</v>
      </c>
      <c r="N7" s="17">
        <v>2.0</v>
      </c>
      <c r="O7" s="96">
        <f t="shared" si="6"/>
        <v>74</v>
      </c>
      <c r="P7" s="97">
        <v>83.0</v>
      </c>
      <c r="Q7" s="116">
        <f t="shared" si="7"/>
        <v>0.8915662651</v>
      </c>
      <c r="R7" s="217">
        <f t="shared" si="8"/>
        <v>-113</v>
      </c>
      <c r="S7" s="31">
        <f t="shared" ref="S7:T7" si="9">M7+H7+C7</f>
        <v>90</v>
      </c>
      <c r="T7" s="31">
        <f t="shared" si="9"/>
        <v>2</v>
      </c>
      <c r="U7" s="218">
        <f t="shared" si="10"/>
        <v>-21</v>
      </c>
      <c r="V7" s="100">
        <f t="shared" si="11"/>
        <v>126</v>
      </c>
      <c r="W7" s="219">
        <f t="shared" si="12"/>
        <v>147</v>
      </c>
      <c r="X7" s="16">
        <f t="shared" si="13"/>
        <v>92</v>
      </c>
      <c r="Y7" s="31">
        <f t="shared" si="14"/>
        <v>126</v>
      </c>
      <c r="Z7" s="220">
        <f t="shared" si="15"/>
        <v>0.7301587302</v>
      </c>
      <c r="AA7" s="157">
        <v>45747.0</v>
      </c>
      <c r="AB7" s="149" t="s">
        <v>75</v>
      </c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</row>
    <row r="8">
      <c r="A8" s="144" t="s">
        <v>15</v>
      </c>
      <c r="B8" s="216">
        <f>-'2024 - Q4'!U8</f>
        <v>15</v>
      </c>
      <c r="C8" s="17">
        <v>21.0</v>
      </c>
      <c r="D8" s="207"/>
      <c r="E8" s="96">
        <f t="shared" si="2"/>
        <v>21</v>
      </c>
      <c r="F8" s="97">
        <v>24.0</v>
      </c>
      <c r="G8" s="116">
        <f t="shared" si="3"/>
        <v>0.875</v>
      </c>
      <c r="H8" s="17">
        <v>5.0</v>
      </c>
      <c r="I8" s="17"/>
      <c r="J8" s="96">
        <f t="shared" si="4"/>
        <v>5</v>
      </c>
      <c r="K8" s="97">
        <v>14.0</v>
      </c>
      <c r="L8" s="116">
        <f t="shared" si="5"/>
        <v>0.3571428571</v>
      </c>
      <c r="M8" s="17">
        <v>70.0</v>
      </c>
      <c r="N8" s="17"/>
      <c r="O8" s="96">
        <f t="shared" si="6"/>
        <v>70</v>
      </c>
      <c r="P8" s="97">
        <v>71.0</v>
      </c>
      <c r="Q8" s="116">
        <f t="shared" si="7"/>
        <v>0.985915493</v>
      </c>
      <c r="R8" s="217">
        <f t="shared" si="8"/>
        <v>15</v>
      </c>
      <c r="S8" s="31">
        <f t="shared" ref="S8:T8" si="16">M8+H8+C8</f>
        <v>96</v>
      </c>
      <c r="T8" s="31">
        <f t="shared" si="16"/>
        <v>0</v>
      </c>
      <c r="U8" s="218">
        <f t="shared" si="10"/>
        <v>111</v>
      </c>
      <c r="V8" s="100">
        <f t="shared" si="11"/>
        <v>109</v>
      </c>
      <c r="W8" s="219">
        <f t="shared" si="12"/>
        <v>-2</v>
      </c>
      <c r="X8" s="16">
        <f t="shared" si="13"/>
        <v>96</v>
      </c>
      <c r="Y8" s="31">
        <f t="shared" si="14"/>
        <v>109</v>
      </c>
      <c r="Z8" s="220">
        <f t="shared" si="15"/>
        <v>0.880733945</v>
      </c>
      <c r="AA8" s="157">
        <v>45747.0</v>
      </c>
      <c r="AB8" s="149" t="s">
        <v>75</v>
      </c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</row>
    <row r="9">
      <c r="A9" s="144" t="s">
        <v>16</v>
      </c>
      <c r="B9" s="216">
        <f>-'2024 - Q4'!U9</f>
        <v>34</v>
      </c>
      <c r="C9" s="25">
        <v>14.0</v>
      </c>
      <c r="D9" s="152">
        <v>2.0</v>
      </c>
      <c r="E9" s="96">
        <f t="shared" si="2"/>
        <v>16</v>
      </c>
      <c r="F9" s="97">
        <v>31.0</v>
      </c>
      <c r="G9" s="116">
        <f t="shared" si="3"/>
        <v>0.5161290323</v>
      </c>
      <c r="H9" s="17">
        <v>7.0</v>
      </c>
      <c r="I9" s="17"/>
      <c r="J9" s="96">
        <f t="shared" si="4"/>
        <v>7</v>
      </c>
      <c r="K9" s="97">
        <v>17.0</v>
      </c>
      <c r="L9" s="116">
        <f t="shared" si="5"/>
        <v>0.4117647059</v>
      </c>
      <c r="M9" s="17">
        <v>74.0</v>
      </c>
      <c r="N9" s="17"/>
      <c r="O9" s="96">
        <f t="shared" si="6"/>
        <v>74</v>
      </c>
      <c r="P9" s="97">
        <v>89.0</v>
      </c>
      <c r="Q9" s="116">
        <f t="shared" si="7"/>
        <v>0.8314606742</v>
      </c>
      <c r="R9" s="217">
        <f t="shared" si="8"/>
        <v>34</v>
      </c>
      <c r="S9" s="31">
        <f t="shared" ref="S9:T9" si="17">M9+H9+C9</f>
        <v>95</v>
      </c>
      <c r="T9" s="31">
        <f t="shared" si="17"/>
        <v>2</v>
      </c>
      <c r="U9" s="218">
        <f t="shared" si="10"/>
        <v>131</v>
      </c>
      <c r="V9" s="100">
        <f t="shared" si="11"/>
        <v>137</v>
      </c>
      <c r="W9" s="219">
        <f t="shared" si="12"/>
        <v>6</v>
      </c>
      <c r="X9" s="16">
        <f t="shared" si="13"/>
        <v>97</v>
      </c>
      <c r="Y9" s="31">
        <f t="shared" si="14"/>
        <v>137</v>
      </c>
      <c r="Z9" s="220">
        <f t="shared" si="15"/>
        <v>0.7080291971</v>
      </c>
      <c r="AA9" s="157">
        <v>45747.0</v>
      </c>
      <c r="AB9" s="149" t="s">
        <v>75</v>
      </c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</row>
    <row r="10">
      <c r="A10" s="153" t="s">
        <v>17</v>
      </c>
      <c r="B10" s="29">
        <f t="shared" ref="B10:F10" si="18">sum(B6:B9)</f>
        <v>42</v>
      </c>
      <c r="C10" s="27">
        <f t="shared" si="18"/>
        <v>80</v>
      </c>
      <c r="D10" s="27">
        <f t="shared" si="18"/>
        <v>3</v>
      </c>
      <c r="E10" s="27">
        <f t="shared" si="18"/>
        <v>83</v>
      </c>
      <c r="F10" s="27">
        <f t="shared" si="18"/>
        <v>119</v>
      </c>
      <c r="G10" s="154">
        <f t="shared" si="3"/>
        <v>0.6974789916</v>
      </c>
      <c r="H10" s="27">
        <f t="shared" ref="H10:K10" si="19">sum(H6:H9)</f>
        <v>29</v>
      </c>
      <c r="I10" s="27">
        <f t="shared" si="19"/>
        <v>2</v>
      </c>
      <c r="J10" s="27">
        <f t="shared" si="19"/>
        <v>31</v>
      </c>
      <c r="K10" s="27">
        <f t="shared" si="19"/>
        <v>67</v>
      </c>
      <c r="L10" s="154">
        <f t="shared" si="5"/>
        <v>0.4626865672</v>
      </c>
      <c r="M10" s="27">
        <f t="shared" ref="M10:P10" si="20">sum(M6:M9)</f>
        <v>318</v>
      </c>
      <c r="N10" s="27">
        <f t="shared" si="20"/>
        <v>9</v>
      </c>
      <c r="O10" s="27">
        <f t="shared" si="20"/>
        <v>327</v>
      </c>
      <c r="P10" s="27">
        <f t="shared" si="20"/>
        <v>347</v>
      </c>
      <c r="Q10" s="154">
        <f t="shared" si="7"/>
        <v>0.9423631124</v>
      </c>
      <c r="R10" s="29">
        <f t="shared" ref="R10:Y10" si="21">sum(R6:R9)</f>
        <v>42</v>
      </c>
      <c r="S10" s="27">
        <f t="shared" si="21"/>
        <v>427</v>
      </c>
      <c r="T10" s="27">
        <f t="shared" si="21"/>
        <v>14</v>
      </c>
      <c r="U10" s="29">
        <f t="shared" si="21"/>
        <v>483</v>
      </c>
      <c r="V10" s="104">
        <f t="shared" si="21"/>
        <v>533</v>
      </c>
      <c r="W10" s="221">
        <f t="shared" si="21"/>
        <v>50</v>
      </c>
      <c r="X10" s="155">
        <f t="shared" si="21"/>
        <v>441</v>
      </c>
      <c r="Y10" s="27">
        <f t="shared" si="21"/>
        <v>533</v>
      </c>
      <c r="Z10" s="222">
        <f>X10/Y10</f>
        <v>0.8273921201</v>
      </c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</row>
    <row r="11">
      <c r="A11" s="144" t="s">
        <v>18</v>
      </c>
      <c r="B11" s="216">
        <f>-'2024 - Q4'!U11</f>
        <v>31</v>
      </c>
      <c r="C11" s="31">
        <v>12.0</v>
      </c>
      <c r="D11" s="31"/>
      <c r="E11" s="96">
        <f t="shared" ref="E11:E14" si="23">SUM(C11:D11)</f>
        <v>12</v>
      </c>
      <c r="F11" s="97">
        <v>27.0</v>
      </c>
      <c r="G11" s="116">
        <f t="shared" si="3"/>
        <v>0.4444444444</v>
      </c>
      <c r="H11" s="17">
        <v>4.0</v>
      </c>
      <c r="I11" s="17"/>
      <c r="J11" s="96">
        <f t="shared" ref="J11:J14" si="24">SUM(H11:I11)</f>
        <v>4</v>
      </c>
      <c r="K11" s="97">
        <v>17.0</v>
      </c>
      <c r="L11" s="116">
        <f t="shared" si="5"/>
        <v>0.2352941176</v>
      </c>
      <c r="M11" s="17">
        <v>82.0</v>
      </c>
      <c r="N11" s="17">
        <v>6.0</v>
      </c>
      <c r="O11" s="96">
        <f t="shared" ref="O11:O14" si="25">SUM(M11:N11)</f>
        <v>88</v>
      </c>
      <c r="P11" s="97">
        <v>85.0</v>
      </c>
      <c r="Q11" s="116">
        <f t="shared" si="7"/>
        <v>1.035294118</v>
      </c>
      <c r="R11" s="217">
        <f t="shared" ref="R11:R14" si="26">B11</f>
        <v>31</v>
      </c>
      <c r="S11" s="31">
        <f t="shared" ref="S11:T11" si="22">M11+H11+C11</f>
        <v>98</v>
      </c>
      <c r="T11" s="31">
        <f t="shared" si="22"/>
        <v>6</v>
      </c>
      <c r="U11" s="218">
        <f t="shared" ref="U11:U14" si="28">sum(R11:T11)</f>
        <v>135</v>
      </c>
      <c r="V11" s="100">
        <f t="shared" ref="V11:V14" si="29">P11+K11+F11</f>
        <v>129</v>
      </c>
      <c r="W11" s="219">
        <f t="shared" ref="W11:W14" si="30">V11-U11</f>
        <v>-6</v>
      </c>
      <c r="X11" s="16">
        <f t="shared" ref="X11:X14" si="31">T11+S11</f>
        <v>104</v>
      </c>
      <c r="Y11" s="31">
        <f t="shared" ref="Y11:Y14" si="32">V11</f>
        <v>129</v>
      </c>
      <c r="Z11" s="220">
        <f t="shared" ref="Z11:Z14" si="33">(S11+T11)/V11</f>
        <v>0.8062015504</v>
      </c>
      <c r="AA11" s="210">
        <v>45747.0</v>
      </c>
      <c r="AB11" s="149" t="s">
        <v>48</v>
      </c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</row>
    <row r="12">
      <c r="A12" s="144" t="s">
        <v>19</v>
      </c>
      <c r="B12" s="216">
        <f>-'2024 - Q4'!U12</f>
        <v>38</v>
      </c>
      <c r="C12" s="31">
        <v>18.0</v>
      </c>
      <c r="D12" s="31">
        <v>1.0</v>
      </c>
      <c r="E12" s="96">
        <f t="shared" si="23"/>
        <v>19</v>
      </c>
      <c r="F12" s="97">
        <v>30.0</v>
      </c>
      <c r="G12" s="116">
        <f t="shared" si="3"/>
        <v>0.6333333333</v>
      </c>
      <c r="H12" s="17">
        <v>11.0</v>
      </c>
      <c r="I12" s="17"/>
      <c r="J12" s="96">
        <f t="shared" si="24"/>
        <v>11</v>
      </c>
      <c r="K12" s="97">
        <v>17.0</v>
      </c>
      <c r="L12" s="116">
        <f t="shared" si="5"/>
        <v>0.6470588235</v>
      </c>
      <c r="M12" s="17">
        <v>72.0</v>
      </c>
      <c r="N12" s="17">
        <v>5.0</v>
      </c>
      <c r="O12" s="96">
        <f t="shared" si="25"/>
        <v>77</v>
      </c>
      <c r="P12" s="97">
        <v>83.0</v>
      </c>
      <c r="Q12" s="116">
        <f t="shared" si="7"/>
        <v>0.9277108434</v>
      </c>
      <c r="R12" s="217">
        <f t="shared" si="26"/>
        <v>38</v>
      </c>
      <c r="S12" s="31">
        <f t="shared" ref="S12:T12" si="27">M12+H12+C12</f>
        <v>101</v>
      </c>
      <c r="T12" s="31">
        <f t="shared" si="27"/>
        <v>6</v>
      </c>
      <c r="U12" s="218">
        <f t="shared" si="28"/>
        <v>145</v>
      </c>
      <c r="V12" s="100">
        <f t="shared" si="29"/>
        <v>130</v>
      </c>
      <c r="W12" s="219">
        <f t="shared" si="30"/>
        <v>-15</v>
      </c>
      <c r="X12" s="16">
        <f t="shared" si="31"/>
        <v>107</v>
      </c>
      <c r="Y12" s="31">
        <f t="shared" si="32"/>
        <v>130</v>
      </c>
      <c r="Z12" s="220">
        <f t="shared" si="33"/>
        <v>0.8230769231</v>
      </c>
      <c r="AA12" s="210">
        <v>45747.0</v>
      </c>
      <c r="AB12" s="149" t="s">
        <v>48</v>
      </c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</row>
    <row r="13">
      <c r="A13" s="144" t="s">
        <v>20</v>
      </c>
      <c r="B13" s="216">
        <f>-'2024 - Q4'!U13</f>
        <v>57</v>
      </c>
      <c r="C13" s="31">
        <v>20.0</v>
      </c>
      <c r="D13" s="31">
        <v>2.0</v>
      </c>
      <c r="E13" s="96">
        <f t="shared" si="23"/>
        <v>22</v>
      </c>
      <c r="F13" s="97">
        <v>26.0</v>
      </c>
      <c r="G13" s="116">
        <f t="shared" si="3"/>
        <v>0.8461538462</v>
      </c>
      <c r="H13" s="17">
        <v>12.0</v>
      </c>
      <c r="I13" s="17"/>
      <c r="J13" s="96">
        <f t="shared" si="24"/>
        <v>12</v>
      </c>
      <c r="K13" s="97">
        <v>13.0</v>
      </c>
      <c r="L13" s="116">
        <f t="shared" si="5"/>
        <v>0.9230769231</v>
      </c>
      <c r="M13" s="17">
        <v>47.0</v>
      </c>
      <c r="N13" s="17">
        <v>1.0</v>
      </c>
      <c r="O13" s="96">
        <f t="shared" si="25"/>
        <v>48</v>
      </c>
      <c r="P13" s="97">
        <v>74.0</v>
      </c>
      <c r="Q13" s="116">
        <f t="shared" si="7"/>
        <v>0.6486486486</v>
      </c>
      <c r="R13" s="217">
        <f t="shared" si="26"/>
        <v>57</v>
      </c>
      <c r="S13" s="31">
        <f t="shared" ref="S13:T13" si="34">M13+H13+C13</f>
        <v>79</v>
      </c>
      <c r="T13" s="31">
        <f t="shared" si="34"/>
        <v>3</v>
      </c>
      <c r="U13" s="218">
        <f t="shared" si="28"/>
        <v>139</v>
      </c>
      <c r="V13" s="100">
        <f t="shared" si="29"/>
        <v>113</v>
      </c>
      <c r="W13" s="219">
        <f t="shared" si="30"/>
        <v>-26</v>
      </c>
      <c r="X13" s="16">
        <f t="shared" si="31"/>
        <v>82</v>
      </c>
      <c r="Y13" s="31">
        <f t="shared" si="32"/>
        <v>113</v>
      </c>
      <c r="Z13" s="220">
        <f t="shared" si="33"/>
        <v>0.7256637168</v>
      </c>
      <c r="AA13" s="210">
        <v>45747.0</v>
      </c>
      <c r="AB13" s="149" t="s">
        <v>48</v>
      </c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</row>
    <row r="14">
      <c r="A14" s="144" t="s">
        <v>21</v>
      </c>
      <c r="B14" s="216">
        <f>-'2024 - Q4'!U14</f>
        <v>35</v>
      </c>
      <c r="C14" s="31">
        <v>36.0</v>
      </c>
      <c r="D14" s="31">
        <v>1.0</v>
      </c>
      <c r="E14" s="96">
        <f t="shared" si="23"/>
        <v>37</v>
      </c>
      <c r="F14" s="97">
        <v>40.0</v>
      </c>
      <c r="G14" s="116">
        <f t="shared" si="3"/>
        <v>0.925</v>
      </c>
      <c r="H14" s="17">
        <v>7.0</v>
      </c>
      <c r="I14" s="17">
        <v>1.0</v>
      </c>
      <c r="J14" s="96">
        <f t="shared" si="24"/>
        <v>8</v>
      </c>
      <c r="K14" s="97">
        <v>24.0</v>
      </c>
      <c r="L14" s="116">
        <f t="shared" si="5"/>
        <v>0.3333333333</v>
      </c>
      <c r="M14" s="17">
        <v>111.0</v>
      </c>
      <c r="N14" s="17">
        <v>5.0</v>
      </c>
      <c r="O14" s="96">
        <f t="shared" si="25"/>
        <v>116</v>
      </c>
      <c r="P14" s="97">
        <v>119.0</v>
      </c>
      <c r="Q14" s="116">
        <f t="shared" si="7"/>
        <v>0.974789916</v>
      </c>
      <c r="R14" s="217">
        <f t="shared" si="26"/>
        <v>35</v>
      </c>
      <c r="S14" s="31">
        <f t="shared" ref="S14:T14" si="35">M14+H14+C14</f>
        <v>154</v>
      </c>
      <c r="T14" s="31">
        <f t="shared" si="35"/>
        <v>7</v>
      </c>
      <c r="U14" s="218">
        <f t="shared" si="28"/>
        <v>196</v>
      </c>
      <c r="V14" s="100">
        <f t="shared" si="29"/>
        <v>183</v>
      </c>
      <c r="W14" s="219">
        <f t="shared" si="30"/>
        <v>-13</v>
      </c>
      <c r="X14" s="16">
        <f t="shared" si="31"/>
        <v>161</v>
      </c>
      <c r="Y14" s="31">
        <f t="shared" si="32"/>
        <v>183</v>
      </c>
      <c r="Z14" s="220">
        <f t="shared" si="33"/>
        <v>0.8797814208</v>
      </c>
      <c r="AA14" s="210">
        <v>45748.0</v>
      </c>
      <c r="AB14" s="149" t="s">
        <v>48</v>
      </c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</row>
    <row r="15">
      <c r="A15" s="153" t="s">
        <v>22</v>
      </c>
      <c r="B15" s="29">
        <f t="shared" ref="B15:F15" si="36">sum(B11:B14)</f>
        <v>161</v>
      </c>
      <c r="C15" s="27">
        <f t="shared" si="36"/>
        <v>86</v>
      </c>
      <c r="D15" s="27">
        <f t="shared" si="36"/>
        <v>4</v>
      </c>
      <c r="E15" s="27">
        <f t="shared" si="36"/>
        <v>90</v>
      </c>
      <c r="F15" s="27">
        <f t="shared" si="36"/>
        <v>123</v>
      </c>
      <c r="G15" s="154">
        <f t="shared" si="3"/>
        <v>0.7317073171</v>
      </c>
      <c r="H15" s="27">
        <f t="shared" ref="H15:K15" si="37">sum(H11:H14)</f>
        <v>34</v>
      </c>
      <c r="I15" s="27">
        <f t="shared" si="37"/>
        <v>1</v>
      </c>
      <c r="J15" s="27">
        <f t="shared" si="37"/>
        <v>35</v>
      </c>
      <c r="K15" s="27">
        <f t="shared" si="37"/>
        <v>71</v>
      </c>
      <c r="L15" s="154">
        <f t="shared" si="5"/>
        <v>0.4929577465</v>
      </c>
      <c r="M15" s="27">
        <f t="shared" ref="M15:P15" si="38">sum(M11:M14)</f>
        <v>312</v>
      </c>
      <c r="N15" s="27">
        <f t="shared" si="38"/>
        <v>17</v>
      </c>
      <c r="O15" s="27">
        <f t="shared" si="38"/>
        <v>329</v>
      </c>
      <c r="P15" s="27">
        <f t="shared" si="38"/>
        <v>361</v>
      </c>
      <c r="Q15" s="154">
        <f t="shared" si="7"/>
        <v>0.9113573407</v>
      </c>
      <c r="R15" s="29">
        <f t="shared" ref="R15:Y15" si="39">sum(R11:R14)</f>
        <v>161</v>
      </c>
      <c r="S15" s="27">
        <f t="shared" si="39"/>
        <v>432</v>
      </c>
      <c r="T15" s="27">
        <f t="shared" si="39"/>
        <v>22</v>
      </c>
      <c r="U15" s="29">
        <f t="shared" si="39"/>
        <v>615</v>
      </c>
      <c r="V15" s="104">
        <f t="shared" si="39"/>
        <v>555</v>
      </c>
      <c r="W15" s="221">
        <f t="shared" si="39"/>
        <v>-60</v>
      </c>
      <c r="X15" s="155">
        <f t="shared" si="39"/>
        <v>454</v>
      </c>
      <c r="Y15" s="27">
        <f t="shared" si="39"/>
        <v>555</v>
      </c>
      <c r="Z15" s="222">
        <f>X15/Y15</f>
        <v>0.818018018</v>
      </c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</row>
    <row r="16">
      <c r="A16" s="144" t="s">
        <v>23</v>
      </c>
      <c r="B16" s="216">
        <f>-'2024 - Q4'!U16</f>
        <v>23</v>
      </c>
      <c r="C16" s="31">
        <v>6.0</v>
      </c>
      <c r="D16" s="31">
        <v>10.0</v>
      </c>
      <c r="E16" s="96">
        <f t="shared" ref="E16:E18" si="41">SUM(C16:D16)</f>
        <v>16</v>
      </c>
      <c r="F16" s="97">
        <v>28.0</v>
      </c>
      <c r="G16" s="116">
        <f t="shared" si="3"/>
        <v>0.5714285714</v>
      </c>
      <c r="H16" s="17">
        <v>5.0</v>
      </c>
      <c r="I16" s="17">
        <v>9.0</v>
      </c>
      <c r="J16" s="96">
        <f t="shared" ref="J16:J18" si="42">SUM(H16:I16)</f>
        <v>14</v>
      </c>
      <c r="K16" s="97">
        <v>15.0</v>
      </c>
      <c r="L16" s="116">
        <f t="shared" si="5"/>
        <v>0.9333333333</v>
      </c>
      <c r="M16" s="17">
        <v>65.0</v>
      </c>
      <c r="N16" s="17">
        <v>23.0</v>
      </c>
      <c r="O16" s="96">
        <f t="shared" ref="O16:O18" si="43">SUM(M16:N16)</f>
        <v>88</v>
      </c>
      <c r="P16" s="97">
        <v>82.0</v>
      </c>
      <c r="Q16" s="116">
        <f t="shared" si="7"/>
        <v>1.073170732</v>
      </c>
      <c r="R16" s="217">
        <f t="shared" ref="R16:R18" si="44">B16</f>
        <v>23</v>
      </c>
      <c r="S16" s="31">
        <f t="shared" ref="S16:T16" si="40">M16+H16+C16</f>
        <v>76</v>
      </c>
      <c r="T16" s="31">
        <f t="shared" si="40"/>
        <v>42</v>
      </c>
      <c r="U16" s="218">
        <f t="shared" ref="U16:U18" si="46">sum(R16:T16)</f>
        <v>141</v>
      </c>
      <c r="V16" s="100">
        <f t="shared" ref="V16:V18" si="47">P16+K16+F16</f>
        <v>125</v>
      </c>
      <c r="W16" s="219">
        <f t="shared" ref="W16:W18" si="48">V16-U16</f>
        <v>-16</v>
      </c>
      <c r="X16" s="16">
        <f t="shared" ref="X16:X18" si="49">T16+S16</f>
        <v>118</v>
      </c>
      <c r="Y16" s="31">
        <f t="shared" ref="Y16:Y18" si="50">V16</f>
        <v>125</v>
      </c>
      <c r="Z16" s="220">
        <f t="shared" ref="Z16:Z18" si="51">(S16+T16)/V16</f>
        <v>0.944</v>
      </c>
      <c r="AA16" s="157">
        <v>45747.0</v>
      </c>
      <c r="AB16" s="149" t="s">
        <v>77</v>
      </c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</row>
    <row r="17">
      <c r="A17" s="144" t="s">
        <v>24</v>
      </c>
      <c r="B17" s="216">
        <f>-'2024 - Q4'!U17</f>
        <v>8</v>
      </c>
      <c r="C17" s="31">
        <v>13.0</v>
      </c>
      <c r="D17" s="31"/>
      <c r="E17" s="96">
        <f t="shared" si="41"/>
        <v>13</v>
      </c>
      <c r="F17" s="97">
        <v>27.0</v>
      </c>
      <c r="G17" s="116">
        <f t="shared" si="3"/>
        <v>0.4814814815</v>
      </c>
      <c r="H17" s="17">
        <v>9.0</v>
      </c>
      <c r="I17" s="17">
        <v>6.0</v>
      </c>
      <c r="J17" s="96">
        <f t="shared" si="42"/>
        <v>15</v>
      </c>
      <c r="K17" s="97">
        <v>14.0</v>
      </c>
      <c r="L17" s="116">
        <f t="shared" si="5"/>
        <v>1.071428571</v>
      </c>
      <c r="M17" s="17">
        <v>75.0</v>
      </c>
      <c r="N17" s="17">
        <v>1.0</v>
      </c>
      <c r="O17" s="96">
        <f t="shared" si="43"/>
        <v>76</v>
      </c>
      <c r="P17" s="97">
        <v>73.0</v>
      </c>
      <c r="Q17" s="116">
        <f t="shared" si="7"/>
        <v>1.04109589</v>
      </c>
      <c r="R17" s="217">
        <f t="shared" si="44"/>
        <v>8</v>
      </c>
      <c r="S17" s="31">
        <f t="shared" ref="S17:T17" si="45">M17+H17+C17</f>
        <v>97</v>
      </c>
      <c r="T17" s="31">
        <f t="shared" si="45"/>
        <v>7</v>
      </c>
      <c r="U17" s="218">
        <f t="shared" si="46"/>
        <v>112</v>
      </c>
      <c r="V17" s="100">
        <f t="shared" si="47"/>
        <v>114</v>
      </c>
      <c r="W17" s="219">
        <f t="shared" si="48"/>
        <v>2</v>
      </c>
      <c r="X17" s="16">
        <f t="shared" si="49"/>
        <v>104</v>
      </c>
      <c r="Y17" s="31">
        <f t="shared" si="50"/>
        <v>114</v>
      </c>
      <c r="Z17" s="220">
        <f t="shared" si="51"/>
        <v>0.9122807018</v>
      </c>
      <c r="AA17" s="157">
        <v>45747.0</v>
      </c>
      <c r="AB17" s="149" t="s">
        <v>77</v>
      </c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</row>
    <row r="18">
      <c r="A18" s="144" t="s">
        <v>25</v>
      </c>
      <c r="B18" s="216">
        <f>-'2024 - Q4'!U18</f>
        <v>16</v>
      </c>
      <c r="C18" s="31">
        <v>5.0</v>
      </c>
      <c r="D18" s="31"/>
      <c r="E18" s="96">
        <f t="shared" si="41"/>
        <v>5</v>
      </c>
      <c r="F18" s="97">
        <v>10.0</v>
      </c>
      <c r="G18" s="116">
        <f t="shared" si="3"/>
        <v>0.5</v>
      </c>
      <c r="H18" s="17">
        <v>6.0</v>
      </c>
      <c r="I18" s="17">
        <v>5.0</v>
      </c>
      <c r="J18" s="96">
        <f t="shared" si="42"/>
        <v>11</v>
      </c>
      <c r="K18" s="97">
        <v>4.0</v>
      </c>
      <c r="L18" s="116">
        <f t="shared" si="5"/>
        <v>2.75</v>
      </c>
      <c r="M18" s="17">
        <v>26.0</v>
      </c>
      <c r="N18" s="17">
        <v>2.0</v>
      </c>
      <c r="O18" s="96">
        <f t="shared" si="43"/>
        <v>28</v>
      </c>
      <c r="P18" s="97">
        <v>31.0</v>
      </c>
      <c r="Q18" s="116">
        <f t="shared" si="7"/>
        <v>0.9032258065</v>
      </c>
      <c r="R18" s="217">
        <f t="shared" si="44"/>
        <v>16</v>
      </c>
      <c r="S18" s="31">
        <f t="shared" ref="S18:T18" si="52">M18+H18+C18</f>
        <v>37</v>
      </c>
      <c r="T18" s="31">
        <f t="shared" si="52"/>
        <v>7</v>
      </c>
      <c r="U18" s="218">
        <f t="shared" si="46"/>
        <v>60</v>
      </c>
      <c r="V18" s="100">
        <f t="shared" si="47"/>
        <v>45</v>
      </c>
      <c r="W18" s="219">
        <f t="shared" si="48"/>
        <v>-15</v>
      </c>
      <c r="X18" s="16">
        <f t="shared" si="49"/>
        <v>44</v>
      </c>
      <c r="Y18" s="31">
        <f t="shared" si="50"/>
        <v>45</v>
      </c>
      <c r="Z18" s="220">
        <f t="shared" si="51"/>
        <v>0.9777777778</v>
      </c>
      <c r="AA18" s="157">
        <v>45747.0</v>
      </c>
      <c r="AB18" s="149" t="s">
        <v>77</v>
      </c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</row>
    <row r="19">
      <c r="A19" s="153" t="s">
        <v>26</v>
      </c>
      <c r="B19" s="29">
        <f t="shared" ref="B19:F19" si="53">sum(B16:B18)</f>
        <v>47</v>
      </c>
      <c r="C19" s="27">
        <f t="shared" si="53"/>
        <v>24</v>
      </c>
      <c r="D19" s="27">
        <f t="shared" si="53"/>
        <v>10</v>
      </c>
      <c r="E19" s="27">
        <f t="shared" si="53"/>
        <v>34</v>
      </c>
      <c r="F19" s="27">
        <f t="shared" si="53"/>
        <v>65</v>
      </c>
      <c r="G19" s="154">
        <f t="shared" si="3"/>
        <v>0.5230769231</v>
      </c>
      <c r="H19" s="27">
        <f t="shared" ref="H19:K19" si="54">sum(H16:H18)</f>
        <v>20</v>
      </c>
      <c r="I19" s="27">
        <f t="shared" si="54"/>
        <v>20</v>
      </c>
      <c r="J19" s="27">
        <f t="shared" si="54"/>
        <v>40</v>
      </c>
      <c r="K19" s="27">
        <f t="shared" si="54"/>
        <v>33</v>
      </c>
      <c r="L19" s="154">
        <f t="shared" si="5"/>
        <v>1.212121212</v>
      </c>
      <c r="M19" s="27">
        <f t="shared" ref="M19:P19" si="55">sum(M16:M18)</f>
        <v>166</v>
      </c>
      <c r="N19" s="27">
        <f t="shared" si="55"/>
        <v>26</v>
      </c>
      <c r="O19" s="27">
        <f t="shared" si="55"/>
        <v>192</v>
      </c>
      <c r="P19" s="27">
        <f t="shared" si="55"/>
        <v>186</v>
      </c>
      <c r="Q19" s="154">
        <f t="shared" si="7"/>
        <v>1.032258065</v>
      </c>
      <c r="R19" s="29">
        <f t="shared" ref="R19:Y19" si="56">sum(R16:R18)</f>
        <v>47</v>
      </c>
      <c r="S19" s="27">
        <f t="shared" si="56"/>
        <v>210</v>
      </c>
      <c r="T19" s="27">
        <f t="shared" si="56"/>
        <v>56</v>
      </c>
      <c r="U19" s="29">
        <f t="shared" si="56"/>
        <v>313</v>
      </c>
      <c r="V19" s="104">
        <f t="shared" si="56"/>
        <v>284</v>
      </c>
      <c r="W19" s="221">
        <f t="shared" si="56"/>
        <v>-29</v>
      </c>
      <c r="X19" s="155">
        <f t="shared" si="56"/>
        <v>266</v>
      </c>
      <c r="Y19" s="27">
        <f t="shared" si="56"/>
        <v>284</v>
      </c>
      <c r="Z19" s="222">
        <f>X19/Y19</f>
        <v>0.9366197183</v>
      </c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</row>
    <row r="20">
      <c r="A20" s="153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107"/>
      <c r="W20" s="33"/>
      <c r="X20" s="158"/>
      <c r="Y20" s="159"/>
      <c r="Z20" s="223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</row>
    <row r="21">
      <c r="A21" s="16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107"/>
      <c r="W21" s="33"/>
      <c r="X21" s="158"/>
      <c r="Y21" s="159"/>
      <c r="Z21" s="223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</row>
    <row r="22">
      <c r="A22" s="162" t="s">
        <v>8</v>
      </c>
      <c r="B22" s="163">
        <f t="shared" ref="B22:F22" si="57">B19+B15+B10</f>
        <v>250</v>
      </c>
      <c r="C22" s="163">
        <f t="shared" si="57"/>
        <v>190</v>
      </c>
      <c r="D22" s="163">
        <f t="shared" si="57"/>
        <v>17</v>
      </c>
      <c r="E22" s="163">
        <f t="shared" si="57"/>
        <v>207</v>
      </c>
      <c r="F22" s="163">
        <f t="shared" si="57"/>
        <v>307</v>
      </c>
      <c r="G22" s="164">
        <f>E22/F22</f>
        <v>0.674267101</v>
      </c>
      <c r="H22" s="163">
        <f t="shared" ref="H22:K22" si="58">H19+H15+H10</f>
        <v>83</v>
      </c>
      <c r="I22" s="163">
        <f t="shared" si="58"/>
        <v>23</v>
      </c>
      <c r="J22" s="163">
        <f t="shared" si="58"/>
        <v>106</v>
      </c>
      <c r="K22" s="163">
        <f t="shared" si="58"/>
        <v>171</v>
      </c>
      <c r="L22" s="164">
        <f>J22/K22</f>
        <v>0.6198830409</v>
      </c>
      <c r="M22" s="163">
        <f t="shared" ref="M22:P22" si="59">M19+M15+M10</f>
        <v>796</v>
      </c>
      <c r="N22" s="163">
        <f t="shared" si="59"/>
        <v>52</v>
      </c>
      <c r="O22" s="163">
        <f t="shared" si="59"/>
        <v>848</v>
      </c>
      <c r="P22" s="163">
        <f t="shared" si="59"/>
        <v>894</v>
      </c>
      <c r="Q22" s="164">
        <f>O22/P22</f>
        <v>0.9485458613</v>
      </c>
      <c r="R22" s="163">
        <f t="shared" ref="R22:Y22" si="60">R19+R15+R10</f>
        <v>250</v>
      </c>
      <c r="S22" s="163">
        <f t="shared" si="60"/>
        <v>1069</v>
      </c>
      <c r="T22" s="163">
        <f t="shared" si="60"/>
        <v>92</v>
      </c>
      <c r="U22" s="163">
        <f t="shared" si="60"/>
        <v>1411</v>
      </c>
      <c r="V22" s="165">
        <f t="shared" si="60"/>
        <v>1372</v>
      </c>
      <c r="W22" s="166">
        <f t="shared" si="60"/>
        <v>-39</v>
      </c>
      <c r="X22" s="166">
        <f t="shared" si="60"/>
        <v>1161</v>
      </c>
      <c r="Y22" s="163">
        <f t="shared" si="60"/>
        <v>1372</v>
      </c>
      <c r="Z22" s="224">
        <f>(S22+T22)/V22</f>
        <v>0.8462099125</v>
      </c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</row>
    <row r="23">
      <c r="Y23" s="21">
        <f>X22-Y22</f>
        <v>-211</v>
      </c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</row>
    <row r="24" ht="1.5" customHeight="1"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</row>
    <row r="25" ht="3.0" customHeight="1"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</row>
    <row r="26">
      <c r="A26" s="243" t="s">
        <v>112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7"/>
      <c r="P26" s="178"/>
      <c r="Q26" s="178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</row>
    <row r="27">
      <c r="A27" s="13"/>
      <c r="B27" s="190"/>
      <c r="C27" s="190"/>
      <c r="G27" s="178"/>
      <c r="H27" s="178"/>
      <c r="L27" s="178"/>
      <c r="M27" s="178"/>
      <c r="N27" s="178"/>
      <c r="O27" s="191"/>
      <c r="P27" s="178"/>
      <c r="Q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</row>
    <row r="28">
      <c r="A28" s="15"/>
      <c r="B28" s="179" t="s">
        <v>37</v>
      </c>
      <c r="C28" s="179" t="s">
        <v>38</v>
      </c>
      <c r="D28" s="179" t="s">
        <v>85</v>
      </c>
      <c r="E28" s="179"/>
      <c r="F28" s="179" t="s">
        <v>113</v>
      </c>
      <c r="G28" s="179" t="s">
        <v>114</v>
      </c>
      <c r="H28" s="179"/>
      <c r="I28" s="179"/>
      <c r="J28" s="179" t="s">
        <v>115</v>
      </c>
      <c r="K28" s="179" t="s">
        <v>116</v>
      </c>
      <c r="L28" s="179"/>
      <c r="M28" s="179"/>
      <c r="N28" s="179" t="s">
        <v>117</v>
      </c>
      <c r="O28" s="181"/>
      <c r="P28" s="179"/>
      <c r="R28" s="179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</row>
    <row r="29">
      <c r="A29" s="16" t="s">
        <v>13</v>
      </c>
      <c r="B29" s="96">
        <f t="shared" ref="B29:B32" si="61">S6+T6</f>
        <v>156</v>
      </c>
      <c r="C29" s="97">
        <f t="shared" ref="C29:C32" si="62">V6</f>
        <v>161</v>
      </c>
      <c r="D29" s="198">
        <f t="shared" ref="D29:D32" si="63">C29-B29</f>
        <v>5</v>
      </c>
      <c r="E29" s="116"/>
      <c r="F29" s="97">
        <f>roundup($C29*1.05,0)</f>
        <v>170</v>
      </c>
      <c r="G29" s="97">
        <f t="shared" ref="G29:G31" si="64">roundup($C29*1.1,0)</f>
        <v>178</v>
      </c>
      <c r="H29" s="179"/>
      <c r="I29" s="116"/>
      <c r="J29" s="198">
        <f t="shared" ref="J29:J32" si="65">B29-F29</f>
        <v>-14</v>
      </c>
      <c r="K29" s="198">
        <f t="shared" ref="K29:K32" si="66">B29-G29</f>
        <v>-22</v>
      </c>
      <c r="L29" s="179"/>
      <c r="M29" s="116"/>
      <c r="N29" s="244">
        <f t="shared" ref="N29:N32" si="67">B29/B$33*O$33</f>
        <v>0</v>
      </c>
      <c r="O29" s="230"/>
      <c r="P29" s="116"/>
      <c r="Q29" s="116"/>
      <c r="Y29" s="12">
        <v>0.0</v>
      </c>
      <c r="Z29" s="12">
        <v>0.0</v>
      </c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</row>
    <row r="30">
      <c r="A30" s="16" t="s">
        <v>14</v>
      </c>
      <c r="B30" s="96">
        <f t="shared" si="61"/>
        <v>92</v>
      </c>
      <c r="C30" s="97">
        <f t="shared" si="62"/>
        <v>126</v>
      </c>
      <c r="D30" s="198">
        <f t="shared" si="63"/>
        <v>34</v>
      </c>
      <c r="E30" s="116"/>
      <c r="F30" s="97">
        <f t="shared" ref="F30:F31" si="68">roundup(C30*1.05,0)</f>
        <v>133</v>
      </c>
      <c r="G30" s="97">
        <f t="shared" si="64"/>
        <v>139</v>
      </c>
      <c r="H30" s="179"/>
      <c r="I30" s="116"/>
      <c r="J30" s="198">
        <f t="shared" si="65"/>
        <v>-41</v>
      </c>
      <c r="K30" s="198">
        <f t="shared" si="66"/>
        <v>-47</v>
      </c>
      <c r="L30" s="179"/>
      <c r="M30" s="116"/>
      <c r="N30" s="244">
        <f t="shared" si="67"/>
        <v>0</v>
      </c>
      <c r="O30" s="230"/>
      <c r="P30" s="116"/>
      <c r="Q30" s="116"/>
      <c r="Y30" s="21">
        <f>F33</f>
        <v>560</v>
      </c>
      <c r="Z30" s="12">
        <v>400.0</v>
      </c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</row>
    <row r="31">
      <c r="A31" s="16" t="s">
        <v>15</v>
      </c>
      <c r="B31" s="96">
        <f t="shared" si="61"/>
        <v>96</v>
      </c>
      <c r="C31" s="97">
        <f t="shared" si="62"/>
        <v>109</v>
      </c>
      <c r="D31" s="198">
        <f t="shared" si="63"/>
        <v>13</v>
      </c>
      <c r="E31" s="116"/>
      <c r="F31" s="97">
        <f t="shared" si="68"/>
        <v>115</v>
      </c>
      <c r="G31" s="97">
        <f t="shared" si="64"/>
        <v>120</v>
      </c>
      <c r="H31" s="179"/>
      <c r="I31" s="116"/>
      <c r="J31" s="198">
        <f t="shared" si="65"/>
        <v>-19</v>
      </c>
      <c r="K31" s="198">
        <f t="shared" si="66"/>
        <v>-24</v>
      </c>
      <c r="L31" s="179"/>
      <c r="M31" s="116"/>
      <c r="N31" s="244">
        <f t="shared" si="67"/>
        <v>0</v>
      </c>
      <c r="O31" s="230"/>
      <c r="P31" s="116"/>
      <c r="Q31" s="116"/>
      <c r="Y31" s="21">
        <f>G33</f>
        <v>587</v>
      </c>
      <c r="Z31" s="12">
        <v>500.0</v>
      </c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</row>
    <row r="32">
      <c r="A32" s="16" t="s">
        <v>16</v>
      </c>
      <c r="B32" s="96">
        <f t="shared" si="61"/>
        <v>97</v>
      </c>
      <c r="C32" s="97">
        <f t="shared" si="62"/>
        <v>137</v>
      </c>
      <c r="D32" s="198">
        <f t="shared" si="63"/>
        <v>40</v>
      </c>
      <c r="E32" s="116"/>
      <c r="F32" s="245">
        <f>F33-F31-F30-F29</f>
        <v>142</v>
      </c>
      <c r="G32" s="245">
        <f>G33-G29-G30-G31</f>
        <v>150</v>
      </c>
      <c r="H32" s="179"/>
      <c r="I32" s="116"/>
      <c r="J32" s="246">
        <f t="shared" si="65"/>
        <v>-45</v>
      </c>
      <c r="K32" s="246">
        <f t="shared" si="66"/>
        <v>-53</v>
      </c>
      <c r="L32" s="179"/>
      <c r="M32" s="116"/>
      <c r="N32" s="244">
        <f t="shared" si="67"/>
        <v>0</v>
      </c>
      <c r="O32" s="230"/>
      <c r="P32" s="116"/>
      <c r="Q32" s="116"/>
      <c r="X32" s="169">
        <f>today()</f>
        <v>46216</v>
      </c>
      <c r="Y32" s="20" t="str">
        <f>H33</f>
        <v/>
      </c>
      <c r="Z32" s="12">
        <v>600.0</v>
      </c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</row>
    <row r="33">
      <c r="A33" s="26" t="s">
        <v>17</v>
      </c>
      <c r="B33" s="29">
        <f t="shared" ref="B33:D33" si="69">sum(B29:B32)</f>
        <v>441</v>
      </c>
      <c r="C33" s="29">
        <f t="shared" si="69"/>
        <v>533</v>
      </c>
      <c r="D33" s="29">
        <f t="shared" si="69"/>
        <v>92</v>
      </c>
      <c r="E33" s="154"/>
      <c r="F33" s="29">
        <f>roundup($C33*1.05,0)</f>
        <v>560</v>
      </c>
      <c r="G33" s="29">
        <f>roundup($C33*1.1,0)</f>
        <v>587</v>
      </c>
      <c r="H33" s="179"/>
      <c r="I33" s="154"/>
      <c r="J33" s="29">
        <f t="shared" ref="J33:K33" si="70">sum(J29:J32)</f>
        <v>-119</v>
      </c>
      <c r="K33" s="29">
        <f t="shared" si="70"/>
        <v>-146</v>
      </c>
      <c r="L33" s="179"/>
      <c r="M33" s="154"/>
      <c r="N33" s="29">
        <f>sum(N29:N32)</f>
        <v>0</v>
      </c>
      <c r="O33" s="247">
        <f>lookup(B33,Y29:Z32)*(B33-C33)</f>
        <v>0</v>
      </c>
      <c r="P33" s="154"/>
      <c r="Q33" s="154"/>
      <c r="X33" s="40">
        <v>45747.0</v>
      </c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</row>
    <row r="34">
      <c r="A34" s="16"/>
      <c r="B34" s="116"/>
      <c r="C34" s="116"/>
      <c r="D34" s="116"/>
      <c r="E34" s="248" t="s">
        <v>118</v>
      </c>
      <c r="F34" s="249">
        <f>400*(F33-C33)</f>
        <v>10800</v>
      </c>
      <c r="G34" s="249">
        <f>500*(G33-C33)</f>
        <v>27000</v>
      </c>
      <c r="H34" s="179"/>
      <c r="I34" s="248" t="s">
        <v>40</v>
      </c>
      <c r="J34" s="244">
        <f t="shared" ref="J34:K34" si="71">-J33/$X$35</f>
        <v>-1.776119403</v>
      </c>
      <c r="K34" s="244">
        <f t="shared" si="71"/>
        <v>-2.179104478</v>
      </c>
      <c r="L34" s="179"/>
      <c r="M34" s="116"/>
      <c r="N34" s="116"/>
      <c r="O34" s="230"/>
      <c r="P34" s="116"/>
      <c r="Q34" s="116"/>
      <c r="X34" s="20">
        <f>X33-X32</f>
        <v>-469</v>
      </c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</row>
    <row r="35">
      <c r="A35" s="16" t="s">
        <v>18</v>
      </c>
      <c r="B35" s="96">
        <f t="shared" ref="B35:B38" si="72">S11+T11</f>
        <v>104</v>
      </c>
      <c r="C35" s="97">
        <f t="shared" ref="C35:C38" si="73">V11</f>
        <v>129</v>
      </c>
      <c r="D35" s="198">
        <f t="shared" ref="D35:D38" si="74">C35-B35</f>
        <v>25</v>
      </c>
      <c r="E35" s="116"/>
      <c r="F35" s="97">
        <f t="shared" ref="F35:F37" si="75">roundup(C35*1.05,0)</f>
        <v>136</v>
      </c>
      <c r="G35" s="97">
        <f t="shared" ref="G35:G37" si="76">roundup($C35*1.1,0)</f>
        <v>142</v>
      </c>
      <c r="H35" s="179"/>
      <c r="I35" s="116"/>
      <c r="J35" s="198">
        <f t="shared" ref="J35:J38" si="77">B35-F35</f>
        <v>-32</v>
      </c>
      <c r="K35" s="198">
        <f t="shared" ref="K35:K38" si="78">B35-G35</f>
        <v>-38</v>
      </c>
      <c r="L35" s="179"/>
      <c r="M35" s="116"/>
      <c r="N35" s="244">
        <f t="shared" ref="N35:N38" si="79">B35/B$39*O$39</f>
        <v>0</v>
      </c>
      <c r="O35" s="230"/>
      <c r="P35" s="116"/>
      <c r="Q35" s="116"/>
      <c r="X35" s="20">
        <f>round(X34/7,0)</f>
        <v>-67</v>
      </c>
      <c r="Y35" s="12">
        <v>0.0</v>
      </c>
      <c r="Z35" s="12">
        <v>0.0</v>
      </c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</row>
    <row r="36">
      <c r="A36" s="16" t="s">
        <v>19</v>
      </c>
      <c r="B36" s="96">
        <f t="shared" si="72"/>
        <v>107</v>
      </c>
      <c r="C36" s="97">
        <f t="shared" si="73"/>
        <v>130</v>
      </c>
      <c r="D36" s="198">
        <f t="shared" si="74"/>
        <v>23</v>
      </c>
      <c r="E36" s="116"/>
      <c r="F36" s="97">
        <f t="shared" si="75"/>
        <v>137</v>
      </c>
      <c r="G36" s="97">
        <f t="shared" si="76"/>
        <v>143</v>
      </c>
      <c r="H36" s="179"/>
      <c r="I36" s="116"/>
      <c r="J36" s="198">
        <f t="shared" si="77"/>
        <v>-30</v>
      </c>
      <c r="K36" s="198">
        <f t="shared" si="78"/>
        <v>-36</v>
      </c>
      <c r="L36" s="179"/>
      <c r="M36" s="116"/>
      <c r="N36" s="244">
        <f t="shared" si="79"/>
        <v>0</v>
      </c>
      <c r="O36" s="230"/>
      <c r="P36" s="116"/>
      <c r="Q36" s="116"/>
      <c r="Y36" s="21">
        <f>F39</f>
        <v>583</v>
      </c>
      <c r="Z36" s="12">
        <v>400.0</v>
      </c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</row>
    <row r="37">
      <c r="A37" s="16" t="s">
        <v>20</v>
      </c>
      <c r="B37" s="96">
        <f t="shared" si="72"/>
        <v>82</v>
      </c>
      <c r="C37" s="97">
        <f t="shared" si="73"/>
        <v>113</v>
      </c>
      <c r="D37" s="198">
        <f t="shared" si="74"/>
        <v>31</v>
      </c>
      <c r="E37" s="116"/>
      <c r="F37" s="97">
        <f t="shared" si="75"/>
        <v>119</v>
      </c>
      <c r="G37" s="97">
        <f t="shared" si="76"/>
        <v>125</v>
      </c>
      <c r="H37" s="179"/>
      <c r="I37" s="116"/>
      <c r="J37" s="198">
        <f t="shared" si="77"/>
        <v>-37</v>
      </c>
      <c r="K37" s="198">
        <f t="shared" si="78"/>
        <v>-43</v>
      </c>
      <c r="L37" s="179"/>
      <c r="M37" s="116"/>
      <c r="N37" s="244">
        <f t="shared" si="79"/>
        <v>0</v>
      </c>
      <c r="O37" s="230"/>
      <c r="P37" s="116"/>
      <c r="Q37" s="116"/>
      <c r="Y37" s="21">
        <f>G39</f>
        <v>611</v>
      </c>
      <c r="Z37" s="12">
        <v>500.0</v>
      </c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</row>
    <row r="38">
      <c r="A38" s="16" t="s">
        <v>21</v>
      </c>
      <c r="B38" s="96">
        <f t="shared" si="72"/>
        <v>161</v>
      </c>
      <c r="C38" s="97">
        <f t="shared" si="73"/>
        <v>183</v>
      </c>
      <c r="D38" s="198">
        <f t="shared" si="74"/>
        <v>22</v>
      </c>
      <c r="E38" s="116"/>
      <c r="F38" s="245">
        <f>F39-F37-F36-F35</f>
        <v>191</v>
      </c>
      <c r="G38" s="245">
        <f>G39-G35-G36-G37</f>
        <v>201</v>
      </c>
      <c r="H38" s="179"/>
      <c r="I38" s="116"/>
      <c r="J38" s="246">
        <f t="shared" si="77"/>
        <v>-30</v>
      </c>
      <c r="K38" s="246">
        <f t="shared" si="78"/>
        <v>-40</v>
      </c>
      <c r="L38" s="179"/>
      <c r="M38" s="116"/>
      <c r="N38" s="244">
        <f t="shared" si="79"/>
        <v>0</v>
      </c>
      <c r="O38" s="230"/>
      <c r="P38" s="116"/>
      <c r="Q38" s="116"/>
      <c r="Y38" s="20" t="str">
        <f>H39</f>
        <v/>
      </c>
      <c r="Z38" s="12">
        <v>600.0</v>
      </c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</row>
    <row r="39">
      <c r="A39" s="26" t="s">
        <v>22</v>
      </c>
      <c r="B39" s="29">
        <f t="shared" ref="B39:D39" si="80">sum(B35:B38)</f>
        <v>454</v>
      </c>
      <c r="C39" s="29">
        <f t="shared" si="80"/>
        <v>555</v>
      </c>
      <c r="D39" s="29">
        <f t="shared" si="80"/>
        <v>101</v>
      </c>
      <c r="E39" s="154"/>
      <c r="F39" s="29">
        <f>roundup(C39*1.05,0)</f>
        <v>583</v>
      </c>
      <c r="G39" s="29">
        <f>roundup($C39*1.1,0)</f>
        <v>611</v>
      </c>
      <c r="H39" s="179"/>
      <c r="I39" s="154"/>
      <c r="J39" s="29">
        <f t="shared" ref="J39:K39" si="81">sum(J35:J38)</f>
        <v>-129</v>
      </c>
      <c r="K39" s="29">
        <f t="shared" si="81"/>
        <v>-157</v>
      </c>
      <c r="L39" s="179"/>
      <c r="M39" s="154"/>
      <c r="N39" s="29">
        <f>sum(N35:N38)</f>
        <v>0</v>
      </c>
      <c r="O39" s="247">
        <f>lookup(B39,Y35:Z38)*(B39-C39)</f>
        <v>0</v>
      </c>
      <c r="P39" s="154"/>
      <c r="Q39" s="154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</row>
    <row r="40">
      <c r="A40" s="16"/>
      <c r="B40" s="116"/>
      <c r="C40" s="116"/>
      <c r="D40" s="116"/>
      <c r="E40" s="248" t="s">
        <v>118</v>
      </c>
      <c r="F40" s="249">
        <f>400*(F39-$C39)</f>
        <v>11200</v>
      </c>
      <c r="G40" s="249">
        <f>500*(G39-$C39)</f>
        <v>28000</v>
      </c>
      <c r="H40" s="179"/>
      <c r="I40" s="248" t="s">
        <v>40</v>
      </c>
      <c r="J40" s="244">
        <f t="shared" ref="J40:K40" si="82">-J39/$X$35</f>
        <v>-1.925373134</v>
      </c>
      <c r="K40" s="244">
        <f t="shared" si="82"/>
        <v>-2.343283582</v>
      </c>
      <c r="L40" s="179"/>
      <c r="M40" s="116"/>
      <c r="N40" s="116"/>
      <c r="O40" s="230"/>
      <c r="P40" s="116"/>
      <c r="Q40" s="116"/>
      <c r="Y40" s="12">
        <v>0.0</v>
      </c>
      <c r="Z40" s="12">
        <v>0.0</v>
      </c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</row>
    <row r="41">
      <c r="A41" s="16" t="s">
        <v>23</v>
      </c>
      <c r="B41" s="96">
        <f t="shared" ref="B41:B43" si="83">S16+T16</f>
        <v>118</v>
      </c>
      <c r="C41" s="97">
        <f t="shared" ref="C41:C43" si="84">V16</f>
        <v>125</v>
      </c>
      <c r="D41" s="198">
        <f t="shared" ref="D41:D43" si="85">C41-B41</f>
        <v>7</v>
      </c>
      <c r="E41" s="116"/>
      <c r="F41" s="245">
        <f>F44-F42-F43</f>
        <v>131</v>
      </c>
      <c r="G41" s="97">
        <f t="shared" ref="G41:G42" si="86">roundup($C41*1.1,0)</f>
        <v>138</v>
      </c>
      <c r="H41" s="179"/>
      <c r="I41" s="116"/>
      <c r="J41" s="246">
        <f t="shared" ref="J41:J43" si="87">B41-F41</f>
        <v>-13</v>
      </c>
      <c r="K41" s="198">
        <f t="shared" ref="K41:K43" si="88">B41-G41</f>
        <v>-20</v>
      </c>
      <c r="L41" s="179"/>
      <c r="M41" s="116"/>
      <c r="N41" s="244">
        <f t="shared" ref="N41:N43" si="89">B41/B$44*O$44</f>
        <v>0</v>
      </c>
      <c r="O41" s="230"/>
      <c r="P41" s="116"/>
      <c r="Q41" s="116"/>
      <c r="Y41" s="21">
        <f>F44</f>
        <v>299</v>
      </c>
      <c r="Z41" s="12">
        <v>400.0</v>
      </c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</row>
    <row r="42">
      <c r="A42" s="16" t="s">
        <v>24</v>
      </c>
      <c r="B42" s="96">
        <f t="shared" si="83"/>
        <v>104</v>
      </c>
      <c r="C42" s="97">
        <f t="shared" si="84"/>
        <v>114</v>
      </c>
      <c r="D42" s="198">
        <f t="shared" si="85"/>
        <v>10</v>
      </c>
      <c r="E42" s="116"/>
      <c r="F42" s="97">
        <f t="shared" ref="F42:F44" si="90">roundup(C42*1.05,0)</f>
        <v>120</v>
      </c>
      <c r="G42" s="97">
        <f t="shared" si="86"/>
        <v>126</v>
      </c>
      <c r="H42" s="179"/>
      <c r="I42" s="116"/>
      <c r="J42" s="198">
        <f t="shared" si="87"/>
        <v>-16</v>
      </c>
      <c r="K42" s="198">
        <f t="shared" si="88"/>
        <v>-22</v>
      </c>
      <c r="L42" s="179"/>
      <c r="M42" s="116"/>
      <c r="N42" s="244">
        <f t="shared" si="89"/>
        <v>0</v>
      </c>
      <c r="O42" s="230"/>
      <c r="P42" s="116"/>
      <c r="Q42" s="116"/>
      <c r="Y42" s="21">
        <f>G44</f>
        <v>313</v>
      </c>
      <c r="Z42" s="12">
        <v>500.0</v>
      </c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</row>
    <row r="43">
      <c r="A43" s="16" t="s">
        <v>25</v>
      </c>
      <c r="B43" s="96">
        <f t="shared" si="83"/>
        <v>44</v>
      </c>
      <c r="C43" s="97">
        <f t="shared" si="84"/>
        <v>45</v>
      </c>
      <c r="D43" s="198">
        <f t="shared" si="85"/>
        <v>1</v>
      </c>
      <c r="E43" s="116"/>
      <c r="F43" s="97">
        <f t="shared" si="90"/>
        <v>48</v>
      </c>
      <c r="G43" s="245">
        <f>G44-G41-G42</f>
        <v>49</v>
      </c>
      <c r="H43" s="179"/>
      <c r="I43" s="116"/>
      <c r="J43" s="198">
        <f t="shared" si="87"/>
        <v>-4</v>
      </c>
      <c r="K43" s="246">
        <f t="shared" si="88"/>
        <v>-5</v>
      </c>
      <c r="L43" s="179"/>
      <c r="M43" s="116"/>
      <c r="N43" s="244">
        <f t="shared" si="89"/>
        <v>0</v>
      </c>
      <c r="O43" s="230"/>
      <c r="P43" s="116"/>
      <c r="Q43" s="116"/>
      <c r="Y43" s="20" t="str">
        <f>H44</f>
        <v/>
      </c>
      <c r="Z43" s="12">
        <v>600.0</v>
      </c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</row>
    <row r="44">
      <c r="A44" s="26" t="s">
        <v>26</v>
      </c>
      <c r="B44" s="29">
        <f t="shared" ref="B44:D44" si="91">sum(B41:B43)</f>
        <v>266</v>
      </c>
      <c r="C44" s="29">
        <f t="shared" si="91"/>
        <v>284</v>
      </c>
      <c r="D44" s="29">
        <f t="shared" si="91"/>
        <v>18</v>
      </c>
      <c r="E44" s="154"/>
      <c r="F44" s="29">
        <f t="shared" si="90"/>
        <v>299</v>
      </c>
      <c r="G44" s="29">
        <f>roundup($C44*1.1,0)</f>
        <v>313</v>
      </c>
      <c r="H44" s="179"/>
      <c r="I44" s="154"/>
      <c r="J44" s="29">
        <f t="shared" ref="J44:K44" si="92">sum(J41:J43)</f>
        <v>-33</v>
      </c>
      <c r="K44" s="29">
        <f t="shared" si="92"/>
        <v>-47</v>
      </c>
      <c r="L44" s="179"/>
      <c r="M44" s="154"/>
      <c r="N44" s="29">
        <f>sum(N41:N43)</f>
        <v>0</v>
      </c>
      <c r="O44" s="247">
        <f>lookup(B44,Y40:Z43)*(B44-C44)</f>
        <v>0</v>
      </c>
      <c r="P44" s="154"/>
      <c r="Q44" s="154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</row>
    <row r="45">
      <c r="A45" s="26"/>
      <c r="B45" s="32"/>
      <c r="C45" s="32"/>
      <c r="D45" s="32"/>
      <c r="E45" s="248" t="s">
        <v>118</v>
      </c>
      <c r="F45" s="249">
        <f>400*(F44-$C44)</f>
        <v>6000</v>
      </c>
      <c r="G45" s="249">
        <f>500*(G44-$C44)</f>
        <v>14500</v>
      </c>
      <c r="H45" s="179"/>
      <c r="I45" s="248" t="s">
        <v>40</v>
      </c>
      <c r="J45" s="244">
        <f t="shared" ref="J45:K45" si="93">-J44/$X$35</f>
        <v>-0.4925373134</v>
      </c>
      <c r="K45" s="244">
        <f t="shared" si="93"/>
        <v>-0.7014925373</v>
      </c>
      <c r="L45" s="179"/>
      <c r="M45" s="32"/>
      <c r="N45" s="32"/>
      <c r="O45" s="107"/>
      <c r="P45" s="32"/>
      <c r="Q45" s="32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</row>
    <row r="46">
      <c r="A46" s="26"/>
      <c r="B46" s="154"/>
      <c r="C46" s="154"/>
      <c r="D46" s="154"/>
      <c r="E46" s="154"/>
      <c r="F46" s="154"/>
      <c r="G46" s="154"/>
      <c r="H46" s="179"/>
      <c r="I46" s="154"/>
      <c r="J46" s="154"/>
      <c r="K46" s="154"/>
      <c r="L46" s="179"/>
      <c r="M46" s="154"/>
      <c r="N46" s="154"/>
      <c r="O46" s="250"/>
      <c r="P46" s="154"/>
      <c r="Q46" s="154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</row>
    <row r="47">
      <c r="A47" s="26" t="s">
        <v>8</v>
      </c>
      <c r="B47" s="29">
        <f t="shared" ref="B47:D47" si="94">B44+B39+B33</f>
        <v>1161</v>
      </c>
      <c r="C47" s="29">
        <f t="shared" si="94"/>
        <v>1372</v>
      </c>
      <c r="D47" s="29">
        <f t="shared" si="94"/>
        <v>211</v>
      </c>
      <c r="E47" s="154"/>
      <c r="F47" s="29">
        <f>roundup(C47*1.05,0)</f>
        <v>1441</v>
      </c>
      <c r="G47" s="29">
        <f>roundup($C47*1.1,0)</f>
        <v>1510</v>
      </c>
      <c r="H47" s="179"/>
      <c r="I47" s="154"/>
      <c r="J47" s="29">
        <f t="shared" ref="J47:K47" si="95">J44+J39+J33</f>
        <v>-281</v>
      </c>
      <c r="K47" s="29">
        <f t="shared" si="95"/>
        <v>-350</v>
      </c>
      <c r="L47" s="179"/>
      <c r="M47" s="154"/>
      <c r="N47" s="29">
        <f>N44+N39+N33</f>
        <v>0</v>
      </c>
      <c r="O47" s="250"/>
      <c r="P47" s="154"/>
      <c r="Q47" s="154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</row>
    <row r="48">
      <c r="A48" s="251"/>
      <c r="B48" s="252"/>
      <c r="C48" s="252"/>
      <c r="D48" s="252"/>
      <c r="E48" s="253" t="s">
        <v>118</v>
      </c>
      <c r="F48" s="254">
        <f>400*(F47-$C47)</f>
        <v>27600</v>
      </c>
      <c r="G48" s="254">
        <f>500*(G47-$C47)</f>
        <v>69000</v>
      </c>
      <c r="H48" s="254"/>
      <c r="I48" s="253" t="s">
        <v>40</v>
      </c>
      <c r="J48" s="255">
        <f t="shared" ref="J48:K48" si="96">-J47/$X$35</f>
        <v>-4.194029851</v>
      </c>
      <c r="K48" s="255">
        <f t="shared" si="96"/>
        <v>-5.223880597</v>
      </c>
      <c r="L48" s="255"/>
      <c r="M48" s="252"/>
      <c r="N48" s="252"/>
      <c r="O48" s="256"/>
      <c r="P48" s="32"/>
      <c r="Q48" s="32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</row>
    <row r="50"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</row>
    <row r="51">
      <c r="A51" s="195" t="s">
        <v>119</v>
      </c>
      <c r="B51" s="46"/>
      <c r="C51" s="46"/>
      <c r="D51" s="46"/>
      <c r="E51" s="46"/>
      <c r="F51" s="46"/>
      <c r="G51" s="47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</row>
    <row r="52">
      <c r="A52" s="9"/>
      <c r="G52" s="14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</row>
    <row r="53">
      <c r="A53" s="15"/>
      <c r="B53" s="179" t="s">
        <v>37</v>
      </c>
      <c r="C53" s="179" t="s">
        <v>38</v>
      </c>
      <c r="D53" s="179" t="s">
        <v>85</v>
      </c>
      <c r="F53" s="179" t="s">
        <v>86</v>
      </c>
      <c r="G53" s="14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</row>
    <row r="54">
      <c r="A54" s="16" t="s">
        <v>13</v>
      </c>
      <c r="B54" s="96">
        <v>2.0</v>
      </c>
      <c r="C54" s="97">
        <v>2.0</v>
      </c>
      <c r="D54" s="198">
        <f t="shared" ref="D54:D57" si="97">C54-B54</f>
        <v>0</v>
      </c>
      <c r="F54" s="198">
        <v>0.0</v>
      </c>
      <c r="G54" s="14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</row>
    <row r="55">
      <c r="A55" s="16" t="s">
        <v>14</v>
      </c>
      <c r="B55" s="96">
        <v>1.0</v>
      </c>
      <c r="C55" s="97">
        <v>2.0</v>
      </c>
      <c r="D55" s="198">
        <f t="shared" si="97"/>
        <v>1</v>
      </c>
      <c r="F55" s="198">
        <v>0.0</v>
      </c>
      <c r="G55" s="14"/>
      <c r="I55" s="12">
        <v>2.0</v>
      </c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</row>
    <row r="56">
      <c r="A56" s="16" t="s">
        <v>15</v>
      </c>
      <c r="B56" s="96">
        <v>1.0</v>
      </c>
      <c r="C56" s="97">
        <v>2.0</v>
      </c>
      <c r="D56" s="198">
        <f t="shared" si="97"/>
        <v>1</v>
      </c>
      <c r="F56" s="198">
        <v>0.0</v>
      </c>
      <c r="G56" s="14"/>
    </row>
    <row r="57">
      <c r="A57" s="16" t="s">
        <v>16</v>
      </c>
      <c r="B57" s="96">
        <v>1.0</v>
      </c>
      <c r="C57" s="97">
        <v>2.0</v>
      </c>
      <c r="D57" s="198">
        <f t="shared" si="97"/>
        <v>1</v>
      </c>
      <c r="F57" s="198">
        <v>0.0</v>
      </c>
      <c r="G57" s="14"/>
    </row>
    <row r="58">
      <c r="A58" s="26" t="s">
        <v>17</v>
      </c>
      <c r="B58" s="29">
        <f t="shared" ref="B58:D58" si="98">sum(B54:B57)</f>
        <v>5</v>
      </c>
      <c r="C58" s="29">
        <f t="shared" si="98"/>
        <v>8</v>
      </c>
      <c r="D58" s="29">
        <f t="shared" si="98"/>
        <v>3</v>
      </c>
      <c r="F58" s="29">
        <f>sum(F54:F57)</f>
        <v>0</v>
      </c>
      <c r="G58" s="14"/>
    </row>
    <row r="59">
      <c r="A59" s="16"/>
      <c r="B59" s="116"/>
      <c r="C59" s="116"/>
      <c r="D59" s="116"/>
      <c r="F59" s="116"/>
      <c r="G59" s="14"/>
    </row>
    <row r="60">
      <c r="A60" s="16" t="s">
        <v>18</v>
      </c>
      <c r="B60" s="96">
        <v>1.0</v>
      </c>
      <c r="C60" s="97">
        <v>2.0</v>
      </c>
      <c r="D60" s="198">
        <f t="shared" ref="D60:D63" si="99">C60-B60</f>
        <v>1</v>
      </c>
      <c r="F60" s="198">
        <v>0.0</v>
      </c>
      <c r="G60" s="14"/>
      <c r="I60" s="12">
        <v>1.0</v>
      </c>
    </row>
    <row r="61">
      <c r="A61" s="16" t="s">
        <v>19</v>
      </c>
      <c r="B61" s="96">
        <v>1.0</v>
      </c>
      <c r="C61" s="97">
        <v>2.0</v>
      </c>
      <c r="D61" s="198">
        <f t="shared" si="99"/>
        <v>1</v>
      </c>
      <c r="F61" s="198">
        <v>0.0</v>
      </c>
      <c r="G61" s="14"/>
    </row>
    <row r="62">
      <c r="A62" s="16" t="s">
        <v>20</v>
      </c>
      <c r="B62" s="96">
        <v>1.0</v>
      </c>
      <c r="C62" s="97">
        <v>2.0</v>
      </c>
      <c r="D62" s="198">
        <f t="shared" si="99"/>
        <v>1</v>
      </c>
      <c r="F62" s="198">
        <v>0.0</v>
      </c>
      <c r="G62" s="14"/>
    </row>
    <row r="63">
      <c r="A63" s="16" t="s">
        <v>21</v>
      </c>
      <c r="B63" s="96">
        <v>2.0</v>
      </c>
      <c r="C63" s="97">
        <v>2.0</v>
      </c>
      <c r="D63" s="198">
        <f t="shared" si="99"/>
        <v>0</v>
      </c>
      <c r="F63" s="198">
        <v>0.0</v>
      </c>
      <c r="G63" s="14"/>
    </row>
    <row r="64">
      <c r="A64" s="26" t="s">
        <v>22</v>
      </c>
      <c r="B64" s="29">
        <f t="shared" ref="B64:D64" si="100">sum(B60:B63)</f>
        <v>5</v>
      </c>
      <c r="C64" s="29">
        <f t="shared" si="100"/>
        <v>8</v>
      </c>
      <c r="D64" s="29">
        <f t="shared" si="100"/>
        <v>3</v>
      </c>
      <c r="F64" s="29">
        <f>sum(F60:F63)</f>
        <v>0</v>
      </c>
      <c r="G64" s="14"/>
    </row>
    <row r="65">
      <c r="A65" s="16"/>
      <c r="B65" s="116"/>
      <c r="C65" s="116"/>
      <c r="D65" s="116"/>
      <c r="F65" s="116"/>
      <c r="G65" s="14"/>
    </row>
    <row r="66">
      <c r="A66" s="16" t="s">
        <v>23</v>
      </c>
      <c r="B66" s="96">
        <v>1.0</v>
      </c>
      <c r="C66" s="97">
        <v>3.0</v>
      </c>
      <c r="D66" s="198">
        <f t="shared" ref="D66:D68" si="101">C66-B66</f>
        <v>2</v>
      </c>
      <c r="F66" s="198">
        <v>0.0</v>
      </c>
      <c r="G66" s="14"/>
      <c r="I66" s="12">
        <v>2.0</v>
      </c>
    </row>
    <row r="67">
      <c r="A67" s="16" t="s">
        <v>24</v>
      </c>
      <c r="B67" s="96">
        <f>S42+T42</f>
        <v>0</v>
      </c>
      <c r="C67" s="97">
        <v>2.0</v>
      </c>
      <c r="D67" s="198">
        <f t="shared" si="101"/>
        <v>2</v>
      </c>
      <c r="F67" s="198">
        <v>0.0</v>
      </c>
      <c r="G67" s="14"/>
    </row>
    <row r="68">
      <c r="A68" s="16" t="s">
        <v>25</v>
      </c>
      <c r="B68" s="96">
        <v>1.0</v>
      </c>
      <c r="C68" s="97">
        <v>1.0</v>
      </c>
      <c r="D68" s="198">
        <f t="shared" si="101"/>
        <v>0</v>
      </c>
      <c r="F68" s="198">
        <v>0.0</v>
      </c>
      <c r="G68" s="14"/>
    </row>
    <row r="69">
      <c r="A69" s="26" t="s">
        <v>26</v>
      </c>
      <c r="B69" s="29">
        <f t="shared" ref="B69:D69" si="102">sum(B66:B68)</f>
        <v>2</v>
      </c>
      <c r="C69" s="29">
        <f t="shared" si="102"/>
        <v>6</v>
      </c>
      <c r="D69" s="29">
        <f t="shared" si="102"/>
        <v>4</v>
      </c>
      <c r="F69" s="29">
        <f>sum(F66:F68)</f>
        <v>0</v>
      </c>
      <c r="G69" s="14"/>
    </row>
    <row r="70">
      <c r="A70" s="26"/>
      <c r="B70" s="32"/>
      <c r="C70" s="32"/>
      <c r="D70" s="32"/>
      <c r="F70" s="32"/>
      <c r="G70" s="14"/>
    </row>
    <row r="71">
      <c r="A71" s="26"/>
      <c r="B71" s="154"/>
      <c r="C71" s="154"/>
      <c r="D71" s="154"/>
      <c r="F71" s="154"/>
      <c r="G71" s="14"/>
    </row>
    <row r="72">
      <c r="A72" s="26" t="s">
        <v>8</v>
      </c>
      <c r="B72" s="29">
        <f t="shared" ref="B72:D72" si="103">B69+B64+B58</f>
        <v>12</v>
      </c>
      <c r="C72" s="29">
        <f t="shared" si="103"/>
        <v>22</v>
      </c>
      <c r="D72" s="29">
        <f t="shared" si="103"/>
        <v>10</v>
      </c>
      <c r="F72" s="29">
        <f>F69+F64+F58</f>
        <v>0</v>
      </c>
      <c r="G72" s="14"/>
    </row>
    <row r="73">
      <c r="A73" s="201"/>
      <c r="B73" s="202"/>
      <c r="C73" s="202"/>
      <c r="D73" s="202"/>
      <c r="E73" s="202"/>
      <c r="F73" s="202"/>
      <c r="G73" s="203"/>
    </row>
    <row r="75">
      <c r="A75" s="187" t="s">
        <v>52</v>
      </c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8"/>
      <c r="U75" s="110" t="s">
        <v>29</v>
      </c>
      <c r="V75" s="111" t="s">
        <v>30</v>
      </c>
    </row>
    <row r="76">
      <c r="A76" s="13"/>
      <c r="B76" s="190"/>
      <c r="C76" s="89" t="str">
        <f>C4</f>
        <v>JANUARY</v>
      </c>
      <c r="D76" s="90"/>
      <c r="E76" s="90"/>
      <c r="F76" s="90"/>
      <c r="G76" s="89" t="str">
        <f>H4</f>
        <v>FEBRUARY</v>
      </c>
      <c r="H76" s="90"/>
      <c r="I76" s="90"/>
      <c r="J76" s="90"/>
      <c r="K76" s="89" t="str">
        <f>M4</f>
        <v>MARCH</v>
      </c>
      <c r="L76" s="90"/>
      <c r="M76" s="90"/>
      <c r="N76" s="90"/>
      <c r="O76" s="136"/>
      <c r="P76" s="178"/>
      <c r="Q76" s="91" t="s">
        <v>8</v>
      </c>
      <c r="R76" s="90"/>
      <c r="S76" s="90"/>
      <c r="T76" s="92"/>
      <c r="V76" s="136"/>
    </row>
    <row r="77">
      <c r="A77" s="15"/>
      <c r="B77" s="190"/>
      <c r="C77" s="179" t="s">
        <v>54</v>
      </c>
      <c r="D77" s="179" t="s">
        <v>55</v>
      </c>
      <c r="E77" s="179" t="s">
        <v>37</v>
      </c>
      <c r="F77" s="179" t="s">
        <v>56</v>
      </c>
      <c r="G77" s="179" t="s">
        <v>54</v>
      </c>
      <c r="H77" s="179" t="s">
        <v>55</v>
      </c>
      <c r="I77" s="179" t="s">
        <v>37</v>
      </c>
      <c r="J77" s="179" t="s">
        <v>56</v>
      </c>
      <c r="K77" s="179" t="s">
        <v>54</v>
      </c>
      <c r="L77" s="179" t="s">
        <v>55</v>
      </c>
      <c r="M77" s="179" t="s">
        <v>37</v>
      </c>
      <c r="N77" s="179" t="s">
        <v>56</v>
      </c>
      <c r="O77" s="204"/>
      <c r="P77" s="179"/>
      <c r="Q77" s="179" t="s">
        <v>54</v>
      </c>
      <c r="R77" s="179" t="s">
        <v>55</v>
      </c>
      <c r="S77" s="179" t="s">
        <v>37</v>
      </c>
      <c r="T77" s="181" t="s">
        <v>56</v>
      </c>
      <c r="V77" s="136"/>
    </row>
    <row r="78">
      <c r="A78" s="95" t="s">
        <v>13</v>
      </c>
      <c r="B78" s="190"/>
      <c r="C78" s="17">
        <v>85.0</v>
      </c>
      <c r="D78" s="17"/>
      <c r="E78" s="96">
        <f t="shared" ref="E78:E81" si="105">SUM(C78:D78)</f>
        <v>85</v>
      </c>
      <c r="F78" s="97">
        <v>140.0</v>
      </c>
      <c r="G78" s="98">
        <v>90.0</v>
      </c>
      <c r="H78" s="17">
        <v>0.0</v>
      </c>
      <c r="I78" s="96">
        <f t="shared" ref="I78:I81" si="106">SUM(G78:H78)</f>
        <v>90</v>
      </c>
      <c r="J78" s="97">
        <v>82.0</v>
      </c>
      <c r="K78" s="98">
        <v>456.0</v>
      </c>
      <c r="L78" s="17">
        <v>0.0</v>
      </c>
      <c r="M78" s="96">
        <f t="shared" ref="M78:M81" si="107">SUM(K78:L78)</f>
        <v>456</v>
      </c>
      <c r="N78" s="97">
        <v>280.0</v>
      </c>
      <c r="O78" s="32"/>
      <c r="P78" s="99" t="str">
        <f t="shared" ref="P78:P92" si="108">B78</f>
        <v/>
      </c>
      <c r="Q78" s="31">
        <f t="shared" ref="Q78:R78" si="104">K78+G78+C78</f>
        <v>631</v>
      </c>
      <c r="R78" s="31">
        <f t="shared" si="104"/>
        <v>0</v>
      </c>
      <c r="S78" s="96">
        <f t="shared" ref="S78:S81" si="110">sum(P78:R78)</f>
        <v>631</v>
      </c>
      <c r="T78" s="100">
        <f t="shared" ref="T78:T81" si="111">N78+J78+F78</f>
        <v>502</v>
      </c>
      <c r="U78" s="157">
        <v>45747.0</v>
      </c>
      <c r="V78" s="149" t="s">
        <v>75</v>
      </c>
    </row>
    <row r="79">
      <c r="A79" s="95" t="s">
        <v>14</v>
      </c>
      <c r="B79" s="190"/>
      <c r="C79" s="17">
        <v>3.0</v>
      </c>
      <c r="D79" s="17"/>
      <c r="E79" s="96">
        <f t="shared" si="105"/>
        <v>3</v>
      </c>
      <c r="F79" s="97">
        <v>22.0</v>
      </c>
      <c r="G79" s="98">
        <v>0.0</v>
      </c>
      <c r="H79" s="17"/>
      <c r="I79" s="96">
        <f t="shared" si="106"/>
        <v>0</v>
      </c>
      <c r="J79" s="97">
        <v>9.0</v>
      </c>
      <c r="K79" s="98">
        <v>10.0</v>
      </c>
      <c r="L79" s="17"/>
      <c r="M79" s="96">
        <f t="shared" si="107"/>
        <v>10</v>
      </c>
      <c r="N79" s="97">
        <v>49.0</v>
      </c>
      <c r="O79" s="32"/>
      <c r="P79" s="99" t="str">
        <f t="shared" si="108"/>
        <v/>
      </c>
      <c r="Q79" s="31">
        <f t="shared" ref="Q79:R79" si="109">K79+G79+C79</f>
        <v>13</v>
      </c>
      <c r="R79" s="31">
        <f t="shared" si="109"/>
        <v>0</v>
      </c>
      <c r="S79" s="96">
        <f t="shared" si="110"/>
        <v>13</v>
      </c>
      <c r="T79" s="100">
        <f t="shared" si="111"/>
        <v>80</v>
      </c>
      <c r="U79" s="157">
        <v>45747.0</v>
      </c>
      <c r="V79" s="149" t="s">
        <v>75</v>
      </c>
    </row>
    <row r="80">
      <c r="A80" s="95" t="s">
        <v>15</v>
      </c>
      <c r="B80" s="190"/>
      <c r="C80" s="17"/>
      <c r="D80" s="17"/>
      <c r="E80" s="96">
        <f t="shared" si="105"/>
        <v>0</v>
      </c>
      <c r="F80" s="97"/>
      <c r="G80" s="98"/>
      <c r="H80" s="17"/>
      <c r="I80" s="96">
        <f t="shared" si="106"/>
        <v>0</v>
      </c>
      <c r="J80" s="97"/>
      <c r="K80" s="98"/>
      <c r="L80" s="17"/>
      <c r="M80" s="96">
        <f t="shared" si="107"/>
        <v>0</v>
      </c>
      <c r="N80" s="97"/>
      <c r="O80" s="32"/>
      <c r="P80" s="99" t="str">
        <f t="shared" si="108"/>
        <v/>
      </c>
      <c r="Q80" s="31">
        <f t="shared" ref="Q80:R80" si="112">K80+G80+C80</f>
        <v>0</v>
      </c>
      <c r="R80" s="31">
        <f t="shared" si="112"/>
        <v>0</v>
      </c>
      <c r="S80" s="96">
        <f t="shared" si="110"/>
        <v>0</v>
      </c>
      <c r="T80" s="100">
        <f t="shared" si="111"/>
        <v>0</v>
      </c>
      <c r="U80" s="157">
        <v>45747.0</v>
      </c>
      <c r="V80" s="149" t="s">
        <v>75</v>
      </c>
    </row>
    <row r="81">
      <c r="A81" s="95" t="s">
        <v>16</v>
      </c>
      <c r="B81" s="190"/>
      <c r="C81" s="17"/>
      <c r="D81" s="17"/>
      <c r="E81" s="96">
        <f t="shared" si="105"/>
        <v>0</v>
      </c>
      <c r="F81" s="97"/>
      <c r="G81" s="98"/>
      <c r="H81" s="17"/>
      <c r="I81" s="96">
        <f t="shared" si="106"/>
        <v>0</v>
      </c>
      <c r="J81" s="97"/>
      <c r="K81" s="98"/>
      <c r="L81" s="17"/>
      <c r="M81" s="96">
        <f t="shared" si="107"/>
        <v>0</v>
      </c>
      <c r="N81" s="97"/>
      <c r="O81" s="32"/>
      <c r="P81" s="99" t="str">
        <f t="shared" si="108"/>
        <v/>
      </c>
      <c r="Q81" s="31">
        <f t="shared" ref="Q81:R81" si="113">K81+G81+C81</f>
        <v>0</v>
      </c>
      <c r="R81" s="31">
        <f t="shared" si="113"/>
        <v>0</v>
      </c>
      <c r="S81" s="96">
        <f t="shared" si="110"/>
        <v>0</v>
      </c>
      <c r="T81" s="100">
        <f t="shared" si="111"/>
        <v>0</v>
      </c>
      <c r="U81" s="157">
        <v>45747.0</v>
      </c>
      <c r="V81" s="149" t="s">
        <v>75</v>
      </c>
    </row>
    <row r="82">
      <c r="A82" s="103" t="s">
        <v>17</v>
      </c>
      <c r="B82" s="190"/>
      <c r="C82" s="27">
        <f t="shared" ref="C82:N82" si="114">sum(C78:C81)</f>
        <v>88</v>
      </c>
      <c r="D82" s="27">
        <f t="shared" si="114"/>
        <v>0</v>
      </c>
      <c r="E82" s="27">
        <f t="shared" si="114"/>
        <v>88</v>
      </c>
      <c r="F82" s="27">
        <f t="shared" si="114"/>
        <v>162</v>
      </c>
      <c r="G82" s="27">
        <f t="shared" si="114"/>
        <v>90</v>
      </c>
      <c r="H82" s="27">
        <f t="shared" si="114"/>
        <v>0</v>
      </c>
      <c r="I82" s="27">
        <f t="shared" si="114"/>
        <v>90</v>
      </c>
      <c r="J82" s="27">
        <f t="shared" si="114"/>
        <v>91</v>
      </c>
      <c r="K82" s="27">
        <f t="shared" si="114"/>
        <v>466</v>
      </c>
      <c r="L82" s="27">
        <f t="shared" si="114"/>
        <v>0</v>
      </c>
      <c r="M82" s="27">
        <f t="shared" si="114"/>
        <v>466</v>
      </c>
      <c r="N82" s="27">
        <f t="shared" si="114"/>
        <v>329</v>
      </c>
      <c r="O82" s="32"/>
      <c r="P82" s="99" t="str">
        <f t="shared" si="108"/>
        <v/>
      </c>
      <c r="Q82" s="27">
        <f t="shared" ref="Q82:T82" si="115">sum(Q78:Q81)</f>
        <v>644</v>
      </c>
      <c r="R82" s="27">
        <f t="shared" si="115"/>
        <v>0</v>
      </c>
      <c r="S82" s="27">
        <f t="shared" si="115"/>
        <v>644</v>
      </c>
      <c r="T82" s="104">
        <f t="shared" si="115"/>
        <v>582</v>
      </c>
      <c r="V82" s="136"/>
    </row>
    <row r="83">
      <c r="A83" s="95" t="s">
        <v>18</v>
      </c>
      <c r="B83" s="190"/>
      <c r="C83" s="17" t="str">
        <f>'Regs Q2'!V128</f>
        <v/>
      </c>
      <c r="D83" s="31"/>
      <c r="E83" s="96">
        <f t="shared" ref="E83:E86" si="117">SUM(C83:D83)</f>
        <v>0</v>
      </c>
      <c r="F83" s="97"/>
      <c r="G83" s="98"/>
      <c r="H83" s="31"/>
      <c r="I83" s="96">
        <f t="shared" ref="I83:I86" si="118">SUM(G83:H83)</f>
        <v>0</v>
      </c>
      <c r="J83" s="97"/>
      <c r="K83" s="98"/>
      <c r="L83" s="31"/>
      <c r="M83" s="96">
        <f t="shared" ref="M83:M86" si="119">SUM(K83:L83)</f>
        <v>0</v>
      </c>
      <c r="N83" s="97"/>
      <c r="O83" s="32"/>
      <c r="P83" s="99" t="str">
        <f t="shared" si="108"/>
        <v/>
      </c>
      <c r="Q83" s="31">
        <f t="shared" ref="Q83:R83" si="116">K83+G83+C83</f>
        <v>0</v>
      </c>
      <c r="R83" s="31">
        <f t="shared" si="116"/>
        <v>0</v>
      </c>
      <c r="S83" s="96">
        <f t="shared" ref="S83:S86" si="120">sum(P83:R83)</f>
        <v>0</v>
      </c>
      <c r="T83" s="100">
        <f t="shared" ref="T83:T86" si="121">N83+J83+F83</f>
        <v>0</v>
      </c>
      <c r="U83" s="210">
        <v>45747.0</v>
      </c>
      <c r="V83" s="149" t="s">
        <v>48</v>
      </c>
    </row>
    <row r="84">
      <c r="A84" s="95" t="s">
        <v>19</v>
      </c>
      <c r="B84" s="190"/>
      <c r="C84" s="17">
        <v>29.0</v>
      </c>
      <c r="D84" s="31"/>
      <c r="E84" s="96">
        <f t="shared" si="117"/>
        <v>29</v>
      </c>
      <c r="F84" s="97">
        <v>25.0</v>
      </c>
      <c r="G84" s="98">
        <v>6.0</v>
      </c>
      <c r="H84" s="31">
        <v>0.0</v>
      </c>
      <c r="I84" s="96">
        <f t="shared" si="118"/>
        <v>6</v>
      </c>
      <c r="J84" s="97">
        <v>18.0</v>
      </c>
      <c r="K84" s="98">
        <v>36.0</v>
      </c>
      <c r="L84" s="31">
        <v>0.0</v>
      </c>
      <c r="M84" s="96">
        <f t="shared" si="119"/>
        <v>36</v>
      </c>
      <c r="N84" s="97">
        <v>66.0</v>
      </c>
      <c r="O84" s="32"/>
      <c r="P84" s="99" t="str">
        <f t="shared" si="108"/>
        <v/>
      </c>
      <c r="Q84" s="31">
        <f t="shared" ref="Q84:Q85" si="122">K84+G84+O92+C84</f>
        <v>71</v>
      </c>
      <c r="R84" s="31">
        <f>L84+H84+D84</f>
        <v>0</v>
      </c>
      <c r="S84" s="96">
        <f t="shared" si="120"/>
        <v>71</v>
      </c>
      <c r="T84" s="100">
        <f t="shared" si="121"/>
        <v>109</v>
      </c>
      <c r="U84" s="210">
        <v>45747.0</v>
      </c>
      <c r="V84" s="149" t="s">
        <v>48</v>
      </c>
    </row>
    <row r="85">
      <c r="A85" s="95" t="s">
        <v>20</v>
      </c>
      <c r="B85" s="190"/>
      <c r="C85" s="17" t="str">
        <f>'Regs Q2'!V130</f>
        <v/>
      </c>
      <c r="D85" s="31"/>
      <c r="E85" s="96">
        <f t="shared" si="117"/>
        <v>0</v>
      </c>
      <c r="F85" s="97"/>
      <c r="G85" s="98"/>
      <c r="H85" s="31"/>
      <c r="I85" s="96">
        <f t="shared" si="118"/>
        <v>0</v>
      </c>
      <c r="J85" s="97"/>
      <c r="K85" s="98"/>
      <c r="L85" s="31"/>
      <c r="M85" s="96">
        <f t="shared" si="119"/>
        <v>0</v>
      </c>
      <c r="N85" s="97"/>
      <c r="O85" s="32"/>
      <c r="P85" s="99" t="str">
        <f t="shared" si="108"/>
        <v/>
      </c>
      <c r="Q85" s="31">
        <f t="shared" si="122"/>
        <v>0</v>
      </c>
      <c r="R85" s="31">
        <v>0.0</v>
      </c>
      <c r="S85" s="96">
        <f t="shared" si="120"/>
        <v>0</v>
      </c>
      <c r="T85" s="100">
        <f t="shared" si="121"/>
        <v>0</v>
      </c>
      <c r="U85" s="210">
        <v>45747.0</v>
      </c>
      <c r="V85" s="149" t="s">
        <v>48</v>
      </c>
    </row>
    <row r="86">
      <c r="A86" s="95" t="s">
        <v>21</v>
      </c>
      <c r="B86" s="190"/>
      <c r="C86" s="17" t="str">
        <f>'Regs Q2'!V131</f>
        <v/>
      </c>
      <c r="D86" s="31"/>
      <c r="E86" s="96">
        <f t="shared" si="117"/>
        <v>0</v>
      </c>
      <c r="F86" s="97"/>
      <c r="G86" s="98" t="str">
        <f>'Regs Q2'!V108</f>
        <v/>
      </c>
      <c r="H86" s="31"/>
      <c r="I86" s="96">
        <f t="shared" si="118"/>
        <v>0</v>
      </c>
      <c r="J86" s="97"/>
      <c r="K86" s="98"/>
      <c r="L86" s="31"/>
      <c r="M86" s="96">
        <f t="shared" si="119"/>
        <v>0</v>
      </c>
      <c r="N86" s="97"/>
      <c r="O86" s="32"/>
      <c r="P86" s="99" t="str">
        <f t="shared" si="108"/>
        <v/>
      </c>
      <c r="Q86" s="31">
        <f t="shared" ref="Q86:R86" si="123">K86+G86+C86</f>
        <v>0</v>
      </c>
      <c r="R86" s="31">
        <f t="shared" si="123"/>
        <v>0</v>
      </c>
      <c r="S86" s="96">
        <f t="shared" si="120"/>
        <v>0</v>
      </c>
      <c r="T86" s="100">
        <f t="shared" si="121"/>
        <v>0</v>
      </c>
      <c r="U86" s="210">
        <v>45747.0</v>
      </c>
      <c r="V86" s="149" t="s">
        <v>48</v>
      </c>
    </row>
    <row r="87">
      <c r="A87" s="103" t="s">
        <v>22</v>
      </c>
      <c r="B87" s="190"/>
      <c r="C87" s="27">
        <f t="shared" ref="C87:N87" si="124">sum(C83:C86)</f>
        <v>29</v>
      </c>
      <c r="D87" s="27">
        <f t="shared" si="124"/>
        <v>0</v>
      </c>
      <c r="E87" s="27">
        <f t="shared" si="124"/>
        <v>29</v>
      </c>
      <c r="F87" s="27">
        <f t="shared" si="124"/>
        <v>25</v>
      </c>
      <c r="G87" s="27">
        <f t="shared" si="124"/>
        <v>6</v>
      </c>
      <c r="H87" s="27">
        <f t="shared" si="124"/>
        <v>0</v>
      </c>
      <c r="I87" s="27">
        <f t="shared" si="124"/>
        <v>6</v>
      </c>
      <c r="J87" s="27">
        <f t="shared" si="124"/>
        <v>18</v>
      </c>
      <c r="K87" s="27">
        <f t="shared" si="124"/>
        <v>36</v>
      </c>
      <c r="L87" s="27">
        <f t="shared" si="124"/>
        <v>0</v>
      </c>
      <c r="M87" s="27">
        <f t="shared" si="124"/>
        <v>36</v>
      </c>
      <c r="N87" s="27">
        <f t="shared" si="124"/>
        <v>66</v>
      </c>
      <c r="O87" s="32"/>
      <c r="P87" s="99" t="str">
        <f t="shared" si="108"/>
        <v/>
      </c>
      <c r="Q87" s="27">
        <f t="shared" ref="Q87:T87" si="125">sum(Q83:Q86)</f>
        <v>71</v>
      </c>
      <c r="R87" s="27">
        <f t="shared" si="125"/>
        <v>0</v>
      </c>
      <c r="S87" s="27">
        <f t="shared" si="125"/>
        <v>71</v>
      </c>
      <c r="T87" s="104">
        <f t="shared" si="125"/>
        <v>109</v>
      </c>
      <c r="V87" s="136"/>
    </row>
    <row r="88">
      <c r="A88" s="95" t="s">
        <v>23</v>
      </c>
      <c r="B88" s="190"/>
      <c r="C88" s="17">
        <v>19.0</v>
      </c>
      <c r="D88" s="31"/>
      <c r="E88" s="96">
        <f t="shared" ref="E88:E90" si="127">SUM(C88:D88)</f>
        <v>19</v>
      </c>
      <c r="F88" s="97">
        <v>44.0</v>
      </c>
      <c r="G88" s="98">
        <v>18.0</v>
      </c>
      <c r="H88" s="31">
        <v>0.0</v>
      </c>
      <c r="I88" s="96">
        <f t="shared" ref="I88:I90" si="128">SUM(G88:H88)</f>
        <v>18</v>
      </c>
      <c r="J88" s="97">
        <v>19.0</v>
      </c>
      <c r="K88" s="98">
        <v>80.0</v>
      </c>
      <c r="L88" s="31">
        <v>0.0</v>
      </c>
      <c r="M88" s="96">
        <f t="shared" ref="M88:M90" si="129">SUM(K88:L88)</f>
        <v>80</v>
      </c>
      <c r="N88" s="97">
        <v>100.0</v>
      </c>
      <c r="O88" s="32"/>
      <c r="P88" s="99" t="str">
        <f t="shared" si="108"/>
        <v/>
      </c>
      <c r="Q88" s="31">
        <f t="shared" ref="Q88:R88" si="126">K88+G88+C88</f>
        <v>117</v>
      </c>
      <c r="R88" s="31">
        <f t="shared" si="126"/>
        <v>0</v>
      </c>
      <c r="S88" s="96">
        <f t="shared" ref="S88:S90" si="131">sum(P88:R88)</f>
        <v>117</v>
      </c>
      <c r="T88" s="100">
        <f t="shared" ref="T88:T90" si="132">N88+J88+F88</f>
        <v>163</v>
      </c>
      <c r="U88" s="157">
        <v>45747.0</v>
      </c>
      <c r="V88" s="149" t="s">
        <v>77</v>
      </c>
    </row>
    <row r="89">
      <c r="A89" s="95" t="s">
        <v>24</v>
      </c>
      <c r="B89" s="190"/>
      <c r="C89" s="17"/>
      <c r="D89" s="31"/>
      <c r="E89" s="96">
        <f t="shared" si="127"/>
        <v>0</v>
      </c>
      <c r="F89" s="97"/>
      <c r="G89" s="98"/>
      <c r="H89" s="31"/>
      <c r="I89" s="96">
        <f t="shared" si="128"/>
        <v>0</v>
      </c>
      <c r="J89" s="97"/>
      <c r="K89" s="98">
        <v>2.0</v>
      </c>
      <c r="L89" s="31">
        <v>0.0</v>
      </c>
      <c r="M89" s="96">
        <f t="shared" si="129"/>
        <v>2</v>
      </c>
      <c r="N89" s="97"/>
      <c r="O89" s="32"/>
      <c r="P89" s="99" t="str">
        <f t="shared" si="108"/>
        <v/>
      </c>
      <c r="Q89" s="31">
        <f t="shared" ref="Q89:R89" si="130">K89+G89+C89</f>
        <v>2</v>
      </c>
      <c r="R89" s="31">
        <f t="shared" si="130"/>
        <v>0</v>
      </c>
      <c r="S89" s="96">
        <f t="shared" si="131"/>
        <v>2</v>
      </c>
      <c r="T89" s="100">
        <f t="shared" si="132"/>
        <v>0</v>
      </c>
      <c r="U89" s="12" t="s">
        <v>120</v>
      </c>
      <c r="V89" s="149" t="s">
        <v>77</v>
      </c>
    </row>
    <row r="90">
      <c r="A90" s="95" t="s">
        <v>25</v>
      </c>
      <c r="B90" s="190"/>
      <c r="C90" s="17" t="str">
        <f>'Regs Q2'!V135</f>
        <v/>
      </c>
      <c r="D90" s="31"/>
      <c r="E90" s="96">
        <f t="shared" si="127"/>
        <v>0</v>
      </c>
      <c r="F90" s="97"/>
      <c r="G90" s="98"/>
      <c r="H90" s="31"/>
      <c r="I90" s="96">
        <f t="shared" si="128"/>
        <v>0</v>
      </c>
      <c r="J90" s="97"/>
      <c r="K90" s="98" t="str">
        <f>'Regs Q2'!V89</f>
        <v/>
      </c>
      <c r="L90" s="31"/>
      <c r="M90" s="96">
        <f t="shared" si="129"/>
        <v>0</v>
      </c>
      <c r="N90" s="97"/>
      <c r="O90" s="32"/>
      <c r="P90" s="99" t="str">
        <f t="shared" si="108"/>
        <v/>
      </c>
      <c r="Q90" s="31">
        <f t="shared" ref="Q90:R90" si="133">K90+G90+C90</f>
        <v>0</v>
      </c>
      <c r="R90" s="31">
        <f t="shared" si="133"/>
        <v>0</v>
      </c>
      <c r="S90" s="96">
        <f t="shared" si="131"/>
        <v>0</v>
      </c>
      <c r="T90" s="100">
        <f t="shared" si="132"/>
        <v>0</v>
      </c>
      <c r="U90" s="157">
        <v>45747.0</v>
      </c>
      <c r="V90" s="149" t="s">
        <v>77</v>
      </c>
    </row>
    <row r="91">
      <c r="A91" s="103"/>
      <c r="B91" s="190"/>
      <c r="C91" s="27">
        <f t="shared" ref="C91:N91" si="134">sum(C88:C90)</f>
        <v>19</v>
      </c>
      <c r="D91" s="27">
        <f t="shared" si="134"/>
        <v>0</v>
      </c>
      <c r="E91" s="27">
        <f t="shared" si="134"/>
        <v>19</v>
      </c>
      <c r="F91" s="27">
        <f t="shared" si="134"/>
        <v>44</v>
      </c>
      <c r="G91" s="27">
        <f t="shared" si="134"/>
        <v>18</v>
      </c>
      <c r="H91" s="27">
        <f t="shared" si="134"/>
        <v>0</v>
      </c>
      <c r="I91" s="27">
        <f t="shared" si="134"/>
        <v>18</v>
      </c>
      <c r="J91" s="27">
        <f t="shared" si="134"/>
        <v>19</v>
      </c>
      <c r="K91" s="27">
        <f t="shared" si="134"/>
        <v>82</v>
      </c>
      <c r="L91" s="27">
        <f t="shared" si="134"/>
        <v>0</v>
      </c>
      <c r="M91" s="27">
        <f t="shared" si="134"/>
        <v>82</v>
      </c>
      <c r="N91" s="27">
        <f t="shared" si="134"/>
        <v>100</v>
      </c>
      <c r="O91" s="32"/>
      <c r="P91" s="99" t="str">
        <f t="shared" si="108"/>
        <v/>
      </c>
      <c r="Q91" s="27">
        <f t="shared" ref="Q91:T91" si="135">sum(Q88:Q90)</f>
        <v>119</v>
      </c>
      <c r="R91" s="27">
        <f t="shared" si="135"/>
        <v>0</v>
      </c>
      <c r="S91" s="27">
        <f t="shared" si="135"/>
        <v>119</v>
      </c>
      <c r="T91" s="104">
        <f t="shared" si="135"/>
        <v>163</v>
      </c>
      <c r="V91" s="136"/>
    </row>
    <row r="92">
      <c r="A92" s="103"/>
      <c r="B92" s="190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99" t="str">
        <f t="shared" si="108"/>
        <v/>
      </c>
      <c r="Q92" s="32"/>
      <c r="R92" s="32"/>
      <c r="S92" s="32"/>
      <c r="T92" s="107"/>
    </row>
    <row r="93">
      <c r="A93" s="13"/>
      <c r="B93" s="136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107"/>
    </row>
    <row r="94">
      <c r="A94" s="108" t="s">
        <v>8</v>
      </c>
      <c r="B94" s="205"/>
      <c r="C94" s="35">
        <f t="shared" ref="C94:N94" si="136">C91+C87+C82</f>
        <v>136</v>
      </c>
      <c r="D94" s="35">
        <f t="shared" si="136"/>
        <v>0</v>
      </c>
      <c r="E94" s="35">
        <f t="shared" si="136"/>
        <v>136</v>
      </c>
      <c r="F94" s="35">
        <f t="shared" si="136"/>
        <v>231</v>
      </c>
      <c r="G94" s="35">
        <f t="shared" si="136"/>
        <v>114</v>
      </c>
      <c r="H94" s="35">
        <f t="shared" si="136"/>
        <v>0</v>
      </c>
      <c r="I94" s="35">
        <f t="shared" si="136"/>
        <v>114</v>
      </c>
      <c r="J94" s="35">
        <f t="shared" si="136"/>
        <v>128</v>
      </c>
      <c r="K94" s="35">
        <f t="shared" si="136"/>
        <v>584</v>
      </c>
      <c r="L94" s="35">
        <f t="shared" si="136"/>
        <v>0</v>
      </c>
      <c r="M94" s="35">
        <f t="shared" si="136"/>
        <v>584</v>
      </c>
      <c r="N94" s="35">
        <f t="shared" si="136"/>
        <v>495</v>
      </c>
      <c r="O94" s="109"/>
      <c r="P94" s="109"/>
      <c r="Q94" s="35">
        <f t="shared" ref="Q94:T94" si="137">Q91+Q87+Q82</f>
        <v>834</v>
      </c>
      <c r="R94" s="35">
        <f t="shared" si="137"/>
        <v>0</v>
      </c>
      <c r="S94" s="35">
        <f t="shared" si="137"/>
        <v>834</v>
      </c>
      <c r="T94" s="37">
        <f t="shared" si="137"/>
        <v>854</v>
      </c>
    </row>
  </sheetData>
  <mergeCells count="14">
    <mergeCell ref="C27:F27"/>
    <mergeCell ref="A51:G51"/>
    <mergeCell ref="A75:T75"/>
    <mergeCell ref="C76:F76"/>
    <mergeCell ref="G76:J76"/>
    <mergeCell ref="K76:N76"/>
    <mergeCell ref="Q76:T76"/>
    <mergeCell ref="A3:V3"/>
    <mergeCell ref="C4:F4"/>
    <mergeCell ref="H4:K4"/>
    <mergeCell ref="M4:P4"/>
    <mergeCell ref="S4:V4"/>
    <mergeCell ref="A26:O26"/>
    <mergeCell ref="H27:K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13"/>
    <col customWidth="1" min="3" max="3" width="9.0"/>
    <col customWidth="1" min="4" max="4" width="8.88"/>
    <col customWidth="1" min="5" max="6" width="7.13"/>
    <col customWidth="1" min="7" max="7" width="9.5"/>
    <col customWidth="1" min="8" max="8" width="10.38"/>
    <col customWidth="1" min="9" max="10" width="7.13"/>
    <col customWidth="1" min="11" max="11" width="9.38"/>
    <col customWidth="1" min="12" max="12" width="9.75"/>
    <col customWidth="1" min="13" max="16" width="7.13"/>
    <col customWidth="1" min="17" max="17" width="10.13"/>
    <col customWidth="1" min="18" max="18" width="9.0"/>
    <col customWidth="1" min="19" max="21" width="7.13"/>
    <col customWidth="1" min="28" max="30" width="8.75"/>
    <col customWidth="1" min="31" max="31" width="10.5"/>
    <col customWidth="1" min="32" max="46" width="8.75"/>
  </cols>
  <sheetData>
    <row r="1">
      <c r="Y1" s="40"/>
    </row>
    <row r="3">
      <c r="A3" s="187" t="s">
        <v>28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8"/>
      <c r="U3" s="2"/>
      <c r="V3" s="257"/>
      <c r="W3" s="258"/>
      <c r="X3" s="259"/>
      <c r="Y3" s="110" t="s">
        <v>29</v>
      </c>
      <c r="Z3" s="111" t="s">
        <v>30</v>
      </c>
      <c r="AA3" s="187" t="s">
        <v>121</v>
      </c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8"/>
      <c r="AT3" s="226"/>
      <c r="AU3" s="110" t="s">
        <v>29</v>
      </c>
      <c r="AV3" s="111" t="s">
        <v>30</v>
      </c>
    </row>
    <row r="4">
      <c r="A4" s="13"/>
      <c r="B4" s="190"/>
      <c r="C4" s="89" t="s">
        <v>122</v>
      </c>
      <c r="D4" s="90"/>
      <c r="E4" s="90"/>
      <c r="F4" s="90"/>
      <c r="G4" s="91" t="s">
        <v>123</v>
      </c>
      <c r="H4" s="90"/>
      <c r="I4" s="90"/>
      <c r="J4" s="90"/>
      <c r="K4" s="91" t="s">
        <v>124</v>
      </c>
      <c r="L4" s="90"/>
      <c r="M4" s="90"/>
      <c r="N4" s="90"/>
      <c r="O4" s="136"/>
      <c r="P4" s="178"/>
      <c r="Q4" s="91" t="s">
        <v>8</v>
      </c>
      <c r="R4" s="90"/>
      <c r="S4" s="90"/>
      <c r="T4" s="92"/>
      <c r="U4" s="9"/>
      <c r="V4" s="9"/>
      <c r="X4" s="14"/>
      <c r="Z4" s="136"/>
      <c r="AA4" s="13"/>
      <c r="AB4" s="190"/>
      <c r="AC4" s="89" t="s">
        <v>125</v>
      </c>
      <c r="AD4" s="90"/>
      <c r="AE4" s="90"/>
      <c r="AF4" s="91" t="s">
        <v>60</v>
      </c>
      <c r="AG4" s="90"/>
      <c r="AH4" s="90"/>
      <c r="AI4" s="90"/>
      <c r="AJ4" s="91" t="s">
        <v>126</v>
      </c>
      <c r="AK4" s="90"/>
      <c r="AL4" s="90"/>
      <c r="AM4" s="90"/>
      <c r="AN4" s="90"/>
      <c r="AO4" s="136"/>
      <c r="AP4" s="178"/>
      <c r="AQ4" s="91" t="s">
        <v>8</v>
      </c>
      <c r="AR4" s="90"/>
      <c r="AS4" s="92"/>
      <c r="AT4" s="138"/>
    </row>
    <row r="5">
      <c r="A5" s="15"/>
      <c r="B5" s="179" t="s">
        <v>7</v>
      </c>
      <c r="C5" s="179" t="s">
        <v>34</v>
      </c>
      <c r="D5" s="179" t="s">
        <v>36</v>
      </c>
      <c r="E5" s="179" t="s">
        <v>37</v>
      </c>
      <c r="F5" s="179" t="s">
        <v>38</v>
      </c>
      <c r="G5" s="179" t="s">
        <v>34</v>
      </c>
      <c r="H5" s="179" t="s">
        <v>36</v>
      </c>
      <c r="I5" s="179" t="s">
        <v>37</v>
      </c>
      <c r="J5" s="179" t="s">
        <v>38</v>
      </c>
      <c r="K5" s="179" t="s">
        <v>34</v>
      </c>
      <c r="L5" s="179" t="s">
        <v>36</v>
      </c>
      <c r="M5" s="179" t="s">
        <v>37</v>
      </c>
      <c r="N5" s="179" t="s">
        <v>38</v>
      </c>
      <c r="O5" s="204"/>
      <c r="P5" s="179" t="s">
        <v>7</v>
      </c>
      <c r="Q5" s="179" t="s">
        <v>34</v>
      </c>
      <c r="R5" s="179" t="s">
        <v>36</v>
      </c>
      <c r="S5" s="179" t="s">
        <v>37</v>
      </c>
      <c r="T5" s="181" t="s">
        <v>38</v>
      </c>
      <c r="U5" s="182" t="s">
        <v>39</v>
      </c>
      <c r="V5" s="142" t="s">
        <v>41</v>
      </c>
      <c r="W5" s="8" t="s">
        <v>9</v>
      </c>
      <c r="X5" s="11" t="s">
        <v>42</v>
      </c>
      <c r="Z5" s="260"/>
      <c r="AA5" s="15"/>
      <c r="AB5" s="179" t="s">
        <v>7</v>
      </c>
      <c r="AC5" s="179" t="s">
        <v>127</v>
      </c>
      <c r="AD5" s="179" t="s">
        <v>37</v>
      </c>
      <c r="AE5" s="179" t="s">
        <v>38</v>
      </c>
      <c r="AF5" s="179" t="s">
        <v>127</v>
      </c>
      <c r="AG5" s="179" t="s">
        <v>128</v>
      </c>
      <c r="AH5" s="179" t="s">
        <v>37</v>
      </c>
      <c r="AI5" s="179" t="s">
        <v>38</v>
      </c>
      <c r="AJ5" s="179" t="s">
        <v>129</v>
      </c>
      <c r="AK5" s="179" t="s">
        <v>130</v>
      </c>
      <c r="AL5" s="179" t="s">
        <v>127</v>
      </c>
      <c r="AM5" s="179" t="s">
        <v>37</v>
      </c>
      <c r="AN5" s="179" t="s">
        <v>38</v>
      </c>
      <c r="AO5" s="204"/>
      <c r="AP5" s="179" t="s">
        <v>7</v>
      </c>
      <c r="AQ5" s="179" t="s">
        <v>131</v>
      </c>
      <c r="AR5" s="179" t="s">
        <v>37</v>
      </c>
      <c r="AS5" s="181" t="s">
        <v>38</v>
      </c>
      <c r="AT5" s="228" t="s">
        <v>39</v>
      </c>
      <c r="AV5" s="260"/>
    </row>
    <row r="6">
      <c r="A6" s="16" t="s">
        <v>13</v>
      </c>
      <c r="B6" s="216">
        <f>-'2024 - Q3'!U6</f>
        <v>70</v>
      </c>
      <c r="C6" s="17">
        <v>60.0</v>
      </c>
      <c r="D6" s="17">
        <v>3.0</v>
      </c>
      <c r="E6" s="96">
        <f t="shared" ref="E6:E9" si="2">SUM(C6:D6)</f>
        <v>63</v>
      </c>
      <c r="F6" s="245">
        <f>Targets!H2</f>
        <v>34</v>
      </c>
      <c r="G6" s="261">
        <v>37.0</v>
      </c>
      <c r="H6" s="17">
        <v>4.0</v>
      </c>
      <c r="I6" s="96">
        <f t="shared" ref="I6:I9" si="3">SUM(G6:H6)</f>
        <v>41</v>
      </c>
      <c r="J6" s="245">
        <f>Targets!I2</f>
        <v>40</v>
      </c>
      <c r="K6" s="261">
        <v>31.0</v>
      </c>
      <c r="L6" s="17"/>
      <c r="M6" s="96">
        <f t="shared" ref="M6:M9" si="4">SUM(K6:L6)</f>
        <v>31</v>
      </c>
      <c r="N6" s="245">
        <f>Targets!J2</f>
        <v>25</v>
      </c>
      <c r="O6" s="31"/>
      <c r="P6" s="217">
        <f t="shared" ref="P6:P9" si="5">B6</f>
        <v>70</v>
      </c>
      <c r="Q6" s="31">
        <f t="shared" ref="Q6:R6" si="1">K6+G6+C6</f>
        <v>128</v>
      </c>
      <c r="R6" s="31">
        <f t="shared" si="1"/>
        <v>7</v>
      </c>
      <c r="S6" s="218">
        <f t="shared" ref="S6:S9" si="7">sum(P6:R6)</f>
        <v>205</v>
      </c>
      <c r="T6" s="262">
        <f t="shared" ref="T6:T9" si="8">N6+J6+F6</f>
        <v>99</v>
      </c>
      <c r="U6" s="219">
        <f t="shared" ref="U6:U9" si="9">T6-S6</f>
        <v>-106</v>
      </c>
      <c r="V6" s="16">
        <f t="shared" ref="V6:V9" si="10">R6+Q6</f>
        <v>135</v>
      </c>
      <c r="W6" s="263">
        <f t="shared" ref="W6:W9" si="11">T6</f>
        <v>99</v>
      </c>
      <c r="X6" s="264">
        <f t="shared" ref="X6:X9" si="12">(Q6+R6)/T6</f>
        <v>1.363636364</v>
      </c>
      <c r="Y6" s="265">
        <v>45663.0</v>
      </c>
      <c r="Z6" s="240" t="s">
        <v>132</v>
      </c>
      <c r="AA6" s="95" t="s">
        <v>13</v>
      </c>
      <c r="AB6" s="216">
        <f>Targets!AC30</f>
        <v>5</v>
      </c>
      <c r="AC6" s="17">
        <v>1.0</v>
      </c>
      <c r="AD6" s="96">
        <f t="shared" ref="AD6:AD9" si="13">SUM(AC6)</f>
        <v>1</v>
      </c>
      <c r="AE6" s="97">
        <f>Targets!T43+Targets!U43</f>
        <v>8</v>
      </c>
      <c r="AF6" s="261">
        <v>1.0</v>
      </c>
      <c r="AG6" s="17">
        <v>2.0</v>
      </c>
      <c r="AH6" s="96">
        <f t="shared" ref="AH6:AH9" si="14">AG6+AF6</f>
        <v>3</v>
      </c>
      <c r="AI6" s="97">
        <f>Targets!V43</f>
        <v>1</v>
      </c>
      <c r="AJ6" s="17">
        <v>2.0</v>
      </c>
      <c r="AK6" s="17">
        <v>7.0</v>
      </c>
      <c r="AM6" s="96">
        <f>sum(AJ6:AK6)</f>
        <v>9</v>
      </c>
      <c r="AN6" s="97" t="str">
        <f>Targets!W43</f>
        <v/>
      </c>
      <c r="AO6" s="32"/>
      <c r="AP6" s="217">
        <f t="shared" ref="AP6:AP9" si="15">AB6</f>
        <v>5</v>
      </c>
      <c r="AQ6" s="31">
        <f t="shared" ref="AQ6:AQ9" si="16">AM6+AH6+AD6</f>
        <v>13</v>
      </c>
      <c r="AR6" s="218">
        <f t="shared" ref="AR6:AR9" si="17">AQ6+AP6</f>
        <v>18</v>
      </c>
      <c r="AS6" s="100">
        <f t="shared" ref="AS6:AS9" si="18">AN6+AI6+AE6</f>
        <v>9</v>
      </c>
      <c r="AT6" s="266">
        <f t="shared" ref="AT6:AT9" si="19">AS6-AR6</f>
        <v>-9</v>
      </c>
      <c r="AU6" s="265">
        <v>45657.0</v>
      </c>
      <c r="AV6" s="240" t="s">
        <v>57</v>
      </c>
    </row>
    <row r="7">
      <c r="A7" s="16" t="s">
        <v>14</v>
      </c>
      <c r="B7" s="216">
        <f>-'2024 - Q3'!U7</f>
        <v>-94</v>
      </c>
      <c r="C7" s="17">
        <v>30.0</v>
      </c>
      <c r="D7" s="17">
        <v>0.0</v>
      </c>
      <c r="E7" s="96">
        <f t="shared" si="2"/>
        <v>30</v>
      </c>
      <c r="F7" s="245">
        <f>Targets!H3</f>
        <v>28</v>
      </c>
      <c r="G7" s="261">
        <v>19.0</v>
      </c>
      <c r="H7" s="17"/>
      <c r="I7" s="96">
        <f t="shared" si="3"/>
        <v>19</v>
      </c>
      <c r="J7" s="245">
        <f>Targets!I3</f>
        <v>37</v>
      </c>
      <c r="K7" s="261">
        <v>26.0</v>
      </c>
      <c r="L7" s="17"/>
      <c r="M7" s="96">
        <f t="shared" si="4"/>
        <v>26</v>
      </c>
      <c r="N7" s="245">
        <f>Targets!J3</f>
        <v>29</v>
      </c>
      <c r="O7" s="31"/>
      <c r="P7" s="217">
        <f t="shared" si="5"/>
        <v>-94</v>
      </c>
      <c r="Q7" s="31">
        <f t="shared" ref="Q7:R7" si="6">K7+G7+C7</f>
        <v>75</v>
      </c>
      <c r="R7" s="31">
        <f t="shared" si="6"/>
        <v>0</v>
      </c>
      <c r="S7" s="218">
        <f t="shared" si="7"/>
        <v>-19</v>
      </c>
      <c r="T7" s="262">
        <f t="shared" si="8"/>
        <v>94</v>
      </c>
      <c r="U7" s="219">
        <f t="shared" si="9"/>
        <v>113</v>
      </c>
      <c r="V7" s="16">
        <f t="shared" si="10"/>
        <v>75</v>
      </c>
      <c r="W7" s="263">
        <f t="shared" si="11"/>
        <v>94</v>
      </c>
      <c r="X7" s="264">
        <f t="shared" si="12"/>
        <v>0.7978723404</v>
      </c>
      <c r="Y7" s="265">
        <v>45663.0</v>
      </c>
      <c r="Z7" s="240" t="s">
        <v>132</v>
      </c>
      <c r="AA7" s="95" t="s">
        <v>14</v>
      </c>
      <c r="AB7" s="216">
        <f>Targets!AC27</f>
        <v>3</v>
      </c>
      <c r="AC7" s="17">
        <v>0.0</v>
      </c>
      <c r="AD7" s="96">
        <f t="shared" si="13"/>
        <v>0</v>
      </c>
      <c r="AE7" s="97">
        <f>Targets!T44+Targets!U44</f>
        <v>7</v>
      </c>
      <c r="AF7" s="261">
        <v>3.0</v>
      </c>
      <c r="AG7" s="17"/>
      <c r="AH7" s="96">
        <f t="shared" si="14"/>
        <v>3</v>
      </c>
      <c r="AI7" s="97">
        <f>Targets!V44</f>
        <v>1</v>
      </c>
      <c r="AJ7" s="17"/>
      <c r="AK7" s="17"/>
      <c r="AL7" s="17"/>
      <c r="AM7" s="96">
        <f t="shared" ref="AM7:AM9" si="21">sum(AJ7:AL7)</f>
        <v>0</v>
      </c>
      <c r="AN7" s="97" t="str">
        <f>Targets!W44</f>
        <v/>
      </c>
      <c r="AO7" s="32"/>
      <c r="AP7" s="217">
        <f t="shared" si="15"/>
        <v>3</v>
      </c>
      <c r="AQ7" s="31">
        <f t="shared" si="16"/>
        <v>3</v>
      </c>
      <c r="AR7" s="218">
        <f t="shared" si="17"/>
        <v>6</v>
      </c>
      <c r="AS7" s="100">
        <f t="shared" si="18"/>
        <v>8</v>
      </c>
      <c r="AT7" s="266">
        <f t="shared" si="19"/>
        <v>2</v>
      </c>
      <c r="AU7" s="265">
        <v>45657.0</v>
      </c>
      <c r="AV7" s="240" t="s">
        <v>57</v>
      </c>
    </row>
    <row r="8">
      <c r="A8" s="16" t="s">
        <v>15</v>
      </c>
      <c r="B8" s="216">
        <f>-'2024 - Q3'!U8</f>
        <v>6</v>
      </c>
      <c r="C8" s="17">
        <v>27.0</v>
      </c>
      <c r="D8" s="207"/>
      <c r="E8" s="96">
        <f t="shared" si="2"/>
        <v>27</v>
      </c>
      <c r="F8" s="245">
        <f>Targets!H4</f>
        <v>19</v>
      </c>
      <c r="G8" s="261">
        <v>31.0</v>
      </c>
      <c r="H8" s="17"/>
      <c r="I8" s="96">
        <f t="shared" si="3"/>
        <v>31</v>
      </c>
      <c r="J8" s="245">
        <f>Targets!I4</f>
        <v>26</v>
      </c>
      <c r="K8" s="261">
        <v>16.0</v>
      </c>
      <c r="L8" s="17"/>
      <c r="M8" s="96">
        <f t="shared" si="4"/>
        <v>16</v>
      </c>
      <c r="N8" s="245">
        <f>Targets!J4</f>
        <v>20</v>
      </c>
      <c r="O8" s="31"/>
      <c r="P8" s="217">
        <f t="shared" si="5"/>
        <v>6</v>
      </c>
      <c r="Q8" s="31">
        <f t="shared" ref="Q8:R8" si="20">K8+G8+C8</f>
        <v>74</v>
      </c>
      <c r="R8" s="31">
        <f t="shared" si="20"/>
        <v>0</v>
      </c>
      <c r="S8" s="218">
        <f t="shared" si="7"/>
        <v>80</v>
      </c>
      <c r="T8" s="262">
        <f t="shared" si="8"/>
        <v>65</v>
      </c>
      <c r="U8" s="219">
        <f t="shared" si="9"/>
        <v>-15</v>
      </c>
      <c r="V8" s="16">
        <f t="shared" si="10"/>
        <v>74</v>
      </c>
      <c r="W8" s="263">
        <f t="shared" si="11"/>
        <v>65</v>
      </c>
      <c r="X8" s="264">
        <f t="shared" si="12"/>
        <v>1.138461538</v>
      </c>
      <c r="Y8" s="265">
        <v>45663.0</v>
      </c>
      <c r="Z8" s="240" t="s">
        <v>132</v>
      </c>
      <c r="AA8" s="95" t="s">
        <v>15</v>
      </c>
      <c r="AB8" s="194">
        <v>8.0</v>
      </c>
      <c r="AC8" s="17">
        <v>0.0</v>
      </c>
      <c r="AD8" s="96">
        <f t="shared" si="13"/>
        <v>0</v>
      </c>
      <c r="AE8" s="97">
        <f>Targets!T45+Targets!U45</f>
        <v>5</v>
      </c>
      <c r="AF8" s="261">
        <v>2.0</v>
      </c>
      <c r="AG8" s="17">
        <v>2.0</v>
      </c>
      <c r="AH8" s="96">
        <f t="shared" si="14"/>
        <v>4</v>
      </c>
      <c r="AI8" s="97">
        <f>Targets!V45</f>
        <v>1</v>
      </c>
      <c r="AJ8" s="17"/>
      <c r="AK8" s="17"/>
      <c r="AL8" s="17">
        <v>1.0</v>
      </c>
      <c r="AM8" s="96">
        <f t="shared" si="21"/>
        <v>1</v>
      </c>
      <c r="AN8" s="97" t="str">
        <f>Targets!W45</f>
        <v/>
      </c>
      <c r="AO8" s="32"/>
      <c r="AP8" s="99">
        <f t="shared" si="15"/>
        <v>8</v>
      </c>
      <c r="AQ8" s="31">
        <f t="shared" si="16"/>
        <v>5</v>
      </c>
      <c r="AR8" s="96">
        <f t="shared" si="17"/>
        <v>13</v>
      </c>
      <c r="AS8" s="100">
        <f t="shared" si="18"/>
        <v>6</v>
      </c>
      <c r="AT8" s="267">
        <f t="shared" si="19"/>
        <v>-7</v>
      </c>
      <c r="AU8" s="265">
        <v>45657.0</v>
      </c>
      <c r="AV8" s="240" t="s">
        <v>57</v>
      </c>
    </row>
    <row r="9">
      <c r="A9" s="16" t="s">
        <v>16</v>
      </c>
      <c r="B9" s="216">
        <f>-'2024 - Q3'!U9</f>
        <v>21</v>
      </c>
      <c r="C9" s="25">
        <v>39.0</v>
      </c>
      <c r="D9" s="268"/>
      <c r="E9" s="96">
        <f t="shared" si="2"/>
        <v>39</v>
      </c>
      <c r="F9" s="245">
        <f>Targets!H5</f>
        <v>26</v>
      </c>
      <c r="G9" s="261">
        <v>34.0</v>
      </c>
      <c r="H9" s="17"/>
      <c r="I9" s="96">
        <f t="shared" si="3"/>
        <v>34</v>
      </c>
      <c r="J9" s="245">
        <f>Targets!I5</f>
        <v>34</v>
      </c>
      <c r="K9" s="261">
        <v>24.0</v>
      </c>
      <c r="L9" s="17"/>
      <c r="M9" s="96">
        <f t="shared" si="4"/>
        <v>24</v>
      </c>
      <c r="N9" s="245">
        <f>Targets!J5</f>
        <v>24</v>
      </c>
      <c r="O9" s="31"/>
      <c r="P9" s="217">
        <f t="shared" si="5"/>
        <v>21</v>
      </c>
      <c r="Q9" s="31">
        <f t="shared" ref="Q9:R9" si="22">K9+G9+C9</f>
        <v>97</v>
      </c>
      <c r="R9" s="31">
        <f t="shared" si="22"/>
        <v>0</v>
      </c>
      <c r="S9" s="218">
        <f t="shared" si="7"/>
        <v>118</v>
      </c>
      <c r="T9" s="262">
        <f t="shared" si="8"/>
        <v>84</v>
      </c>
      <c r="U9" s="219">
        <f t="shared" si="9"/>
        <v>-34</v>
      </c>
      <c r="V9" s="16">
        <f t="shared" si="10"/>
        <v>97</v>
      </c>
      <c r="W9" s="263">
        <f t="shared" si="11"/>
        <v>84</v>
      </c>
      <c r="X9" s="264">
        <f t="shared" si="12"/>
        <v>1.154761905</v>
      </c>
      <c r="Y9" s="265">
        <v>45663.0</v>
      </c>
      <c r="Z9" s="240" t="s">
        <v>132</v>
      </c>
      <c r="AA9" s="95" t="s">
        <v>16</v>
      </c>
      <c r="AB9" s="216">
        <f>Targets!AC29</f>
        <v>1</v>
      </c>
      <c r="AC9" s="17">
        <v>1.0</v>
      </c>
      <c r="AD9" s="96">
        <f t="shared" si="13"/>
        <v>1</v>
      </c>
      <c r="AE9" s="97">
        <f>Targets!T46+Targets!U46</f>
        <v>6</v>
      </c>
      <c r="AF9" s="261">
        <v>1.0</v>
      </c>
      <c r="AG9" s="17"/>
      <c r="AH9" s="96">
        <f t="shared" si="14"/>
        <v>1</v>
      </c>
      <c r="AI9" s="97">
        <f>Targets!V46</f>
        <v>1</v>
      </c>
      <c r="AJ9" s="17"/>
      <c r="AK9" s="17"/>
      <c r="AL9" s="17"/>
      <c r="AM9" s="96">
        <f t="shared" si="21"/>
        <v>0</v>
      </c>
      <c r="AN9" s="97" t="str">
        <f>Targets!W46</f>
        <v/>
      </c>
      <c r="AO9" s="32"/>
      <c r="AP9" s="217">
        <f t="shared" si="15"/>
        <v>1</v>
      </c>
      <c r="AQ9" s="31">
        <f t="shared" si="16"/>
        <v>2</v>
      </c>
      <c r="AR9" s="218">
        <f t="shared" si="17"/>
        <v>3</v>
      </c>
      <c r="AS9" s="100">
        <f t="shared" si="18"/>
        <v>7</v>
      </c>
      <c r="AT9" s="266">
        <f t="shared" si="19"/>
        <v>4</v>
      </c>
      <c r="AU9" s="265">
        <v>45657.0</v>
      </c>
      <c r="AV9" s="240" t="s">
        <v>57</v>
      </c>
    </row>
    <row r="10">
      <c r="A10" s="26" t="s">
        <v>17</v>
      </c>
      <c r="B10" s="29">
        <f t="shared" ref="B10:N10" si="23">sum(B6:B9)</f>
        <v>3</v>
      </c>
      <c r="C10" s="27">
        <f t="shared" si="23"/>
        <v>156</v>
      </c>
      <c r="D10" s="27">
        <f t="shared" si="23"/>
        <v>3</v>
      </c>
      <c r="E10" s="27">
        <f t="shared" si="23"/>
        <v>159</v>
      </c>
      <c r="F10" s="29">
        <f t="shared" si="23"/>
        <v>107</v>
      </c>
      <c r="G10" s="27">
        <f t="shared" si="23"/>
        <v>121</v>
      </c>
      <c r="H10" s="27">
        <f t="shared" si="23"/>
        <v>4</v>
      </c>
      <c r="I10" s="27">
        <f t="shared" si="23"/>
        <v>125</v>
      </c>
      <c r="J10" s="29">
        <f t="shared" si="23"/>
        <v>137</v>
      </c>
      <c r="K10" s="27">
        <f t="shared" si="23"/>
        <v>97</v>
      </c>
      <c r="L10" s="27">
        <f t="shared" si="23"/>
        <v>0</v>
      </c>
      <c r="M10" s="27">
        <f t="shared" si="23"/>
        <v>97</v>
      </c>
      <c r="N10" s="29">
        <f t="shared" si="23"/>
        <v>98</v>
      </c>
      <c r="O10" s="32"/>
      <c r="P10" s="29">
        <f t="shared" ref="P10:W10" si="24">sum(P6:P9)</f>
        <v>3</v>
      </c>
      <c r="Q10" s="27">
        <f t="shared" si="24"/>
        <v>374</v>
      </c>
      <c r="R10" s="27">
        <f t="shared" si="24"/>
        <v>7</v>
      </c>
      <c r="S10" s="29">
        <f t="shared" si="24"/>
        <v>384</v>
      </c>
      <c r="T10" s="30">
        <f t="shared" si="24"/>
        <v>342</v>
      </c>
      <c r="U10" s="221">
        <f t="shared" si="24"/>
        <v>-42</v>
      </c>
      <c r="V10" s="155">
        <f t="shared" si="24"/>
        <v>381</v>
      </c>
      <c r="W10" s="29">
        <f t="shared" si="24"/>
        <v>342</v>
      </c>
      <c r="X10" s="269">
        <f>V10/W10</f>
        <v>1.114035088</v>
      </c>
      <c r="Y10" s="12">
        <v>8750</v>
      </c>
      <c r="Z10" s="260"/>
      <c r="AA10" s="103" t="s">
        <v>17</v>
      </c>
      <c r="AB10" s="29">
        <f t="shared" ref="AB10:AN10" si="25">sum(AB6:AB9)</f>
        <v>17</v>
      </c>
      <c r="AC10" s="27">
        <f t="shared" si="25"/>
        <v>2</v>
      </c>
      <c r="AD10" s="27">
        <f t="shared" si="25"/>
        <v>2</v>
      </c>
      <c r="AE10" s="27">
        <f t="shared" si="25"/>
        <v>26</v>
      </c>
      <c r="AF10" s="27">
        <f t="shared" si="25"/>
        <v>7</v>
      </c>
      <c r="AG10" s="27">
        <f t="shared" si="25"/>
        <v>4</v>
      </c>
      <c r="AH10" s="27">
        <f t="shared" si="25"/>
        <v>11</v>
      </c>
      <c r="AI10" s="27">
        <f t="shared" si="25"/>
        <v>4</v>
      </c>
      <c r="AJ10" s="27">
        <f t="shared" si="25"/>
        <v>2</v>
      </c>
      <c r="AK10" s="27">
        <f t="shared" si="25"/>
        <v>7</v>
      </c>
      <c r="AL10" s="27">
        <f t="shared" si="25"/>
        <v>1</v>
      </c>
      <c r="AM10" s="27">
        <f t="shared" si="25"/>
        <v>10</v>
      </c>
      <c r="AN10" s="27">
        <f t="shared" si="25"/>
        <v>0</v>
      </c>
      <c r="AO10" s="32"/>
      <c r="AP10" s="29">
        <f t="shared" ref="AP10:AT10" si="26">sum(AP6:AP9)</f>
        <v>17</v>
      </c>
      <c r="AQ10" s="27">
        <f t="shared" si="26"/>
        <v>23</v>
      </c>
      <c r="AR10" s="29">
        <f t="shared" si="26"/>
        <v>40</v>
      </c>
      <c r="AS10" s="104">
        <f t="shared" si="26"/>
        <v>30</v>
      </c>
      <c r="AT10" s="270">
        <f t="shared" si="26"/>
        <v>-10</v>
      </c>
      <c r="AV10" s="260"/>
    </row>
    <row r="11">
      <c r="A11" s="16" t="s">
        <v>18</v>
      </c>
      <c r="B11" s="216">
        <f>-'2024 - Q3'!U11</f>
        <v>16</v>
      </c>
      <c r="C11" s="31">
        <v>41.0</v>
      </c>
      <c r="D11" s="31"/>
      <c r="E11" s="96">
        <f t="shared" ref="E11:E14" si="28">SUM(C11:D11)</f>
        <v>41</v>
      </c>
      <c r="F11" s="245">
        <f>Targets!H7</f>
        <v>29</v>
      </c>
      <c r="G11" s="261">
        <v>25.0</v>
      </c>
      <c r="H11" s="17"/>
      <c r="I11" s="96">
        <f t="shared" ref="I11:I14" si="29">SUM(G11:H11)</f>
        <v>25</v>
      </c>
      <c r="J11" s="245">
        <f>Targets!I7</f>
        <v>34</v>
      </c>
      <c r="K11" s="261">
        <v>24.0</v>
      </c>
      <c r="L11" s="17">
        <v>8.0</v>
      </c>
      <c r="M11" s="96">
        <f t="shared" ref="M11:M14" si="30">SUM(K11:L11)</f>
        <v>32</v>
      </c>
      <c r="N11" s="245">
        <f>Targets!J7</f>
        <v>20</v>
      </c>
      <c r="O11" s="32"/>
      <c r="P11" s="99">
        <v>16.0</v>
      </c>
      <c r="Q11" s="31">
        <f t="shared" ref="Q11:R11" si="27">K11+G11+C11</f>
        <v>90</v>
      </c>
      <c r="R11" s="31">
        <f t="shared" si="27"/>
        <v>8</v>
      </c>
      <c r="S11" s="96">
        <f t="shared" ref="S11:S14" si="32">sum(P11:R11)</f>
        <v>114</v>
      </c>
      <c r="T11" s="262">
        <f t="shared" ref="T11:T14" si="33">N11+J11+F11</f>
        <v>83</v>
      </c>
      <c r="U11" s="219">
        <f t="shared" ref="U11:U14" si="34">T11-S11</f>
        <v>-31</v>
      </c>
      <c r="V11" s="16">
        <f t="shared" ref="V11:V14" si="35">R11+Q11</f>
        <v>98</v>
      </c>
      <c r="W11" s="263">
        <f t="shared" ref="W11:W14" si="36">T11</f>
        <v>83</v>
      </c>
      <c r="X11" s="264">
        <f t="shared" ref="X11:X14" si="37">(Q11+R11)/T11</f>
        <v>1.180722892</v>
      </c>
      <c r="Y11" s="265">
        <v>45656.0</v>
      </c>
      <c r="Z11" s="240" t="s">
        <v>48</v>
      </c>
      <c r="AA11" s="95" t="s">
        <v>18</v>
      </c>
      <c r="AB11" s="216">
        <f>Targets!AC33</f>
        <v>6</v>
      </c>
      <c r="AC11" s="17">
        <v>0.0</v>
      </c>
      <c r="AD11" s="96">
        <f t="shared" ref="AD11:AD14" si="38">SUM(AC11)</f>
        <v>0</v>
      </c>
      <c r="AE11" s="97">
        <f>Targets!T48+Targets!U48</f>
        <v>7</v>
      </c>
      <c r="AF11" s="31">
        <v>1.0</v>
      </c>
      <c r="AG11" s="31">
        <v>2.0</v>
      </c>
      <c r="AH11" s="96">
        <f t="shared" ref="AH11:AH14" si="39">AG11+AF11</f>
        <v>3</v>
      </c>
      <c r="AI11" s="97">
        <f>Targets!V48</f>
        <v>1</v>
      </c>
      <c r="AJ11" s="31"/>
      <c r="AK11" s="31"/>
      <c r="AL11" s="31">
        <v>1.0</v>
      </c>
      <c r="AM11" s="96">
        <f t="shared" ref="AM11:AM14" si="40">sum(AJ11:AL11)</f>
        <v>1</v>
      </c>
      <c r="AN11" s="97" t="str">
        <f>Targets!W48</f>
        <v/>
      </c>
      <c r="AO11" s="32"/>
      <c r="AP11" s="217">
        <f t="shared" ref="AP11:AP14" si="41">AB11</f>
        <v>6</v>
      </c>
      <c r="AQ11" s="31">
        <f t="shared" ref="AQ11:AQ14" si="42">AM11+AH11+AD11</f>
        <v>4</v>
      </c>
      <c r="AR11" s="218">
        <f t="shared" ref="AR11:AR14" si="43">AQ11+AP11</f>
        <v>10</v>
      </c>
      <c r="AS11" s="100">
        <f t="shared" ref="AS11:AS13" si="44">AN11+AI11+AE11</f>
        <v>8</v>
      </c>
      <c r="AT11" s="266">
        <f t="shared" ref="AT11:AT14" si="45">AS11-AR11</f>
        <v>-2</v>
      </c>
      <c r="AU11" s="265">
        <v>45656.0</v>
      </c>
      <c r="AV11" s="240" t="s">
        <v>48</v>
      </c>
    </row>
    <row r="12">
      <c r="A12" s="16" t="s">
        <v>19</v>
      </c>
      <c r="B12" s="216">
        <f>-'2024 - Q3'!U12</f>
        <v>4</v>
      </c>
      <c r="C12" s="31">
        <v>33.0</v>
      </c>
      <c r="D12" s="31"/>
      <c r="E12" s="96">
        <f t="shared" si="28"/>
        <v>33</v>
      </c>
      <c r="F12" s="245">
        <f>Targets!H8</f>
        <v>22</v>
      </c>
      <c r="G12" s="261">
        <v>35.0</v>
      </c>
      <c r="H12" s="17">
        <v>1.0</v>
      </c>
      <c r="I12" s="96">
        <f t="shared" si="29"/>
        <v>36</v>
      </c>
      <c r="J12" s="245">
        <f>Targets!I8</f>
        <v>31</v>
      </c>
      <c r="K12" s="261">
        <v>37.0</v>
      </c>
      <c r="L12" s="17">
        <v>2.0</v>
      </c>
      <c r="M12" s="96">
        <f t="shared" si="30"/>
        <v>39</v>
      </c>
      <c r="N12" s="245">
        <f>Targets!J8</f>
        <v>21</v>
      </c>
      <c r="O12" s="32"/>
      <c r="P12" s="217">
        <f t="shared" ref="P12:P14" si="46">B12</f>
        <v>4</v>
      </c>
      <c r="Q12" s="31">
        <f t="shared" ref="Q12:R12" si="31">K12+G12+C12</f>
        <v>105</v>
      </c>
      <c r="R12" s="31">
        <f t="shared" si="31"/>
        <v>3</v>
      </c>
      <c r="S12" s="218">
        <f t="shared" si="32"/>
        <v>112</v>
      </c>
      <c r="T12" s="262">
        <f t="shared" si="33"/>
        <v>74</v>
      </c>
      <c r="U12" s="219">
        <f t="shared" si="34"/>
        <v>-38</v>
      </c>
      <c r="V12" s="16">
        <f t="shared" si="35"/>
        <v>108</v>
      </c>
      <c r="W12" s="263">
        <f t="shared" si="36"/>
        <v>74</v>
      </c>
      <c r="X12" s="264">
        <f t="shared" si="37"/>
        <v>1.459459459</v>
      </c>
      <c r="Y12" s="265">
        <v>45656.0</v>
      </c>
      <c r="Z12" s="240" t="s">
        <v>48</v>
      </c>
      <c r="AA12" s="95" t="s">
        <v>19</v>
      </c>
      <c r="AB12" s="216">
        <f>Targets!AC32</f>
        <v>2</v>
      </c>
      <c r="AC12" s="17">
        <v>0.0</v>
      </c>
      <c r="AD12" s="96">
        <f t="shared" si="38"/>
        <v>0</v>
      </c>
      <c r="AE12" s="97">
        <f>Targets!T49+Targets!U49</f>
        <v>7</v>
      </c>
      <c r="AF12" s="31">
        <v>1.0</v>
      </c>
      <c r="AG12" s="31"/>
      <c r="AH12" s="96">
        <f t="shared" si="39"/>
        <v>1</v>
      </c>
      <c r="AI12" s="97">
        <f>Targets!V49</f>
        <v>1</v>
      </c>
      <c r="AJ12" s="31">
        <v>2.0</v>
      </c>
      <c r="AK12" s="31"/>
      <c r="AL12" s="31"/>
      <c r="AM12" s="96">
        <f t="shared" si="40"/>
        <v>2</v>
      </c>
      <c r="AN12" s="97" t="str">
        <f>Targets!W49</f>
        <v/>
      </c>
      <c r="AO12" s="32"/>
      <c r="AP12" s="217">
        <f t="shared" si="41"/>
        <v>2</v>
      </c>
      <c r="AQ12" s="31">
        <f t="shared" si="42"/>
        <v>3</v>
      </c>
      <c r="AR12" s="218">
        <f t="shared" si="43"/>
        <v>5</v>
      </c>
      <c r="AS12" s="100">
        <f t="shared" si="44"/>
        <v>8</v>
      </c>
      <c r="AT12" s="266">
        <f t="shared" si="45"/>
        <v>3</v>
      </c>
      <c r="AU12" s="265">
        <v>45656.0</v>
      </c>
      <c r="AV12" s="240" t="s">
        <v>48</v>
      </c>
    </row>
    <row r="13">
      <c r="A13" s="16" t="s">
        <v>20</v>
      </c>
      <c r="B13" s="216">
        <f>-'2024 - Q3'!U13</f>
        <v>29</v>
      </c>
      <c r="C13" s="31">
        <v>35.0</v>
      </c>
      <c r="D13" s="31"/>
      <c r="E13" s="96">
        <f t="shared" si="28"/>
        <v>35</v>
      </c>
      <c r="F13" s="245">
        <f>Targets!H9</f>
        <v>20</v>
      </c>
      <c r="G13" s="261">
        <v>23.0</v>
      </c>
      <c r="H13" s="17">
        <v>0.0</v>
      </c>
      <c r="I13" s="96">
        <f t="shared" si="29"/>
        <v>23</v>
      </c>
      <c r="J13" s="245">
        <f>Targets!I9</f>
        <v>21</v>
      </c>
      <c r="K13" s="261">
        <v>23.0</v>
      </c>
      <c r="L13" s="17">
        <v>1.0</v>
      </c>
      <c r="M13" s="96">
        <f t="shared" si="30"/>
        <v>24</v>
      </c>
      <c r="N13" s="245">
        <f>Targets!J9</f>
        <v>13</v>
      </c>
      <c r="O13" s="32"/>
      <c r="P13" s="217">
        <f t="shared" si="46"/>
        <v>29</v>
      </c>
      <c r="Q13" s="31">
        <f t="shared" ref="Q13:R13" si="47">K13+G13+C13</f>
        <v>81</v>
      </c>
      <c r="R13" s="31">
        <f t="shared" si="47"/>
        <v>1</v>
      </c>
      <c r="S13" s="218">
        <f t="shared" si="32"/>
        <v>111</v>
      </c>
      <c r="T13" s="262">
        <f t="shared" si="33"/>
        <v>54</v>
      </c>
      <c r="U13" s="219">
        <f t="shared" si="34"/>
        <v>-57</v>
      </c>
      <c r="V13" s="16">
        <f t="shared" si="35"/>
        <v>82</v>
      </c>
      <c r="W13" s="263">
        <f t="shared" si="36"/>
        <v>54</v>
      </c>
      <c r="X13" s="264">
        <f t="shared" si="37"/>
        <v>1.518518519</v>
      </c>
      <c r="Y13" s="265">
        <v>45656.0</v>
      </c>
      <c r="Z13" s="240" t="s">
        <v>48</v>
      </c>
      <c r="AA13" s="95" t="s">
        <v>20</v>
      </c>
      <c r="AB13" s="216">
        <f>Targets!AC31</f>
        <v>2</v>
      </c>
      <c r="AC13" s="17">
        <v>1.0</v>
      </c>
      <c r="AD13" s="96">
        <f t="shared" si="38"/>
        <v>1</v>
      </c>
      <c r="AE13" s="97">
        <f>Targets!T50+Targets!U50</f>
        <v>5</v>
      </c>
      <c r="AF13" s="31">
        <v>0.0</v>
      </c>
      <c r="AG13" s="31">
        <v>2.0</v>
      </c>
      <c r="AH13" s="96">
        <f t="shared" si="39"/>
        <v>2</v>
      </c>
      <c r="AI13" s="97">
        <f>Targets!V50</f>
        <v>1</v>
      </c>
      <c r="AJ13" s="31"/>
      <c r="AK13" s="31">
        <v>3.0</v>
      </c>
      <c r="AL13" s="31"/>
      <c r="AM13" s="96">
        <f t="shared" si="40"/>
        <v>3</v>
      </c>
      <c r="AN13" s="97" t="str">
        <f>Targets!W50</f>
        <v/>
      </c>
      <c r="AO13" s="32"/>
      <c r="AP13" s="217">
        <f t="shared" si="41"/>
        <v>2</v>
      </c>
      <c r="AQ13" s="31">
        <f t="shared" si="42"/>
        <v>6</v>
      </c>
      <c r="AR13" s="218">
        <f t="shared" si="43"/>
        <v>8</v>
      </c>
      <c r="AS13" s="100">
        <f t="shared" si="44"/>
        <v>6</v>
      </c>
      <c r="AT13" s="266">
        <f t="shared" si="45"/>
        <v>-2</v>
      </c>
      <c r="AU13" s="265">
        <v>45656.0</v>
      </c>
      <c r="AV13" s="240" t="s">
        <v>48</v>
      </c>
    </row>
    <row r="14">
      <c r="A14" s="16" t="s">
        <v>21</v>
      </c>
      <c r="B14" s="216">
        <f>-'2024 - Q3'!U14</f>
        <v>1</v>
      </c>
      <c r="C14" s="31">
        <v>54.0</v>
      </c>
      <c r="D14" s="31"/>
      <c r="E14" s="96">
        <f t="shared" si="28"/>
        <v>54</v>
      </c>
      <c r="F14" s="245">
        <f>Targets!H10</f>
        <v>33</v>
      </c>
      <c r="G14" s="261">
        <v>47.0</v>
      </c>
      <c r="H14" s="17"/>
      <c r="I14" s="96">
        <f t="shared" si="29"/>
        <v>47</v>
      </c>
      <c r="J14" s="245">
        <f>Targets!I10</f>
        <v>45</v>
      </c>
      <c r="K14" s="261">
        <v>32.0</v>
      </c>
      <c r="L14" s="17">
        <v>6.0</v>
      </c>
      <c r="M14" s="96">
        <f t="shared" si="30"/>
        <v>38</v>
      </c>
      <c r="N14" s="245">
        <f>Targets!J10</f>
        <v>27</v>
      </c>
      <c r="O14" s="32"/>
      <c r="P14" s="217">
        <f t="shared" si="46"/>
        <v>1</v>
      </c>
      <c r="Q14" s="31">
        <f t="shared" ref="Q14:R14" si="48">K14+G14+C14</f>
        <v>133</v>
      </c>
      <c r="R14" s="31">
        <f t="shared" si="48"/>
        <v>6</v>
      </c>
      <c r="S14" s="218">
        <f t="shared" si="32"/>
        <v>140</v>
      </c>
      <c r="T14" s="262">
        <f t="shared" si="33"/>
        <v>105</v>
      </c>
      <c r="U14" s="219">
        <f t="shared" si="34"/>
        <v>-35</v>
      </c>
      <c r="V14" s="16">
        <f t="shared" si="35"/>
        <v>139</v>
      </c>
      <c r="W14" s="263">
        <f t="shared" si="36"/>
        <v>105</v>
      </c>
      <c r="X14" s="264">
        <f t="shared" si="37"/>
        <v>1.323809524</v>
      </c>
      <c r="Y14" s="265">
        <v>45656.0</v>
      </c>
      <c r="Z14" s="240" t="s">
        <v>48</v>
      </c>
      <c r="AA14" s="95" t="s">
        <v>21</v>
      </c>
      <c r="AB14" s="216">
        <f>Targets!AC34</f>
        <v>7</v>
      </c>
      <c r="AC14" s="17">
        <v>1.0</v>
      </c>
      <c r="AD14" s="96">
        <f t="shared" si="38"/>
        <v>1</v>
      </c>
      <c r="AE14" s="97">
        <f>Targets!T51+Targets!U51</f>
        <v>9</v>
      </c>
      <c r="AF14" s="31">
        <v>0.0</v>
      </c>
      <c r="AG14" s="31"/>
      <c r="AH14" s="96">
        <f t="shared" si="39"/>
        <v>0</v>
      </c>
      <c r="AI14" s="97">
        <f>Targets!V51</f>
        <v>2</v>
      </c>
      <c r="AJ14" s="31"/>
      <c r="AK14" s="31">
        <v>1.0</v>
      </c>
      <c r="AL14" s="31"/>
      <c r="AM14" s="96">
        <f t="shared" si="40"/>
        <v>1</v>
      </c>
      <c r="AN14" s="97" t="str">
        <f>Targets!W51</f>
        <v/>
      </c>
      <c r="AO14" s="32"/>
      <c r="AP14" s="217">
        <f t="shared" si="41"/>
        <v>7</v>
      </c>
      <c r="AQ14" s="31">
        <f t="shared" si="42"/>
        <v>2</v>
      </c>
      <c r="AR14" s="218">
        <f t="shared" si="43"/>
        <v>9</v>
      </c>
      <c r="AS14" s="100">
        <v>9.0</v>
      </c>
      <c r="AT14" s="266">
        <f t="shared" si="45"/>
        <v>0</v>
      </c>
      <c r="AU14" s="265">
        <v>45656.0</v>
      </c>
      <c r="AV14" s="240" t="s">
        <v>48</v>
      </c>
    </row>
    <row r="15">
      <c r="A15" s="26" t="s">
        <v>22</v>
      </c>
      <c r="B15" s="29">
        <f t="shared" ref="B15:N15" si="49">sum(B11:B14)</f>
        <v>50</v>
      </c>
      <c r="C15" s="27">
        <f t="shared" si="49"/>
        <v>163</v>
      </c>
      <c r="D15" s="27">
        <f t="shared" si="49"/>
        <v>0</v>
      </c>
      <c r="E15" s="27">
        <f t="shared" si="49"/>
        <v>163</v>
      </c>
      <c r="F15" s="29">
        <f t="shared" si="49"/>
        <v>104</v>
      </c>
      <c r="G15" s="27">
        <f t="shared" si="49"/>
        <v>130</v>
      </c>
      <c r="H15" s="27">
        <f t="shared" si="49"/>
        <v>1</v>
      </c>
      <c r="I15" s="27">
        <f t="shared" si="49"/>
        <v>131</v>
      </c>
      <c r="J15" s="29">
        <f t="shared" si="49"/>
        <v>131</v>
      </c>
      <c r="K15" s="27">
        <f t="shared" si="49"/>
        <v>116</v>
      </c>
      <c r="L15" s="27">
        <f t="shared" si="49"/>
        <v>17</v>
      </c>
      <c r="M15" s="27">
        <f t="shared" si="49"/>
        <v>133</v>
      </c>
      <c r="N15" s="29">
        <f t="shared" si="49"/>
        <v>81</v>
      </c>
      <c r="O15" s="32"/>
      <c r="P15" s="27">
        <f t="shared" ref="P15:W15" si="50">sum(P11:P14)</f>
        <v>50</v>
      </c>
      <c r="Q15" s="27">
        <f t="shared" si="50"/>
        <v>409</v>
      </c>
      <c r="R15" s="27">
        <f t="shared" si="50"/>
        <v>18</v>
      </c>
      <c r="S15" s="27">
        <f t="shared" si="50"/>
        <v>477</v>
      </c>
      <c r="T15" s="30">
        <f t="shared" si="50"/>
        <v>316</v>
      </c>
      <c r="U15" s="221">
        <f t="shared" si="50"/>
        <v>-161</v>
      </c>
      <c r="V15" s="155">
        <f t="shared" si="50"/>
        <v>427</v>
      </c>
      <c r="W15" s="29">
        <f t="shared" si="50"/>
        <v>316</v>
      </c>
      <c r="X15" s="269">
        <f>V15/W15</f>
        <v>1.351265823</v>
      </c>
      <c r="Y15" s="20">
        <v>78000</v>
      </c>
      <c r="Z15" s="260"/>
      <c r="AA15" s="103" t="s">
        <v>22</v>
      </c>
      <c r="AB15" s="29">
        <f t="shared" ref="AB15:AN15" si="51">sum(AB11:AB14)</f>
        <v>17</v>
      </c>
      <c r="AC15" s="27">
        <f t="shared" si="51"/>
        <v>2</v>
      </c>
      <c r="AD15" s="27">
        <f t="shared" si="51"/>
        <v>2</v>
      </c>
      <c r="AE15" s="27">
        <f t="shared" si="51"/>
        <v>28</v>
      </c>
      <c r="AF15" s="27">
        <f t="shared" si="51"/>
        <v>2</v>
      </c>
      <c r="AG15" s="27">
        <f t="shared" si="51"/>
        <v>4</v>
      </c>
      <c r="AH15" s="27">
        <f t="shared" si="51"/>
        <v>6</v>
      </c>
      <c r="AI15" s="27">
        <f t="shared" si="51"/>
        <v>5</v>
      </c>
      <c r="AJ15" s="27">
        <f t="shared" si="51"/>
        <v>2</v>
      </c>
      <c r="AK15" s="27">
        <f t="shared" si="51"/>
        <v>4</v>
      </c>
      <c r="AL15" s="27">
        <f t="shared" si="51"/>
        <v>1</v>
      </c>
      <c r="AM15" s="27">
        <f t="shared" si="51"/>
        <v>7</v>
      </c>
      <c r="AN15" s="27">
        <f t="shared" si="51"/>
        <v>0</v>
      </c>
      <c r="AO15" s="32"/>
      <c r="AP15" s="29">
        <f t="shared" ref="AP15:AT15" si="52">sum(AP11:AP14)</f>
        <v>17</v>
      </c>
      <c r="AQ15" s="27">
        <f t="shared" si="52"/>
        <v>15</v>
      </c>
      <c r="AR15" s="29">
        <f t="shared" si="52"/>
        <v>32</v>
      </c>
      <c r="AS15" s="104">
        <f t="shared" si="52"/>
        <v>31</v>
      </c>
      <c r="AT15" s="270">
        <f t="shared" si="52"/>
        <v>-1</v>
      </c>
      <c r="AV15" s="260"/>
    </row>
    <row r="16">
      <c r="A16" s="16" t="s">
        <v>23</v>
      </c>
      <c r="B16" s="216">
        <f>-'2024 - Q3'!U16</f>
        <v>12</v>
      </c>
      <c r="C16" s="31">
        <v>30.0</v>
      </c>
      <c r="D16" s="31">
        <v>4.0</v>
      </c>
      <c r="E16" s="96">
        <f t="shared" ref="E16:E18" si="54">SUM(C16:D16)</f>
        <v>34</v>
      </c>
      <c r="F16" s="245">
        <f>Targets!H12</f>
        <v>20</v>
      </c>
      <c r="G16" s="261">
        <v>21.0</v>
      </c>
      <c r="H16" s="17">
        <v>8.0</v>
      </c>
      <c r="I16" s="96">
        <f t="shared" ref="I16:I18" si="55">SUM(G16:H16)</f>
        <v>29</v>
      </c>
      <c r="J16" s="245">
        <f>Targets!I12</f>
        <v>31</v>
      </c>
      <c r="K16" s="261">
        <v>17.0</v>
      </c>
      <c r="L16" s="17">
        <v>6.0</v>
      </c>
      <c r="M16" s="96">
        <f t="shared" ref="M16:M18" si="56">SUM(K16:L16)</f>
        <v>23</v>
      </c>
      <c r="N16" s="245">
        <f>Targets!J12</f>
        <v>24</v>
      </c>
      <c r="O16" s="32"/>
      <c r="P16" s="217">
        <f t="shared" ref="P16:P18" si="57">B16</f>
        <v>12</v>
      </c>
      <c r="Q16" s="31">
        <f t="shared" ref="Q16:R16" si="53">K16+G16+C16</f>
        <v>68</v>
      </c>
      <c r="R16" s="31">
        <f t="shared" si="53"/>
        <v>18</v>
      </c>
      <c r="S16" s="218">
        <f t="shared" ref="S16:S18" si="59">sum(P16:R16)</f>
        <v>98</v>
      </c>
      <c r="T16" s="262">
        <f t="shared" ref="T16:T18" si="60">N16+J16+F16</f>
        <v>75</v>
      </c>
      <c r="U16" s="219">
        <f t="shared" ref="U16:U18" si="61">T16-S16</f>
        <v>-23</v>
      </c>
      <c r="V16" s="16">
        <f t="shared" ref="V16:V18" si="62">R16+Q16</f>
        <v>86</v>
      </c>
      <c r="W16" s="263">
        <f t="shared" ref="W16:W18" si="63">T16</f>
        <v>75</v>
      </c>
      <c r="X16" s="264">
        <f t="shared" ref="X16:X18" si="64">(Q16+R16)/T16</f>
        <v>1.146666667</v>
      </c>
      <c r="Y16" s="265">
        <v>45657.0</v>
      </c>
      <c r="Z16" s="240" t="s">
        <v>77</v>
      </c>
      <c r="AA16" s="95" t="s">
        <v>23</v>
      </c>
      <c r="AB16" s="216">
        <f>Targets!AC35</f>
        <v>3</v>
      </c>
      <c r="AC16" s="17">
        <v>0.0</v>
      </c>
      <c r="AD16" s="96">
        <f t="shared" ref="AD16:AD18" si="65">SUM(AC16)</f>
        <v>0</v>
      </c>
      <c r="AE16" s="97">
        <f>Targets!T53+Targets!U53</f>
        <v>6</v>
      </c>
      <c r="AF16" s="31">
        <v>0.0</v>
      </c>
      <c r="AG16" s="31"/>
      <c r="AH16" s="96">
        <f t="shared" ref="AH16:AH18" si="66">AG16+AF16</f>
        <v>0</v>
      </c>
      <c r="AI16" s="97">
        <f>Targets!V53</f>
        <v>1</v>
      </c>
      <c r="AJ16" s="31"/>
      <c r="AK16" s="31">
        <v>1.0</v>
      </c>
      <c r="AL16" s="31">
        <v>1.0</v>
      </c>
      <c r="AM16" s="96">
        <f t="shared" ref="AM16:AM18" si="67">sum(AJ16:AL16)</f>
        <v>2</v>
      </c>
      <c r="AN16" s="97" t="str">
        <f>Targets!W53</f>
        <v/>
      </c>
      <c r="AO16" s="32"/>
      <c r="AP16" s="217">
        <f t="shared" ref="AP16:AP18" si="68">AB16</f>
        <v>3</v>
      </c>
      <c r="AQ16" s="31">
        <f t="shared" ref="AQ16:AQ18" si="69">AM16+AH16+AD16</f>
        <v>2</v>
      </c>
      <c r="AR16" s="218">
        <f t="shared" ref="AR16:AR18" si="70">AQ16+AP16</f>
        <v>5</v>
      </c>
      <c r="AS16" s="100">
        <f t="shared" ref="AS16:AS18" si="71">AN16+AI16+AE16</f>
        <v>7</v>
      </c>
      <c r="AT16" s="266">
        <f t="shared" ref="AT16:AT18" si="72">AS16-AR16</f>
        <v>2</v>
      </c>
      <c r="AU16" s="265">
        <v>45657.0</v>
      </c>
      <c r="AV16" s="240" t="s">
        <v>77</v>
      </c>
    </row>
    <row r="17">
      <c r="A17" s="16" t="s">
        <v>24</v>
      </c>
      <c r="B17" s="216">
        <f>-'2024 - Q3'!U17</f>
        <v>-15</v>
      </c>
      <c r="C17" s="31">
        <v>34.0</v>
      </c>
      <c r="D17" s="31">
        <v>9.0</v>
      </c>
      <c r="E17" s="96">
        <f t="shared" si="54"/>
        <v>43</v>
      </c>
      <c r="F17" s="245">
        <f>Targets!H13</f>
        <v>28</v>
      </c>
      <c r="G17" s="261">
        <v>36.0</v>
      </c>
      <c r="H17" s="17">
        <v>1.0</v>
      </c>
      <c r="I17" s="96">
        <f t="shared" si="55"/>
        <v>37</v>
      </c>
      <c r="J17" s="245">
        <f>Targets!I13</f>
        <v>36</v>
      </c>
      <c r="K17" s="261">
        <v>31.0</v>
      </c>
      <c r="L17" s="17"/>
      <c r="M17" s="96">
        <f t="shared" si="56"/>
        <v>31</v>
      </c>
      <c r="N17" s="245">
        <f>Targets!J13</f>
        <v>24</v>
      </c>
      <c r="O17" s="32"/>
      <c r="P17" s="217">
        <f t="shared" si="57"/>
        <v>-15</v>
      </c>
      <c r="Q17" s="31">
        <f t="shared" ref="Q17:R17" si="58">K17+G17+C17</f>
        <v>101</v>
      </c>
      <c r="R17" s="31">
        <f t="shared" si="58"/>
        <v>10</v>
      </c>
      <c r="S17" s="218">
        <f t="shared" si="59"/>
        <v>96</v>
      </c>
      <c r="T17" s="262">
        <f t="shared" si="60"/>
        <v>88</v>
      </c>
      <c r="U17" s="219">
        <f t="shared" si="61"/>
        <v>-8</v>
      </c>
      <c r="V17" s="16">
        <f t="shared" si="62"/>
        <v>111</v>
      </c>
      <c r="W17" s="263">
        <f t="shared" si="63"/>
        <v>88</v>
      </c>
      <c r="X17" s="264">
        <f t="shared" si="64"/>
        <v>1.261363636</v>
      </c>
      <c r="Y17" s="265">
        <v>45657.0</v>
      </c>
      <c r="Z17" s="240" t="s">
        <v>77</v>
      </c>
      <c r="AA17" s="95" t="s">
        <v>24</v>
      </c>
      <c r="AB17" s="216">
        <f>Targets!AC36</f>
        <v>4</v>
      </c>
      <c r="AC17" s="17">
        <v>0.0</v>
      </c>
      <c r="AD17" s="96">
        <f t="shared" si="65"/>
        <v>0</v>
      </c>
      <c r="AE17" s="97">
        <f>Targets!T54+Targets!U54</f>
        <v>7</v>
      </c>
      <c r="AF17" s="31">
        <v>2.0</v>
      </c>
      <c r="AG17" s="31"/>
      <c r="AH17" s="96">
        <f t="shared" si="66"/>
        <v>2</v>
      </c>
      <c r="AI17" s="97">
        <f>Targets!V54</f>
        <v>1</v>
      </c>
      <c r="AJ17" s="31"/>
      <c r="AK17" s="31"/>
      <c r="AL17" s="31">
        <v>1.0</v>
      </c>
      <c r="AM17" s="96">
        <f t="shared" si="67"/>
        <v>1</v>
      </c>
      <c r="AN17" s="97" t="str">
        <f>Targets!W54</f>
        <v/>
      </c>
      <c r="AO17" s="32"/>
      <c r="AP17" s="217">
        <f t="shared" si="68"/>
        <v>4</v>
      </c>
      <c r="AQ17" s="31">
        <f t="shared" si="69"/>
        <v>3</v>
      </c>
      <c r="AR17" s="218">
        <f t="shared" si="70"/>
        <v>7</v>
      </c>
      <c r="AS17" s="100">
        <f t="shared" si="71"/>
        <v>8</v>
      </c>
      <c r="AT17" s="266">
        <f t="shared" si="72"/>
        <v>1</v>
      </c>
      <c r="AU17" s="265">
        <v>45657.0</v>
      </c>
      <c r="AV17" s="240" t="s">
        <v>77</v>
      </c>
    </row>
    <row r="18">
      <c r="A18" s="16" t="s">
        <v>25</v>
      </c>
      <c r="B18" s="216">
        <f>-'2024 - Q3'!U18</f>
        <v>4</v>
      </c>
      <c r="C18" s="31">
        <v>15.0</v>
      </c>
      <c r="D18" s="31">
        <v>1.0</v>
      </c>
      <c r="E18" s="96">
        <f t="shared" si="54"/>
        <v>16</v>
      </c>
      <c r="F18" s="245">
        <f>Targets!H14</f>
        <v>9</v>
      </c>
      <c r="G18" s="261">
        <v>14.0</v>
      </c>
      <c r="H18" s="17"/>
      <c r="I18" s="96">
        <f t="shared" si="55"/>
        <v>14</v>
      </c>
      <c r="J18" s="245">
        <f>Targets!I14</f>
        <v>16</v>
      </c>
      <c r="K18" s="261">
        <v>14.0</v>
      </c>
      <c r="L18" s="17">
        <v>2.0</v>
      </c>
      <c r="M18" s="96">
        <f t="shared" si="56"/>
        <v>16</v>
      </c>
      <c r="N18" s="245">
        <f>Targets!J14</f>
        <v>9</v>
      </c>
      <c r="O18" s="32"/>
      <c r="P18" s="217">
        <f t="shared" si="57"/>
        <v>4</v>
      </c>
      <c r="Q18" s="31">
        <f t="shared" ref="Q18:R18" si="73">K18+G18+C18</f>
        <v>43</v>
      </c>
      <c r="R18" s="31">
        <f t="shared" si="73"/>
        <v>3</v>
      </c>
      <c r="S18" s="218">
        <f t="shared" si="59"/>
        <v>50</v>
      </c>
      <c r="T18" s="262">
        <f t="shared" si="60"/>
        <v>34</v>
      </c>
      <c r="U18" s="219">
        <f t="shared" si="61"/>
        <v>-16</v>
      </c>
      <c r="V18" s="16">
        <f t="shared" si="62"/>
        <v>46</v>
      </c>
      <c r="W18" s="263">
        <f t="shared" si="63"/>
        <v>34</v>
      </c>
      <c r="X18" s="264">
        <f t="shared" si="64"/>
        <v>1.352941176</v>
      </c>
      <c r="Y18" s="265">
        <v>45657.0</v>
      </c>
      <c r="Z18" s="240" t="s">
        <v>77</v>
      </c>
      <c r="AA18" s="95" t="s">
        <v>25</v>
      </c>
      <c r="AB18" s="216">
        <f>Targets!AC37</f>
        <v>1</v>
      </c>
      <c r="AC18" s="17">
        <v>1.0</v>
      </c>
      <c r="AD18" s="96">
        <f t="shared" si="65"/>
        <v>1</v>
      </c>
      <c r="AE18" s="97">
        <f>Targets!T55+Targets!U55</f>
        <v>2</v>
      </c>
      <c r="AF18" s="31">
        <v>0.0</v>
      </c>
      <c r="AG18" s="31"/>
      <c r="AH18" s="96">
        <f t="shared" si="66"/>
        <v>0</v>
      </c>
      <c r="AI18" s="97">
        <f>Targets!V55</f>
        <v>1</v>
      </c>
      <c r="AJ18" s="31"/>
      <c r="AK18" s="31"/>
      <c r="AL18" s="31">
        <v>2.0</v>
      </c>
      <c r="AM18" s="96">
        <f t="shared" si="67"/>
        <v>2</v>
      </c>
      <c r="AN18" s="97" t="str">
        <f>Targets!W55</f>
        <v/>
      </c>
      <c r="AO18" s="32"/>
      <c r="AP18" s="217">
        <f t="shared" si="68"/>
        <v>1</v>
      </c>
      <c r="AQ18" s="31">
        <f t="shared" si="69"/>
        <v>3</v>
      </c>
      <c r="AR18" s="218">
        <f t="shared" si="70"/>
        <v>4</v>
      </c>
      <c r="AS18" s="100">
        <f t="shared" si="71"/>
        <v>3</v>
      </c>
      <c r="AT18" s="266">
        <f t="shared" si="72"/>
        <v>-1</v>
      </c>
      <c r="AU18" s="265">
        <v>45657.0</v>
      </c>
      <c r="AV18" s="240" t="s">
        <v>77</v>
      </c>
    </row>
    <row r="19">
      <c r="A19" s="26" t="s">
        <v>26</v>
      </c>
      <c r="B19" s="29">
        <f t="shared" ref="B19:N19" si="74">sum(B16:B18)</f>
        <v>1</v>
      </c>
      <c r="C19" s="27">
        <f t="shared" si="74"/>
        <v>79</v>
      </c>
      <c r="D19" s="27">
        <f t="shared" si="74"/>
        <v>14</v>
      </c>
      <c r="E19" s="27">
        <f t="shared" si="74"/>
        <v>93</v>
      </c>
      <c r="F19" s="29">
        <f t="shared" si="74"/>
        <v>57</v>
      </c>
      <c r="G19" s="27">
        <f t="shared" si="74"/>
        <v>71</v>
      </c>
      <c r="H19" s="27">
        <f t="shared" si="74"/>
        <v>9</v>
      </c>
      <c r="I19" s="27">
        <f t="shared" si="74"/>
        <v>80</v>
      </c>
      <c r="J19" s="29">
        <f t="shared" si="74"/>
        <v>83</v>
      </c>
      <c r="K19" s="27">
        <f t="shared" si="74"/>
        <v>62</v>
      </c>
      <c r="L19" s="27">
        <f t="shared" si="74"/>
        <v>8</v>
      </c>
      <c r="M19" s="27">
        <f t="shared" si="74"/>
        <v>70</v>
      </c>
      <c r="N19" s="29">
        <f t="shared" si="74"/>
        <v>57</v>
      </c>
      <c r="O19" s="32"/>
      <c r="P19" s="29">
        <f t="shared" ref="P19:W19" si="75">sum(P16:P18)</f>
        <v>1</v>
      </c>
      <c r="Q19" s="27">
        <f t="shared" si="75"/>
        <v>212</v>
      </c>
      <c r="R19" s="27">
        <f t="shared" si="75"/>
        <v>31</v>
      </c>
      <c r="S19" s="29">
        <f t="shared" si="75"/>
        <v>244</v>
      </c>
      <c r="T19" s="30">
        <f t="shared" si="75"/>
        <v>197</v>
      </c>
      <c r="U19" s="221">
        <f t="shared" si="75"/>
        <v>-47</v>
      </c>
      <c r="V19" s="155">
        <f t="shared" si="75"/>
        <v>243</v>
      </c>
      <c r="W19" s="29">
        <f t="shared" si="75"/>
        <v>197</v>
      </c>
      <c r="X19" s="269">
        <f>V19/W19</f>
        <v>1.233502538</v>
      </c>
      <c r="Y19" s="20">
        <v>21500</v>
      </c>
      <c r="Z19" s="260"/>
      <c r="AA19" s="103" t="s">
        <v>26</v>
      </c>
      <c r="AB19" s="29">
        <f t="shared" ref="AB19:AN19" si="76">sum(AB16:AB18)</f>
        <v>8</v>
      </c>
      <c r="AC19" s="27">
        <f t="shared" si="76"/>
        <v>1</v>
      </c>
      <c r="AD19" s="27">
        <f t="shared" si="76"/>
        <v>1</v>
      </c>
      <c r="AE19" s="27">
        <f t="shared" si="76"/>
        <v>15</v>
      </c>
      <c r="AF19" s="27">
        <f t="shared" si="76"/>
        <v>2</v>
      </c>
      <c r="AG19" s="27">
        <f t="shared" si="76"/>
        <v>0</v>
      </c>
      <c r="AH19" s="27">
        <f t="shared" si="76"/>
        <v>2</v>
      </c>
      <c r="AI19" s="27">
        <f t="shared" si="76"/>
        <v>3</v>
      </c>
      <c r="AJ19" s="27">
        <f t="shared" si="76"/>
        <v>0</v>
      </c>
      <c r="AK19" s="27">
        <f t="shared" si="76"/>
        <v>1</v>
      </c>
      <c r="AL19" s="27">
        <f t="shared" si="76"/>
        <v>4</v>
      </c>
      <c r="AM19" s="27">
        <f t="shared" si="76"/>
        <v>5</v>
      </c>
      <c r="AN19" s="27">
        <f t="shared" si="76"/>
        <v>0</v>
      </c>
      <c r="AO19" s="32"/>
      <c r="AP19" s="29">
        <f t="shared" ref="AP19:AT19" si="77">sum(AP16:AP18)</f>
        <v>8</v>
      </c>
      <c r="AQ19" s="27">
        <f t="shared" si="77"/>
        <v>8</v>
      </c>
      <c r="AR19" s="29">
        <f t="shared" si="77"/>
        <v>16</v>
      </c>
      <c r="AS19" s="104">
        <f t="shared" si="77"/>
        <v>18</v>
      </c>
      <c r="AT19" s="270">
        <f t="shared" si="77"/>
        <v>2</v>
      </c>
    </row>
    <row r="20">
      <c r="A20" s="26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1" t="s">
        <v>68</v>
      </c>
      <c r="P20" s="32"/>
      <c r="Q20" s="32"/>
      <c r="R20" s="32"/>
      <c r="S20" s="32"/>
      <c r="T20" s="107"/>
      <c r="U20" s="33"/>
      <c r="V20" s="158"/>
      <c r="W20" s="159"/>
      <c r="X20" s="271"/>
      <c r="Z20" s="260"/>
      <c r="AA20" s="15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107"/>
      <c r="AT20" s="234"/>
    </row>
    <row r="21">
      <c r="A21" s="33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107"/>
      <c r="U21" s="33"/>
      <c r="V21" s="158"/>
      <c r="W21" s="159"/>
      <c r="X21" s="271"/>
      <c r="Z21" s="136"/>
      <c r="AA21" s="13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107"/>
      <c r="AT21" s="234"/>
    </row>
    <row r="22">
      <c r="A22" s="34" t="s">
        <v>8</v>
      </c>
      <c r="B22" s="35">
        <f t="shared" ref="B22:N22" si="78">B19+B15+B10</f>
        <v>54</v>
      </c>
      <c r="C22" s="35">
        <f t="shared" si="78"/>
        <v>398</v>
      </c>
      <c r="D22" s="35">
        <f t="shared" si="78"/>
        <v>17</v>
      </c>
      <c r="E22" s="35">
        <f t="shared" si="78"/>
        <v>415</v>
      </c>
      <c r="F22" s="35">
        <f t="shared" si="78"/>
        <v>268</v>
      </c>
      <c r="G22" s="35">
        <f t="shared" si="78"/>
        <v>322</v>
      </c>
      <c r="H22" s="35">
        <f t="shared" si="78"/>
        <v>14</v>
      </c>
      <c r="I22" s="35">
        <f t="shared" si="78"/>
        <v>336</v>
      </c>
      <c r="J22" s="35">
        <f t="shared" si="78"/>
        <v>351</v>
      </c>
      <c r="K22" s="35">
        <f t="shared" si="78"/>
        <v>275</v>
      </c>
      <c r="L22" s="35">
        <f t="shared" si="78"/>
        <v>25</v>
      </c>
      <c r="M22" s="35">
        <f t="shared" si="78"/>
        <v>300</v>
      </c>
      <c r="N22" s="35">
        <f t="shared" si="78"/>
        <v>236</v>
      </c>
      <c r="O22" s="109"/>
      <c r="P22" s="35">
        <f t="shared" ref="P22:W22" si="79">P19+P15+P10</f>
        <v>54</v>
      </c>
      <c r="Q22" s="35">
        <f t="shared" si="79"/>
        <v>995</v>
      </c>
      <c r="R22" s="35">
        <f t="shared" si="79"/>
        <v>56</v>
      </c>
      <c r="S22" s="35">
        <f t="shared" si="79"/>
        <v>1105</v>
      </c>
      <c r="T22" s="37">
        <f t="shared" si="79"/>
        <v>855</v>
      </c>
      <c r="U22" s="235">
        <f t="shared" si="79"/>
        <v>-250</v>
      </c>
      <c r="V22" s="235">
        <f t="shared" si="79"/>
        <v>1051</v>
      </c>
      <c r="W22" s="35">
        <f t="shared" si="79"/>
        <v>855</v>
      </c>
      <c r="X22" s="272">
        <f>(Q22+R22)/T22</f>
        <v>1.229239766</v>
      </c>
      <c r="Y22" s="20">
        <v>91000</v>
      </c>
      <c r="Z22" s="240"/>
      <c r="AA22" s="108" t="s">
        <v>8</v>
      </c>
      <c r="AB22" s="35">
        <f t="shared" ref="AB22:AN22" si="80">AB19+AB15+AB10</f>
        <v>42</v>
      </c>
      <c r="AC22" s="35">
        <f t="shared" si="80"/>
        <v>5</v>
      </c>
      <c r="AD22" s="35">
        <f t="shared" si="80"/>
        <v>5</v>
      </c>
      <c r="AE22" s="35">
        <f t="shared" si="80"/>
        <v>69</v>
      </c>
      <c r="AF22" s="35">
        <f t="shared" si="80"/>
        <v>11</v>
      </c>
      <c r="AG22" s="35">
        <f t="shared" si="80"/>
        <v>8</v>
      </c>
      <c r="AH22" s="35">
        <f t="shared" si="80"/>
        <v>19</v>
      </c>
      <c r="AI22" s="35">
        <f t="shared" si="80"/>
        <v>12</v>
      </c>
      <c r="AJ22" s="35">
        <f t="shared" si="80"/>
        <v>4</v>
      </c>
      <c r="AK22" s="35">
        <f t="shared" si="80"/>
        <v>12</v>
      </c>
      <c r="AL22" s="35">
        <f t="shared" si="80"/>
        <v>6</v>
      </c>
      <c r="AM22" s="35">
        <f t="shared" si="80"/>
        <v>22</v>
      </c>
      <c r="AN22" s="35">
        <f t="shared" si="80"/>
        <v>0</v>
      </c>
      <c r="AO22" s="109"/>
      <c r="AP22" s="35">
        <f t="shared" ref="AP22:AT22" si="81">AP19+AP15+AP10</f>
        <v>42</v>
      </c>
      <c r="AQ22" s="35">
        <f t="shared" si="81"/>
        <v>46</v>
      </c>
      <c r="AR22" s="35">
        <f t="shared" si="81"/>
        <v>88</v>
      </c>
      <c r="AS22" s="37">
        <f t="shared" si="81"/>
        <v>79</v>
      </c>
      <c r="AT22" s="237">
        <f t="shared" si="81"/>
        <v>-9</v>
      </c>
    </row>
    <row r="24">
      <c r="A24" s="187" t="s">
        <v>52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8"/>
      <c r="V24" s="273"/>
      <c r="W24" s="274"/>
      <c r="X24" s="273"/>
      <c r="Y24" s="110" t="s">
        <v>29</v>
      </c>
      <c r="Z24" s="111" t="s">
        <v>30</v>
      </c>
      <c r="AA24" s="8" t="s">
        <v>7</v>
      </c>
      <c r="AB24" s="239">
        <f>AB22</f>
        <v>42</v>
      </c>
      <c r="AD24" s="239">
        <f>AD22</f>
        <v>5</v>
      </c>
      <c r="AH24" s="239">
        <f>AH22</f>
        <v>19</v>
      </c>
      <c r="AI24" s="275">
        <f>sum(AB24:AH24)</f>
        <v>66</v>
      </c>
    </row>
    <row r="25">
      <c r="A25" s="13"/>
      <c r="B25" s="190"/>
      <c r="C25" s="89" t="s">
        <v>122</v>
      </c>
      <c r="D25" s="90"/>
      <c r="E25" s="90"/>
      <c r="F25" s="90"/>
      <c r="G25" s="91" t="s">
        <v>123</v>
      </c>
      <c r="H25" s="90"/>
      <c r="I25" s="90"/>
      <c r="J25" s="90"/>
      <c r="K25" s="91" t="s">
        <v>124</v>
      </c>
      <c r="L25" s="90"/>
      <c r="M25" s="90"/>
      <c r="N25" s="90"/>
      <c r="O25" s="136"/>
      <c r="P25" s="178"/>
      <c r="Q25" s="91" t="s">
        <v>8</v>
      </c>
      <c r="R25" s="90"/>
      <c r="S25" s="90"/>
      <c r="T25" s="92"/>
      <c r="V25" s="12">
        <v>1112.0</v>
      </c>
      <c r="W25" s="21">
        <f>V25-V22</f>
        <v>61</v>
      </c>
      <c r="Z25" s="136"/>
    </row>
    <row r="26">
      <c r="A26" s="15"/>
      <c r="B26" s="190"/>
      <c r="C26" s="179" t="s">
        <v>54</v>
      </c>
      <c r="D26" s="179" t="s">
        <v>55</v>
      </c>
      <c r="E26" s="179" t="s">
        <v>37</v>
      </c>
      <c r="F26" s="179" t="s">
        <v>56</v>
      </c>
      <c r="G26" s="179" t="s">
        <v>54</v>
      </c>
      <c r="H26" s="179" t="s">
        <v>55</v>
      </c>
      <c r="I26" s="179" t="s">
        <v>37</v>
      </c>
      <c r="J26" s="179" t="s">
        <v>56</v>
      </c>
      <c r="K26" s="179" t="s">
        <v>54</v>
      </c>
      <c r="L26" s="179" t="s">
        <v>55</v>
      </c>
      <c r="M26" s="179" t="s">
        <v>37</v>
      </c>
      <c r="N26" s="179" t="s">
        <v>56</v>
      </c>
      <c r="O26" s="204"/>
      <c r="P26" s="179"/>
      <c r="Q26" s="179" t="s">
        <v>54</v>
      </c>
      <c r="R26" s="179" t="s">
        <v>55</v>
      </c>
      <c r="S26" s="179" t="s">
        <v>37</v>
      </c>
      <c r="T26" s="181" t="s">
        <v>56</v>
      </c>
      <c r="V26" s="20">
        <f>445-374</f>
        <v>71</v>
      </c>
      <c r="W26" s="12" t="s">
        <v>133</v>
      </c>
      <c r="Z26" s="260"/>
      <c r="AO26" s="12" t="s">
        <v>68</v>
      </c>
    </row>
    <row r="27">
      <c r="A27" s="95" t="s">
        <v>13</v>
      </c>
      <c r="B27" s="190"/>
      <c r="C27" s="17">
        <v>90.0</v>
      </c>
      <c r="D27" s="17">
        <v>0.0</v>
      </c>
      <c r="E27" s="96">
        <f t="shared" ref="E27:E30" si="83">SUM(C27:D27)</f>
        <v>90</v>
      </c>
      <c r="F27" s="97">
        <v>155.0</v>
      </c>
      <c r="G27" s="98">
        <v>135.0</v>
      </c>
      <c r="H27" s="17"/>
      <c r="I27" s="96">
        <f t="shared" ref="I27:I30" si="84">SUM(G27:H27)</f>
        <v>135</v>
      </c>
      <c r="J27" s="97">
        <v>115.0</v>
      </c>
      <c r="K27" s="98">
        <v>194.0</v>
      </c>
      <c r="L27" s="17"/>
      <c r="M27" s="96">
        <f t="shared" ref="M27:M30" si="85">SUM(K27:L27)</f>
        <v>194</v>
      </c>
      <c r="N27" s="97">
        <v>110.0</v>
      </c>
      <c r="O27" s="32"/>
      <c r="P27" s="99" t="str">
        <f t="shared" ref="P27:P41" si="86">B27</f>
        <v/>
      </c>
      <c r="Q27" s="31">
        <f t="shared" ref="Q27:R27" si="82">K27+G27+C27</f>
        <v>419</v>
      </c>
      <c r="R27" s="31">
        <f t="shared" si="82"/>
        <v>0</v>
      </c>
      <c r="S27" s="96">
        <f t="shared" ref="S27:S30" si="88">sum(P27:R27)</f>
        <v>419</v>
      </c>
      <c r="T27" s="100">
        <f t="shared" ref="T27:T30" si="89">N27+J27+F27</f>
        <v>380</v>
      </c>
      <c r="V27" s="12">
        <v>2.0</v>
      </c>
      <c r="W27" s="12" t="s">
        <v>134</v>
      </c>
      <c r="Y27" s="265">
        <v>45657.0</v>
      </c>
      <c r="Z27" s="240" t="s">
        <v>57</v>
      </c>
      <c r="AO27" s="12" t="s">
        <v>135</v>
      </c>
    </row>
    <row r="28">
      <c r="A28" s="95" t="s">
        <v>14</v>
      </c>
      <c r="B28" s="190"/>
      <c r="C28" s="17">
        <v>12.0</v>
      </c>
      <c r="D28" s="17">
        <v>0.0</v>
      </c>
      <c r="E28" s="96">
        <f t="shared" si="83"/>
        <v>12</v>
      </c>
      <c r="F28" s="97">
        <v>28.0</v>
      </c>
      <c r="G28" s="98">
        <v>19.0</v>
      </c>
      <c r="H28" s="17"/>
      <c r="I28" s="96">
        <f t="shared" si="84"/>
        <v>19</v>
      </c>
      <c r="J28" s="97">
        <v>13.0</v>
      </c>
      <c r="K28" s="98">
        <v>32.0</v>
      </c>
      <c r="L28" s="17"/>
      <c r="M28" s="96">
        <f t="shared" si="85"/>
        <v>32</v>
      </c>
      <c r="N28" s="97">
        <v>16.0</v>
      </c>
      <c r="O28" s="32"/>
      <c r="P28" s="99" t="str">
        <f t="shared" si="86"/>
        <v/>
      </c>
      <c r="Q28" s="31">
        <f t="shared" ref="Q28:R28" si="87">K28+G28+C28</f>
        <v>63</v>
      </c>
      <c r="R28" s="31">
        <f t="shared" si="87"/>
        <v>0</v>
      </c>
      <c r="S28" s="96">
        <f t="shared" si="88"/>
        <v>63</v>
      </c>
      <c r="T28" s="100">
        <f t="shared" si="89"/>
        <v>57</v>
      </c>
      <c r="V28" s="20">
        <f>256-238</f>
        <v>18</v>
      </c>
      <c r="W28" s="12" t="s">
        <v>136</v>
      </c>
      <c r="Y28" s="265">
        <v>45657.0</v>
      </c>
      <c r="Z28" s="240" t="s">
        <v>57</v>
      </c>
      <c r="AO28" s="12" t="s">
        <v>13</v>
      </c>
      <c r="AR28" s="12">
        <v>3.0</v>
      </c>
    </row>
    <row r="29">
      <c r="A29" s="95" t="s">
        <v>15</v>
      </c>
      <c r="B29" s="190"/>
      <c r="C29" s="17"/>
      <c r="D29" s="17"/>
      <c r="E29" s="96">
        <f t="shared" si="83"/>
        <v>0</v>
      </c>
      <c r="F29" s="97"/>
      <c r="G29" s="98"/>
      <c r="H29" s="17"/>
      <c r="I29" s="96">
        <f t="shared" si="84"/>
        <v>0</v>
      </c>
      <c r="J29" s="97"/>
      <c r="K29" s="98"/>
      <c r="L29" s="17"/>
      <c r="M29" s="96">
        <f t="shared" si="85"/>
        <v>0</v>
      </c>
      <c r="N29" s="97"/>
      <c r="O29" s="32"/>
      <c r="P29" s="99" t="str">
        <f t="shared" si="86"/>
        <v/>
      </c>
      <c r="Q29" s="31">
        <f t="shared" ref="Q29:R29" si="90">K29+G29+C29</f>
        <v>0</v>
      </c>
      <c r="R29" s="31">
        <f t="shared" si="90"/>
        <v>0</v>
      </c>
      <c r="S29" s="96">
        <f t="shared" si="88"/>
        <v>0</v>
      </c>
      <c r="T29" s="100">
        <f t="shared" si="89"/>
        <v>0</v>
      </c>
      <c r="Y29" s="265">
        <v>45657.0</v>
      </c>
      <c r="Z29" s="240" t="s">
        <v>57</v>
      </c>
      <c r="AO29" s="12" t="s">
        <v>20</v>
      </c>
      <c r="AR29" s="12">
        <v>3.0</v>
      </c>
    </row>
    <row r="30">
      <c r="A30" s="95" t="s">
        <v>16</v>
      </c>
      <c r="B30" s="190"/>
      <c r="C30" s="17"/>
      <c r="D30" s="17"/>
      <c r="E30" s="96">
        <f t="shared" si="83"/>
        <v>0</v>
      </c>
      <c r="F30" s="97"/>
      <c r="G30" s="98"/>
      <c r="H30" s="17"/>
      <c r="I30" s="96">
        <f t="shared" si="84"/>
        <v>0</v>
      </c>
      <c r="J30" s="97"/>
      <c r="K30" s="98"/>
      <c r="L30" s="17"/>
      <c r="M30" s="96">
        <f t="shared" si="85"/>
        <v>0</v>
      </c>
      <c r="N30" s="97"/>
      <c r="O30" s="32"/>
      <c r="P30" s="99" t="str">
        <f t="shared" si="86"/>
        <v/>
      </c>
      <c r="Q30" s="31">
        <f t="shared" ref="Q30:R30" si="91">K30+G30+C30</f>
        <v>0</v>
      </c>
      <c r="R30" s="31">
        <f t="shared" si="91"/>
        <v>0</v>
      </c>
      <c r="S30" s="96">
        <f t="shared" si="88"/>
        <v>0</v>
      </c>
      <c r="T30" s="100">
        <f t="shared" si="89"/>
        <v>0</v>
      </c>
      <c r="Y30" s="265">
        <v>45657.0</v>
      </c>
      <c r="Z30" s="240" t="s">
        <v>57</v>
      </c>
      <c r="AO30" s="12" t="s">
        <v>15</v>
      </c>
      <c r="AR30" s="12">
        <v>1.0</v>
      </c>
    </row>
    <row r="31">
      <c r="A31" s="103" t="s">
        <v>17</v>
      </c>
      <c r="B31" s="190"/>
      <c r="C31" s="27">
        <f t="shared" ref="C31:N31" si="92">sum(C27:C30)</f>
        <v>102</v>
      </c>
      <c r="D31" s="27">
        <f t="shared" si="92"/>
        <v>0</v>
      </c>
      <c r="E31" s="27">
        <f t="shared" si="92"/>
        <v>102</v>
      </c>
      <c r="F31" s="27">
        <f t="shared" si="92"/>
        <v>183</v>
      </c>
      <c r="G31" s="27">
        <f t="shared" si="92"/>
        <v>154</v>
      </c>
      <c r="H31" s="27">
        <f t="shared" si="92"/>
        <v>0</v>
      </c>
      <c r="I31" s="27">
        <f t="shared" si="92"/>
        <v>154</v>
      </c>
      <c r="J31" s="27">
        <f t="shared" si="92"/>
        <v>128</v>
      </c>
      <c r="K31" s="27">
        <f t="shared" si="92"/>
        <v>226</v>
      </c>
      <c r="L31" s="27">
        <f t="shared" si="92"/>
        <v>0</v>
      </c>
      <c r="M31" s="27">
        <f t="shared" si="92"/>
        <v>226</v>
      </c>
      <c r="N31" s="27">
        <f t="shared" si="92"/>
        <v>126</v>
      </c>
      <c r="O31" s="32"/>
      <c r="P31" s="99" t="str">
        <f t="shared" si="86"/>
        <v/>
      </c>
      <c r="Q31" s="27">
        <f t="shared" ref="Q31:T31" si="93">sum(Q27:Q30)</f>
        <v>482</v>
      </c>
      <c r="R31" s="27">
        <f t="shared" si="93"/>
        <v>0</v>
      </c>
      <c r="S31" s="27">
        <f t="shared" si="93"/>
        <v>482</v>
      </c>
      <c r="T31" s="104">
        <f t="shared" si="93"/>
        <v>437</v>
      </c>
      <c r="Z31" s="260"/>
      <c r="AO31" s="12" t="s">
        <v>25</v>
      </c>
      <c r="AR31" s="12">
        <v>2.0</v>
      </c>
    </row>
    <row r="32">
      <c r="A32" s="95" t="s">
        <v>18</v>
      </c>
      <c r="B32" s="190"/>
      <c r="C32" s="244" t="str">
        <f>'Regs Q2'!V77</f>
        <v/>
      </c>
      <c r="D32" s="31"/>
      <c r="E32" s="218">
        <f t="shared" ref="E32:E35" si="95">SUM(C32:D32)</f>
        <v>0</v>
      </c>
      <c r="F32" s="97"/>
      <c r="G32" s="276" t="str">
        <f>'Regs Q2'!V54</f>
        <v/>
      </c>
      <c r="H32" s="31"/>
      <c r="I32" s="218">
        <f t="shared" ref="I32:I35" si="96">SUM(G32:H32)</f>
        <v>0</v>
      </c>
      <c r="J32" s="97"/>
      <c r="K32" s="276" t="str">
        <f>'Regs Q2'!V31</f>
        <v/>
      </c>
      <c r="L32" s="31"/>
      <c r="M32" s="218">
        <f t="shared" ref="M32:M35" si="97">SUM(K32:L32)</f>
        <v>0</v>
      </c>
      <c r="N32" s="97"/>
      <c r="O32" s="32"/>
      <c r="P32" s="99" t="str">
        <f t="shared" si="86"/>
        <v/>
      </c>
      <c r="Q32" s="263">
        <f t="shared" ref="Q32:R32" si="94">K32+G32+C32</f>
        <v>0</v>
      </c>
      <c r="R32" s="31">
        <f t="shared" si="94"/>
        <v>0</v>
      </c>
      <c r="S32" s="96">
        <f t="shared" ref="S32:S35" si="98">sum(P32:R32)</f>
        <v>0</v>
      </c>
      <c r="T32" s="100">
        <f t="shared" ref="T32:T35" si="99">N32+J32+F32</f>
        <v>0</v>
      </c>
      <c r="Y32" s="265">
        <v>45656.0</v>
      </c>
      <c r="Z32" s="240" t="s">
        <v>48</v>
      </c>
      <c r="AR32" s="277">
        <f>sum(AR28:AR31)</f>
        <v>9</v>
      </c>
    </row>
    <row r="33">
      <c r="A33" s="95" t="s">
        <v>19</v>
      </c>
      <c r="B33" s="190"/>
      <c r="C33" s="17">
        <v>24.0</v>
      </c>
      <c r="D33" s="31">
        <v>0.0</v>
      </c>
      <c r="E33" s="96">
        <f t="shared" si="95"/>
        <v>24</v>
      </c>
      <c r="F33" s="97">
        <v>33.0</v>
      </c>
      <c r="G33" s="98">
        <v>46.0</v>
      </c>
      <c r="H33" s="31">
        <v>0.0</v>
      </c>
      <c r="I33" s="96">
        <f t="shared" si="96"/>
        <v>46</v>
      </c>
      <c r="J33" s="97">
        <v>26.0</v>
      </c>
      <c r="K33" s="98">
        <v>66.0</v>
      </c>
      <c r="L33" s="31">
        <v>4.0</v>
      </c>
      <c r="M33" s="96">
        <f t="shared" si="97"/>
        <v>70</v>
      </c>
      <c r="N33" s="97">
        <v>46.0</v>
      </c>
      <c r="O33" s="32"/>
      <c r="P33" s="99" t="str">
        <f t="shared" si="86"/>
        <v/>
      </c>
      <c r="Q33" s="31">
        <f t="shared" ref="Q33:Q34" si="100">K33+G33+O41+C33</f>
        <v>136</v>
      </c>
      <c r="R33" s="31">
        <f>L33+H33+D33</f>
        <v>4</v>
      </c>
      <c r="S33" s="96">
        <f t="shared" si="98"/>
        <v>140</v>
      </c>
      <c r="T33" s="100">
        <f t="shared" si="99"/>
        <v>105</v>
      </c>
      <c r="Y33" s="278">
        <v>45656.0</v>
      </c>
      <c r="Z33" s="240" t="s">
        <v>48</v>
      </c>
      <c r="AO33" s="8" t="s">
        <v>137</v>
      </c>
      <c r="AQ33" s="279">
        <v>81.0</v>
      </c>
      <c r="AR33" s="280">
        <f>AR22-AR32</f>
        <v>79</v>
      </c>
      <c r="AS33" s="239">
        <f>AQ33-AR33</f>
        <v>2</v>
      </c>
    </row>
    <row r="34">
      <c r="A34" s="95" t="s">
        <v>20</v>
      </c>
      <c r="B34" s="190"/>
      <c r="C34" s="244" t="str">
        <f>'Regs Q2'!V79</f>
        <v/>
      </c>
      <c r="D34" s="31"/>
      <c r="E34" s="218">
        <f t="shared" si="95"/>
        <v>0</v>
      </c>
      <c r="F34" s="97"/>
      <c r="G34" s="276" t="str">
        <f>'Regs Q2'!V56</f>
        <v/>
      </c>
      <c r="H34" s="31"/>
      <c r="I34" s="218">
        <f t="shared" si="96"/>
        <v>0</v>
      </c>
      <c r="J34" s="97"/>
      <c r="K34" s="276" t="str">
        <f>'Regs Q2'!V33</f>
        <v/>
      </c>
      <c r="L34" s="31"/>
      <c r="M34" s="218">
        <f t="shared" si="97"/>
        <v>0</v>
      </c>
      <c r="N34" s="97"/>
      <c r="O34" s="32"/>
      <c r="P34" s="99" t="str">
        <f t="shared" si="86"/>
        <v/>
      </c>
      <c r="Q34" s="263">
        <f t="shared" si="100"/>
        <v>0</v>
      </c>
      <c r="R34" s="31">
        <v>0.0</v>
      </c>
      <c r="S34" s="96">
        <f t="shared" si="98"/>
        <v>0</v>
      </c>
      <c r="T34" s="100">
        <f t="shared" si="99"/>
        <v>0</v>
      </c>
      <c r="Y34" s="265">
        <v>45656.0</v>
      </c>
      <c r="Z34" s="240" t="s">
        <v>48</v>
      </c>
      <c r="AD34" s="12" t="s">
        <v>138</v>
      </c>
      <c r="AS34" s="8" t="s">
        <v>139</v>
      </c>
    </row>
    <row r="35">
      <c r="A35" s="95" t="s">
        <v>21</v>
      </c>
      <c r="B35" s="190"/>
      <c r="C35" s="244" t="str">
        <f>'Regs Q2'!V80</f>
        <v/>
      </c>
      <c r="D35" s="31"/>
      <c r="E35" s="218">
        <f t="shared" si="95"/>
        <v>0</v>
      </c>
      <c r="F35" s="97"/>
      <c r="G35" s="276" t="str">
        <f>'Regs Q2'!V57</f>
        <v/>
      </c>
      <c r="H35" s="31"/>
      <c r="I35" s="218">
        <f t="shared" si="96"/>
        <v>0</v>
      </c>
      <c r="J35" s="97"/>
      <c r="K35" s="276" t="str">
        <f>'Regs Q2'!V34</f>
        <v/>
      </c>
      <c r="L35" s="31"/>
      <c r="M35" s="218">
        <f t="shared" si="97"/>
        <v>0</v>
      </c>
      <c r="N35" s="97"/>
      <c r="O35" s="32"/>
      <c r="P35" s="99" t="str">
        <f t="shared" si="86"/>
        <v/>
      </c>
      <c r="Q35" s="263">
        <f t="shared" ref="Q35:R35" si="101">K35+G35+C35</f>
        <v>0</v>
      </c>
      <c r="R35" s="31">
        <f t="shared" si="101"/>
        <v>0</v>
      </c>
      <c r="S35" s="96">
        <f t="shared" si="98"/>
        <v>0</v>
      </c>
      <c r="T35" s="100">
        <f t="shared" si="99"/>
        <v>0</v>
      </c>
      <c r="Y35" s="265">
        <v>45656.0</v>
      </c>
      <c r="Z35" s="240" t="s">
        <v>48</v>
      </c>
    </row>
    <row r="36">
      <c r="A36" s="103" t="s">
        <v>22</v>
      </c>
      <c r="B36" s="190"/>
      <c r="C36" s="29">
        <f t="shared" ref="C36:N36" si="102">sum(C32:C35)</f>
        <v>24</v>
      </c>
      <c r="D36" s="27">
        <f t="shared" si="102"/>
        <v>0</v>
      </c>
      <c r="E36" s="29">
        <f t="shared" si="102"/>
        <v>24</v>
      </c>
      <c r="F36" s="27">
        <f t="shared" si="102"/>
        <v>33</v>
      </c>
      <c r="G36" s="29">
        <f t="shared" si="102"/>
        <v>46</v>
      </c>
      <c r="H36" s="27">
        <f t="shared" si="102"/>
        <v>0</v>
      </c>
      <c r="I36" s="29">
        <f t="shared" si="102"/>
        <v>46</v>
      </c>
      <c r="J36" s="27">
        <f t="shared" si="102"/>
        <v>26</v>
      </c>
      <c r="K36" s="29">
        <f t="shared" si="102"/>
        <v>66</v>
      </c>
      <c r="L36" s="27">
        <f t="shared" si="102"/>
        <v>4</v>
      </c>
      <c r="M36" s="29">
        <f t="shared" si="102"/>
        <v>70</v>
      </c>
      <c r="N36" s="27">
        <f t="shared" si="102"/>
        <v>46</v>
      </c>
      <c r="O36" s="32"/>
      <c r="P36" s="99" t="str">
        <f t="shared" si="86"/>
        <v/>
      </c>
      <c r="Q36" s="29">
        <f t="shared" ref="Q36:T36" si="103">sum(Q32:Q35)</f>
        <v>136</v>
      </c>
      <c r="R36" s="27">
        <f t="shared" si="103"/>
        <v>4</v>
      </c>
      <c r="S36" s="27">
        <f t="shared" si="103"/>
        <v>140</v>
      </c>
      <c r="T36" s="104">
        <f t="shared" si="103"/>
        <v>105</v>
      </c>
      <c r="Z36" s="260"/>
    </row>
    <row r="37">
      <c r="A37" s="95" t="s">
        <v>23</v>
      </c>
      <c r="B37" s="190"/>
      <c r="C37" s="17">
        <v>42.0</v>
      </c>
      <c r="D37" s="31">
        <v>0.0</v>
      </c>
      <c r="E37" s="96">
        <f t="shared" ref="E37:E39" si="105">SUM(C37:D37)</f>
        <v>42</v>
      </c>
      <c r="F37" s="97">
        <v>61.0</v>
      </c>
      <c r="G37" s="98">
        <v>23.0</v>
      </c>
      <c r="H37" s="31">
        <v>0.0</v>
      </c>
      <c r="I37" s="96">
        <f t="shared" ref="I37:I39" si="106">SUM(G37:H37)</f>
        <v>23</v>
      </c>
      <c r="J37" s="97">
        <v>52.0</v>
      </c>
      <c r="K37" s="98">
        <v>75.0</v>
      </c>
      <c r="L37" s="31">
        <v>0.0</v>
      </c>
      <c r="M37" s="96">
        <f t="shared" ref="M37:M39" si="107">SUM(K37:L37)</f>
        <v>75</v>
      </c>
      <c r="N37" s="97">
        <v>40.0</v>
      </c>
      <c r="O37" s="32"/>
      <c r="P37" s="99" t="str">
        <f t="shared" si="86"/>
        <v/>
      </c>
      <c r="Q37" s="31">
        <f t="shared" ref="Q37:R37" si="104">K37+G37+C37</f>
        <v>140</v>
      </c>
      <c r="R37" s="31">
        <f t="shared" si="104"/>
        <v>0</v>
      </c>
      <c r="S37" s="96">
        <f t="shared" ref="S37:S39" si="109">sum(P37:R37)</f>
        <v>140</v>
      </c>
      <c r="T37" s="100">
        <f t="shared" ref="T37:T39" si="110">N37+J37+F37</f>
        <v>153</v>
      </c>
      <c r="Y37" s="265">
        <v>45657.0</v>
      </c>
      <c r="Z37" s="240" t="s">
        <v>77</v>
      </c>
    </row>
    <row r="38">
      <c r="A38" s="95" t="s">
        <v>24</v>
      </c>
      <c r="B38" s="190"/>
      <c r="C38" s="244" t="str">
        <f>'Regs Q2'!V83</f>
        <v/>
      </c>
      <c r="D38" s="31">
        <v>0.0</v>
      </c>
      <c r="E38" s="218">
        <f t="shared" si="105"/>
        <v>0</v>
      </c>
      <c r="F38" s="97"/>
      <c r="G38" s="98"/>
      <c r="H38" s="31">
        <v>0.0</v>
      </c>
      <c r="I38" s="96">
        <f t="shared" si="106"/>
        <v>0</v>
      </c>
      <c r="J38" s="97"/>
      <c r="K38" s="98"/>
      <c r="L38" s="31">
        <v>0.0</v>
      </c>
      <c r="M38" s="96">
        <f t="shared" si="107"/>
        <v>0</v>
      </c>
      <c r="N38" s="97"/>
      <c r="O38" s="32"/>
      <c r="P38" s="99" t="str">
        <f t="shared" si="86"/>
        <v/>
      </c>
      <c r="Q38" s="263">
        <f t="shared" ref="Q38:R38" si="108">K38+G38+C38</f>
        <v>0</v>
      </c>
      <c r="R38" s="31">
        <f t="shared" si="108"/>
        <v>0</v>
      </c>
      <c r="S38" s="96">
        <f t="shared" si="109"/>
        <v>0</v>
      </c>
      <c r="T38" s="100">
        <f t="shared" si="110"/>
        <v>0</v>
      </c>
      <c r="X38" s="43"/>
      <c r="Y38" s="265">
        <v>45657.0</v>
      </c>
      <c r="Z38" s="240" t="s">
        <v>77</v>
      </c>
    </row>
    <row r="39">
      <c r="A39" s="95" t="s">
        <v>25</v>
      </c>
      <c r="B39" s="190"/>
      <c r="C39" s="244" t="str">
        <f>'Regs Q2'!V84</f>
        <v/>
      </c>
      <c r="D39" s="31"/>
      <c r="E39" s="218">
        <f t="shared" si="105"/>
        <v>0</v>
      </c>
      <c r="F39" s="97"/>
      <c r="G39" s="98"/>
      <c r="H39" s="31"/>
      <c r="I39" s="96">
        <f t="shared" si="106"/>
        <v>0</v>
      </c>
      <c r="J39" s="97"/>
      <c r="K39" s="276" t="str">
        <f>'Regs Q2'!V38</f>
        <v/>
      </c>
      <c r="L39" s="31"/>
      <c r="M39" s="218">
        <f t="shared" si="107"/>
        <v>0</v>
      </c>
      <c r="N39" s="97"/>
      <c r="O39" s="32"/>
      <c r="P39" s="99" t="str">
        <f t="shared" si="86"/>
        <v/>
      </c>
      <c r="Q39" s="263">
        <f t="shared" ref="Q39:R39" si="111">K39+G39+C39</f>
        <v>0</v>
      </c>
      <c r="R39" s="31">
        <f t="shared" si="111"/>
        <v>0</v>
      </c>
      <c r="S39" s="96">
        <f t="shared" si="109"/>
        <v>0</v>
      </c>
      <c r="T39" s="100">
        <f t="shared" si="110"/>
        <v>0</v>
      </c>
      <c r="X39" s="43"/>
      <c r="Y39" s="265">
        <v>45657.0</v>
      </c>
      <c r="Z39" s="240" t="s">
        <v>77</v>
      </c>
    </row>
    <row r="40">
      <c r="A40" s="103"/>
      <c r="B40" s="190"/>
      <c r="C40" s="27">
        <f t="shared" ref="C40:N40" si="112">sum(C37:C39)</f>
        <v>42</v>
      </c>
      <c r="D40" s="27">
        <f t="shared" si="112"/>
        <v>0</v>
      </c>
      <c r="E40" s="27">
        <f t="shared" si="112"/>
        <v>42</v>
      </c>
      <c r="F40" s="27">
        <f t="shared" si="112"/>
        <v>61</v>
      </c>
      <c r="G40" s="27">
        <f t="shared" si="112"/>
        <v>23</v>
      </c>
      <c r="H40" s="27">
        <f t="shared" si="112"/>
        <v>0</v>
      </c>
      <c r="I40" s="27">
        <f t="shared" si="112"/>
        <v>23</v>
      </c>
      <c r="J40" s="27">
        <f t="shared" si="112"/>
        <v>52</v>
      </c>
      <c r="K40" s="27">
        <f t="shared" si="112"/>
        <v>75</v>
      </c>
      <c r="L40" s="27">
        <f t="shared" si="112"/>
        <v>0</v>
      </c>
      <c r="M40" s="27">
        <f t="shared" si="112"/>
        <v>75</v>
      </c>
      <c r="N40" s="27">
        <f t="shared" si="112"/>
        <v>40</v>
      </c>
      <c r="O40" s="32"/>
      <c r="P40" s="99" t="str">
        <f t="shared" si="86"/>
        <v/>
      </c>
      <c r="Q40" s="27">
        <f t="shared" ref="Q40:T40" si="113">sum(Q37:Q39)</f>
        <v>140</v>
      </c>
      <c r="R40" s="27">
        <f t="shared" si="113"/>
        <v>0</v>
      </c>
      <c r="S40" s="27">
        <f t="shared" si="113"/>
        <v>140</v>
      </c>
      <c r="T40" s="104">
        <f t="shared" si="113"/>
        <v>153</v>
      </c>
      <c r="W40" s="281"/>
    </row>
    <row r="41">
      <c r="A41" s="103"/>
      <c r="B41" s="19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99" t="str">
        <f t="shared" si="86"/>
        <v/>
      </c>
      <c r="Q41" s="32"/>
      <c r="R41" s="32"/>
      <c r="S41" s="32"/>
      <c r="T41" s="107"/>
    </row>
    <row r="42">
      <c r="A42" s="13"/>
      <c r="B42" s="136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07"/>
    </row>
    <row r="43">
      <c r="A43" s="108" t="s">
        <v>8</v>
      </c>
      <c r="B43" s="205"/>
      <c r="C43" s="35">
        <f t="shared" ref="C43:N43" si="114">C40+C36+C31</f>
        <v>168</v>
      </c>
      <c r="D43" s="35">
        <f t="shared" si="114"/>
        <v>0</v>
      </c>
      <c r="E43" s="35">
        <f t="shared" si="114"/>
        <v>168</v>
      </c>
      <c r="F43" s="35">
        <f t="shared" si="114"/>
        <v>277</v>
      </c>
      <c r="G43" s="35">
        <f t="shared" si="114"/>
        <v>223</v>
      </c>
      <c r="H43" s="35">
        <f t="shared" si="114"/>
        <v>0</v>
      </c>
      <c r="I43" s="35">
        <f t="shared" si="114"/>
        <v>223</v>
      </c>
      <c r="J43" s="35">
        <f t="shared" si="114"/>
        <v>206</v>
      </c>
      <c r="K43" s="35">
        <f t="shared" si="114"/>
        <v>367</v>
      </c>
      <c r="L43" s="35">
        <f t="shared" si="114"/>
        <v>4</v>
      </c>
      <c r="M43" s="35">
        <f t="shared" si="114"/>
        <v>371</v>
      </c>
      <c r="N43" s="35">
        <f t="shared" si="114"/>
        <v>212</v>
      </c>
      <c r="O43" s="109"/>
      <c r="P43" s="109"/>
      <c r="Q43" s="35">
        <f t="shared" ref="Q43:T43" si="115">Q40+Q36+Q31</f>
        <v>758</v>
      </c>
      <c r="R43" s="35">
        <f t="shared" si="115"/>
        <v>4</v>
      </c>
      <c r="S43" s="35">
        <f t="shared" si="115"/>
        <v>762</v>
      </c>
      <c r="T43" s="37">
        <f t="shared" si="115"/>
        <v>695</v>
      </c>
    </row>
    <row r="45">
      <c r="K45" s="21">
        <f>K43+K22+L22</f>
        <v>667</v>
      </c>
    </row>
  </sheetData>
  <mergeCells count="15">
    <mergeCell ref="AF4:AI4"/>
    <mergeCell ref="AJ4:AN4"/>
    <mergeCell ref="A24:T24"/>
    <mergeCell ref="C25:F25"/>
    <mergeCell ref="G25:J25"/>
    <mergeCell ref="K25:N25"/>
    <mergeCell ref="Q25:T25"/>
    <mergeCell ref="A3:T3"/>
    <mergeCell ref="AA3:AS3"/>
    <mergeCell ref="C4:F4"/>
    <mergeCell ref="G4:J4"/>
    <mergeCell ref="K4:N4"/>
    <mergeCell ref="Q4:T4"/>
    <mergeCell ref="AC4:AE4"/>
    <mergeCell ref="AQ4:AS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19.5"/>
  </cols>
  <sheetData>
    <row r="3">
      <c r="C3" s="196" t="s">
        <v>140</v>
      </c>
    </row>
    <row r="4"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147</v>
      </c>
      <c r="J4" s="12"/>
      <c r="K4" s="12"/>
      <c r="L4" s="12"/>
      <c r="M4" s="12" t="s">
        <v>148</v>
      </c>
      <c r="N4" s="12" t="s">
        <v>8</v>
      </c>
      <c r="O4" s="12" t="s">
        <v>149</v>
      </c>
      <c r="P4" s="12" t="s">
        <v>150</v>
      </c>
    </row>
    <row r="6">
      <c r="B6" s="12" t="s">
        <v>13</v>
      </c>
      <c r="C6" s="12">
        <v>97.0</v>
      </c>
      <c r="D6" s="12">
        <v>0.0</v>
      </c>
      <c r="E6" s="12">
        <v>41.0</v>
      </c>
      <c r="F6" s="12">
        <v>20.0</v>
      </c>
      <c r="G6" s="12">
        <v>4.0</v>
      </c>
      <c r="H6" s="12">
        <v>34.0</v>
      </c>
      <c r="I6" s="12">
        <v>2.0</v>
      </c>
      <c r="J6" s="12"/>
      <c r="K6" s="12"/>
      <c r="L6" s="12"/>
      <c r="M6" s="12">
        <v>1.0</v>
      </c>
      <c r="N6" s="44">
        <f t="shared" ref="N6:N9" si="1">sum(C6:M6)</f>
        <v>199</v>
      </c>
      <c r="O6" s="12">
        <f>333+30</f>
        <v>363</v>
      </c>
      <c r="P6" s="44">
        <f t="shared" ref="P6:P9" si="2">sum(N6:O6)</f>
        <v>562</v>
      </c>
    </row>
    <row r="7">
      <c r="B7" s="12" t="s">
        <v>14</v>
      </c>
      <c r="C7" s="12">
        <v>58.0</v>
      </c>
      <c r="D7" s="12">
        <v>0.0</v>
      </c>
      <c r="E7" s="12">
        <v>52.0</v>
      </c>
      <c r="F7" s="12">
        <v>4.0</v>
      </c>
      <c r="G7" s="12">
        <v>3.0</v>
      </c>
      <c r="H7" s="12">
        <v>5.0</v>
      </c>
      <c r="I7" s="12">
        <v>7.0</v>
      </c>
      <c r="J7" s="12"/>
      <c r="K7" s="12"/>
      <c r="L7" s="12"/>
      <c r="M7" s="12">
        <v>1.0</v>
      </c>
      <c r="N7" s="44">
        <f t="shared" si="1"/>
        <v>130</v>
      </c>
      <c r="O7" s="12">
        <v>50.0</v>
      </c>
      <c r="P7" s="44">
        <f t="shared" si="2"/>
        <v>180</v>
      </c>
    </row>
    <row r="8">
      <c r="B8" s="12" t="s">
        <v>15</v>
      </c>
      <c r="C8" s="12">
        <v>53.0</v>
      </c>
      <c r="D8" s="12">
        <v>0.0</v>
      </c>
      <c r="E8" s="12">
        <v>20.0</v>
      </c>
      <c r="F8" s="12">
        <v>14.0</v>
      </c>
      <c r="G8" s="12">
        <v>4.0</v>
      </c>
      <c r="H8" s="12">
        <v>3.0</v>
      </c>
      <c r="I8" s="12">
        <v>0.0</v>
      </c>
      <c r="J8" s="12"/>
      <c r="K8" s="12"/>
      <c r="L8" s="12"/>
      <c r="M8" s="12">
        <v>2.0</v>
      </c>
      <c r="N8" s="44">
        <f t="shared" si="1"/>
        <v>96</v>
      </c>
      <c r="P8" s="44">
        <f t="shared" si="2"/>
        <v>96</v>
      </c>
    </row>
    <row r="9">
      <c r="B9" s="12" t="s">
        <v>16</v>
      </c>
      <c r="C9" s="12">
        <v>74.0</v>
      </c>
      <c r="D9" s="12">
        <v>0.0</v>
      </c>
      <c r="E9" s="12">
        <v>50.0</v>
      </c>
      <c r="F9" s="12">
        <v>18.0</v>
      </c>
      <c r="G9" s="12">
        <v>5.0</v>
      </c>
      <c r="H9" s="12">
        <v>0.0</v>
      </c>
      <c r="I9" s="12">
        <v>1.0</v>
      </c>
      <c r="J9" s="12"/>
      <c r="K9" s="12"/>
      <c r="L9" s="12"/>
      <c r="M9" s="12">
        <v>1.0</v>
      </c>
      <c r="N9" s="44">
        <f t="shared" si="1"/>
        <v>149</v>
      </c>
      <c r="P9" s="44">
        <f t="shared" si="2"/>
        <v>149</v>
      </c>
    </row>
    <row r="10">
      <c r="B10" s="8" t="s">
        <v>17</v>
      </c>
      <c r="C10" s="44">
        <f t="shared" ref="C10:I10" si="3">sum(C6:C9)</f>
        <v>282</v>
      </c>
      <c r="D10" s="44">
        <f t="shared" si="3"/>
        <v>0</v>
      </c>
      <c r="E10" s="44">
        <f t="shared" si="3"/>
        <v>163</v>
      </c>
      <c r="F10" s="44">
        <f t="shared" si="3"/>
        <v>56</v>
      </c>
      <c r="G10" s="44">
        <f t="shared" si="3"/>
        <v>16</v>
      </c>
      <c r="H10" s="44">
        <f t="shared" si="3"/>
        <v>42</v>
      </c>
      <c r="I10" s="44">
        <f t="shared" si="3"/>
        <v>10</v>
      </c>
      <c r="J10" s="44"/>
      <c r="K10" s="44"/>
      <c r="L10" s="44"/>
      <c r="M10" s="44">
        <f t="shared" ref="M10:P10" si="4">sum(M6:M9)</f>
        <v>5</v>
      </c>
      <c r="N10" s="44">
        <f t="shared" si="4"/>
        <v>574</v>
      </c>
      <c r="O10" s="44">
        <f t="shared" si="4"/>
        <v>413</v>
      </c>
      <c r="P10" s="44">
        <f t="shared" si="4"/>
        <v>987</v>
      </c>
    </row>
    <row r="11">
      <c r="B11" s="12" t="s">
        <v>18</v>
      </c>
      <c r="C11" s="12">
        <v>116.0</v>
      </c>
      <c r="D11" s="12">
        <v>0.0</v>
      </c>
      <c r="E11" s="12">
        <v>14.0</v>
      </c>
      <c r="F11" s="12">
        <v>7.0</v>
      </c>
      <c r="G11" s="12">
        <v>4.0</v>
      </c>
      <c r="H11" s="12">
        <v>1.0</v>
      </c>
      <c r="I11" s="12">
        <v>1.0</v>
      </c>
      <c r="J11" s="12"/>
      <c r="K11" s="12"/>
      <c r="L11" s="12"/>
      <c r="M11" s="12">
        <v>1.0</v>
      </c>
      <c r="N11" s="44">
        <f t="shared" ref="N11:N14" si="5">sum(C11:M11)</f>
        <v>144</v>
      </c>
      <c r="O11" s="12">
        <v>1.0</v>
      </c>
      <c r="P11" s="44">
        <f t="shared" ref="P11:P14" si="6">sum(N11:O11)</f>
        <v>145</v>
      </c>
    </row>
    <row r="12">
      <c r="B12" s="12" t="s">
        <v>19</v>
      </c>
      <c r="C12" s="12">
        <v>74.0</v>
      </c>
      <c r="D12" s="12">
        <v>0.0</v>
      </c>
      <c r="E12" s="12">
        <v>22.0</v>
      </c>
      <c r="F12" s="12">
        <v>13.0</v>
      </c>
      <c r="G12" s="12">
        <v>8.0</v>
      </c>
      <c r="H12" s="12">
        <v>2.0</v>
      </c>
      <c r="I12" s="12">
        <v>6.0</v>
      </c>
      <c r="J12" s="12"/>
      <c r="K12" s="12"/>
      <c r="L12" s="12"/>
      <c r="M12" s="12">
        <v>1.0</v>
      </c>
      <c r="N12" s="44">
        <f t="shared" si="5"/>
        <v>126</v>
      </c>
      <c r="O12" s="12">
        <v>134.0</v>
      </c>
      <c r="P12" s="44">
        <f t="shared" si="6"/>
        <v>260</v>
      </c>
    </row>
    <row r="13">
      <c r="B13" s="12" t="s">
        <v>20</v>
      </c>
      <c r="C13" s="12">
        <v>77.0</v>
      </c>
      <c r="D13" s="12">
        <v>0.0</v>
      </c>
      <c r="E13" s="12">
        <v>22.0</v>
      </c>
      <c r="F13" s="12">
        <v>3.0</v>
      </c>
      <c r="G13" s="12">
        <v>5.0</v>
      </c>
      <c r="H13" s="12">
        <v>1.0</v>
      </c>
      <c r="I13" s="12">
        <v>0.0</v>
      </c>
      <c r="J13" s="12"/>
      <c r="K13" s="12"/>
      <c r="L13" s="12"/>
      <c r="M13" s="12">
        <v>0.0</v>
      </c>
      <c r="N13" s="44">
        <f t="shared" si="5"/>
        <v>108</v>
      </c>
      <c r="P13" s="44">
        <f t="shared" si="6"/>
        <v>108</v>
      </c>
    </row>
    <row r="14">
      <c r="B14" s="12" t="s">
        <v>21</v>
      </c>
      <c r="C14" s="12">
        <v>105.0</v>
      </c>
      <c r="D14" s="12">
        <v>0.0</v>
      </c>
      <c r="E14" s="12">
        <v>44.0</v>
      </c>
      <c r="F14" s="12">
        <v>3.0</v>
      </c>
      <c r="G14" s="12">
        <v>8.0</v>
      </c>
      <c r="H14" s="12">
        <v>1.0</v>
      </c>
      <c r="I14" s="12">
        <v>0.0</v>
      </c>
      <c r="J14" s="12"/>
      <c r="K14" s="12"/>
      <c r="L14" s="12"/>
      <c r="M14" s="12">
        <v>0.0</v>
      </c>
      <c r="N14" s="44">
        <f t="shared" si="5"/>
        <v>161</v>
      </c>
      <c r="P14" s="44">
        <f t="shared" si="6"/>
        <v>161</v>
      </c>
    </row>
    <row r="15">
      <c r="B15" s="8" t="s">
        <v>22</v>
      </c>
      <c r="C15" s="44">
        <f t="shared" ref="C15:I15" si="7">sum(C11:C14)</f>
        <v>372</v>
      </c>
      <c r="D15" s="44">
        <f t="shared" si="7"/>
        <v>0</v>
      </c>
      <c r="E15" s="44">
        <f t="shared" si="7"/>
        <v>102</v>
      </c>
      <c r="F15" s="44">
        <f t="shared" si="7"/>
        <v>26</v>
      </c>
      <c r="G15" s="44">
        <f t="shared" si="7"/>
        <v>25</v>
      </c>
      <c r="H15" s="44">
        <f t="shared" si="7"/>
        <v>5</v>
      </c>
      <c r="I15" s="44">
        <f t="shared" si="7"/>
        <v>7</v>
      </c>
      <c r="J15" s="44"/>
      <c r="K15" s="44"/>
      <c r="L15" s="44"/>
      <c r="M15" s="44">
        <f t="shared" ref="M15:P15" si="8">sum(M11:M14)</f>
        <v>2</v>
      </c>
      <c r="N15" s="44">
        <f t="shared" si="8"/>
        <v>539</v>
      </c>
      <c r="O15" s="44">
        <f t="shared" si="8"/>
        <v>135</v>
      </c>
      <c r="P15" s="44">
        <f t="shared" si="8"/>
        <v>674</v>
      </c>
    </row>
    <row r="16">
      <c r="B16" s="12" t="s">
        <v>23</v>
      </c>
      <c r="C16" s="12">
        <v>51.0</v>
      </c>
      <c r="D16" s="12">
        <v>0.0</v>
      </c>
      <c r="E16" s="12">
        <v>32.0</v>
      </c>
      <c r="F16" s="12">
        <v>4.0</v>
      </c>
      <c r="G16" s="12">
        <v>5.0</v>
      </c>
      <c r="H16" s="12">
        <v>35.0</v>
      </c>
      <c r="I16" s="12">
        <v>0.0</v>
      </c>
      <c r="J16" s="12"/>
      <c r="K16" s="12"/>
      <c r="L16" s="12"/>
      <c r="M16" s="12">
        <v>4.0</v>
      </c>
      <c r="N16" s="44">
        <f t="shared" ref="N16:N18" si="9">sum(C16:M16)</f>
        <v>131</v>
      </c>
      <c r="O16" s="12">
        <v>180.0</v>
      </c>
      <c r="P16" s="44">
        <f t="shared" ref="P16:P18" si="10">sum(N16:O16)</f>
        <v>311</v>
      </c>
    </row>
    <row r="17">
      <c r="B17" s="12" t="s">
        <v>24</v>
      </c>
      <c r="C17" s="12">
        <v>55.0</v>
      </c>
      <c r="D17" s="12">
        <v>1.0</v>
      </c>
      <c r="E17" s="12">
        <v>38.0</v>
      </c>
      <c r="F17" s="12">
        <v>15.0</v>
      </c>
      <c r="G17" s="12">
        <v>3.0</v>
      </c>
      <c r="H17" s="12">
        <v>0.0</v>
      </c>
      <c r="I17" s="12">
        <v>0.0</v>
      </c>
      <c r="J17" s="12"/>
      <c r="K17" s="12"/>
      <c r="L17" s="12"/>
      <c r="M17" s="12">
        <v>1.0</v>
      </c>
      <c r="N17" s="44">
        <f t="shared" si="9"/>
        <v>113</v>
      </c>
      <c r="P17" s="44">
        <f t="shared" si="10"/>
        <v>113</v>
      </c>
    </row>
    <row r="18">
      <c r="B18" s="12" t="s">
        <v>25</v>
      </c>
      <c r="C18" s="12">
        <v>28.0</v>
      </c>
      <c r="D18" s="12">
        <v>0.0</v>
      </c>
      <c r="E18" s="12">
        <v>8.0</v>
      </c>
      <c r="F18" s="12">
        <v>2.0</v>
      </c>
      <c r="G18" s="12">
        <v>5.0</v>
      </c>
      <c r="H18" s="12">
        <v>0.0</v>
      </c>
      <c r="I18" s="12">
        <v>0.0</v>
      </c>
      <c r="J18" s="12"/>
      <c r="K18" s="12"/>
      <c r="L18" s="12"/>
      <c r="M18" s="12">
        <v>3.0</v>
      </c>
      <c r="N18" s="44">
        <f t="shared" si="9"/>
        <v>46</v>
      </c>
      <c r="O18" s="12">
        <v>3.0</v>
      </c>
      <c r="P18" s="44">
        <f t="shared" si="10"/>
        <v>49</v>
      </c>
    </row>
    <row r="19">
      <c r="B19" s="8" t="s">
        <v>26</v>
      </c>
      <c r="C19" s="44">
        <f t="shared" ref="C19:I19" si="11">sum(C16:C18)</f>
        <v>134</v>
      </c>
      <c r="D19" s="44">
        <f t="shared" si="11"/>
        <v>1</v>
      </c>
      <c r="E19" s="44">
        <f t="shared" si="11"/>
        <v>78</v>
      </c>
      <c r="F19" s="44">
        <f t="shared" si="11"/>
        <v>21</v>
      </c>
      <c r="G19" s="44">
        <f t="shared" si="11"/>
        <v>13</v>
      </c>
      <c r="H19" s="44">
        <f t="shared" si="11"/>
        <v>35</v>
      </c>
      <c r="I19" s="44">
        <f t="shared" si="11"/>
        <v>0</v>
      </c>
      <c r="J19" s="44"/>
      <c r="K19" s="44"/>
      <c r="L19" s="44"/>
      <c r="M19" s="44">
        <f t="shared" ref="M19:P19" si="12">sum(M16:M18)</f>
        <v>8</v>
      </c>
      <c r="N19" s="44">
        <f t="shared" si="12"/>
        <v>290</v>
      </c>
      <c r="O19" s="44">
        <f t="shared" si="12"/>
        <v>183</v>
      </c>
      <c r="P19" s="44">
        <f t="shared" si="12"/>
        <v>473</v>
      </c>
    </row>
    <row r="20">
      <c r="N20" s="44"/>
    </row>
    <row r="21">
      <c r="N21" s="44"/>
    </row>
    <row r="22">
      <c r="B22" s="8" t="s">
        <v>8</v>
      </c>
      <c r="C22" s="44">
        <f t="shared" ref="C22:I22" si="13">C19+C15+C10</f>
        <v>788</v>
      </c>
      <c r="D22" s="44">
        <f t="shared" si="13"/>
        <v>1</v>
      </c>
      <c r="E22" s="44">
        <f t="shared" si="13"/>
        <v>343</v>
      </c>
      <c r="F22" s="44">
        <f t="shared" si="13"/>
        <v>103</v>
      </c>
      <c r="G22" s="44">
        <f t="shared" si="13"/>
        <v>54</v>
      </c>
      <c r="H22" s="44">
        <f t="shared" si="13"/>
        <v>82</v>
      </c>
      <c r="I22" s="44">
        <f t="shared" si="13"/>
        <v>17</v>
      </c>
      <c r="J22" s="44"/>
      <c r="K22" s="44"/>
      <c r="L22" s="44"/>
      <c r="M22" s="44">
        <f t="shared" ref="M22:P22" si="14">M19+M15+M10</f>
        <v>15</v>
      </c>
      <c r="N22" s="44">
        <f t="shared" si="14"/>
        <v>1403</v>
      </c>
      <c r="O22" s="44">
        <f t="shared" si="14"/>
        <v>731</v>
      </c>
      <c r="P22" s="44">
        <f t="shared" si="14"/>
        <v>2134</v>
      </c>
      <c r="R22" s="12">
        <v>834.0</v>
      </c>
    </row>
    <row r="25">
      <c r="C25" s="196" t="s">
        <v>151</v>
      </c>
    </row>
    <row r="26">
      <c r="C26" s="12" t="s">
        <v>141</v>
      </c>
      <c r="D26" s="12" t="s">
        <v>142</v>
      </c>
      <c r="E26" s="12" t="s">
        <v>143</v>
      </c>
      <c r="F26" s="12" t="s">
        <v>144</v>
      </c>
      <c r="G26" s="12" t="s">
        <v>145</v>
      </c>
      <c r="H26" s="12" t="s">
        <v>146</v>
      </c>
      <c r="I26" s="12" t="s">
        <v>147</v>
      </c>
      <c r="J26" s="12"/>
      <c r="K26" s="12"/>
      <c r="L26" s="12"/>
      <c r="M26" s="12" t="s">
        <v>148</v>
      </c>
      <c r="N26" s="12" t="s">
        <v>8</v>
      </c>
      <c r="O26" s="12" t="s">
        <v>149</v>
      </c>
      <c r="P26" s="12" t="s">
        <v>150</v>
      </c>
    </row>
    <row r="28">
      <c r="B28" s="12" t="s">
        <v>13</v>
      </c>
      <c r="C28" s="12">
        <v>92.0</v>
      </c>
      <c r="E28" s="12">
        <v>36.0</v>
      </c>
      <c r="F28" s="12">
        <v>16.0</v>
      </c>
      <c r="G28" s="12">
        <v>6.0</v>
      </c>
      <c r="H28" s="12">
        <v>5.0</v>
      </c>
      <c r="J28" s="12"/>
      <c r="K28" s="12"/>
      <c r="L28" s="12"/>
      <c r="M28" s="12">
        <v>2.0</v>
      </c>
      <c r="N28" s="44">
        <f t="shared" ref="N28:N31" si="15">sum(C28:M28)</f>
        <v>157</v>
      </c>
      <c r="O28" s="12">
        <v>303.0</v>
      </c>
      <c r="P28" s="44">
        <f t="shared" ref="P28:P31" si="16">sum(N28:O28)</f>
        <v>460</v>
      </c>
    </row>
    <row r="29">
      <c r="B29" s="12" t="s">
        <v>14</v>
      </c>
      <c r="C29" s="12">
        <v>73.0</v>
      </c>
      <c r="E29" s="12">
        <v>26.0</v>
      </c>
      <c r="F29" s="12">
        <v>8.0</v>
      </c>
      <c r="G29" s="12">
        <v>3.0</v>
      </c>
      <c r="H29" s="12">
        <v>3.0</v>
      </c>
      <c r="I29" s="12">
        <v>2.0</v>
      </c>
      <c r="N29" s="44">
        <f t="shared" si="15"/>
        <v>115</v>
      </c>
      <c r="O29" s="12">
        <v>39.0</v>
      </c>
      <c r="P29" s="44">
        <f t="shared" si="16"/>
        <v>154</v>
      </c>
    </row>
    <row r="30">
      <c r="B30" s="12" t="s">
        <v>15</v>
      </c>
      <c r="C30" s="12">
        <v>63.0</v>
      </c>
      <c r="E30" s="12">
        <v>15.0</v>
      </c>
      <c r="F30" s="12">
        <v>7.0</v>
      </c>
      <c r="G30" s="12">
        <v>5.0</v>
      </c>
      <c r="H30" s="12">
        <v>1.0</v>
      </c>
      <c r="J30" s="12"/>
      <c r="K30" s="12"/>
      <c r="L30" s="12"/>
      <c r="M30" s="12">
        <v>1.0</v>
      </c>
      <c r="N30" s="44">
        <f t="shared" si="15"/>
        <v>92</v>
      </c>
      <c r="P30" s="44">
        <f t="shared" si="16"/>
        <v>92</v>
      </c>
    </row>
    <row r="31">
      <c r="B31" s="12" t="s">
        <v>16</v>
      </c>
      <c r="C31" s="12">
        <v>71.0</v>
      </c>
      <c r="E31" s="12">
        <v>32.0</v>
      </c>
      <c r="F31" s="12">
        <v>8.0</v>
      </c>
      <c r="G31" s="12">
        <v>2.0</v>
      </c>
      <c r="H31" s="12">
        <v>1.0</v>
      </c>
      <c r="N31" s="44">
        <f t="shared" si="15"/>
        <v>114</v>
      </c>
      <c r="P31" s="44">
        <f t="shared" si="16"/>
        <v>114</v>
      </c>
    </row>
    <row r="32">
      <c r="B32" s="8" t="s">
        <v>17</v>
      </c>
      <c r="C32" s="44">
        <f t="shared" ref="C32:I32" si="17">sum(C28:C31)</f>
        <v>299</v>
      </c>
      <c r="D32" s="44">
        <f t="shared" si="17"/>
        <v>0</v>
      </c>
      <c r="E32" s="44">
        <f t="shared" si="17"/>
        <v>109</v>
      </c>
      <c r="F32" s="44">
        <f t="shared" si="17"/>
        <v>39</v>
      </c>
      <c r="G32" s="44">
        <f t="shared" si="17"/>
        <v>16</v>
      </c>
      <c r="H32" s="44">
        <f t="shared" si="17"/>
        <v>10</v>
      </c>
      <c r="I32" s="44">
        <f t="shared" si="17"/>
        <v>2</v>
      </c>
      <c r="J32" s="44"/>
      <c r="K32" s="44"/>
      <c r="L32" s="44"/>
      <c r="M32" s="44">
        <f t="shared" ref="M32:P32" si="18">sum(M28:M31)</f>
        <v>3</v>
      </c>
      <c r="N32" s="44">
        <f t="shared" si="18"/>
        <v>478</v>
      </c>
      <c r="O32" s="44">
        <f t="shared" si="18"/>
        <v>342</v>
      </c>
      <c r="P32" s="44">
        <f t="shared" si="18"/>
        <v>820</v>
      </c>
    </row>
    <row r="33">
      <c r="B33" s="12" t="s">
        <v>18</v>
      </c>
      <c r="C33" s="12">
        <v>86.0</v>
      </c>
      <c r="E33" s="12">
        <v>12.0</v>
      </c>
      <c r="F33" s="12">
        <v>1.0</v>
      </c>
      <c r="G33" s="12">
        <v>5.0</v>
      </c>
      <c r="H33" s="12">
        <v>1.0</v>
      </c>
      <c r="J33" s="12"/>
      <c r="K33" s="12"/>
      <c r="L33" s="12"/>
      <c r="M33" s="12">
        <v>2.0</v>
      </c>
      <c r="N33" s="44">
        <f t="shared" ref="N33:N36" si="19">sum(C33:M33)</f>
        <v>107</v>
      </c>
      <c r="P33" s="44">
        <f t="shared" ref="P33:P36" si="20">sum(N33:O33)</f>
        <v>107</v>
      </c>
    </row>
    <row r="34">
      <c r="B34" s="12" t="s">
        <v>19</v>
      </c>
      <c r="C34" s="12">
        <v>73.0</v>
      </c>
      <c r="E34" s="12">
        <v>24.0</v>
      </c>
      <c r="F34" s="12">
        <v>11.0</v>
      </c>
      <c r="G34" s="12">
        <v>2.0</v>
      </c>
      <c r="H34" s="12">
        <v>3.0</v>
      </c>
      <c r="N34" s="44">
        <f t="shared" si="19"/>
        <v>113</v>
      </c>
      <c r="O34" s="12">
        <v>73.0</v>
      </c>
      <c r="P34" s="44">
        <f t="shared" si="20"/>
        <v>186</v>
      </c>
    </row>
    <row r="35">
      <c r="B35" s="12" t="s">
        <v>20</v>
      </c>
      <c r="C35" s="12">
        <v>81.0</v>
      </c>
      <c r="E35" s="12">
        <v>22.0</v>
      </c>
      <c r="F35" s="12">
        <v>6.0</v>
      </c>
      <c r="G35" s="12">
        <v>4.0</v>
      </c>
      <c r="H35" s="12">
        <v>1.0</v>
      </c>
      <c r="N35" s="44">
        <f t="shared" si="19"/>
        <v>114</v>
      </c>
      <c r="P35" s="44">
        <f t="shared" si="20"/>
        <v>114</v>
      </c>
    </row>
    <row r="36">
      <c r="B36" s="12" t="s">
        <v>21</v>
      </c>
      <c r="C36" s="12">
        <v>117.0</v>
      </c>
      <c r="E36" s="12">
        <v>26.0</v>
      </c>
      <c r="F36" s="12">
        <v>8.0</v>
      </c>
      <c r="G36" s="12">
        <v>3.0</v>
      </c>
      <c r="J36" s="12"/>
      <c r="K36" s="12"/>
      <c r="L36" s="12"/>
      <c r="M36" s="12">
        <v>2.0</v>
      </c>
      <c r="N36" s="44">
        <f t="shared" si="19"/>
        <v>156</v>
      </c>
      <c r="P36" s="44">
        <f t="shared" si="20"/>
        <v>156</v>
      </c>
    </row>
    <row r="37">
      <c r="B37" s="8" t="s">
        <v>22</v>
      </c>
      <c r="C37" s="44">
        <f t="shared" ref="C37:I37" si="21">sum(C33:C36)</f>
        <v>357</v>
      </c>
      <c r="D37" s="44">
        <f t="shared" si="21"/>
        <v>0</v>
      </c>
      <c r="E37" s="44">
        <f t="shared" si="21"/>
        <v>84</v>
      </c>
      <c r="F37" s="44">
        <f t="shared" si="21"/>
        <v>26</v>
      </c>
      <c r="G37" s="44">
        <f t="shared" si="21"/>
        <v>14</v>
      </c>
      <c r="H37" s="44">
        <f t="shared" si="21"/>
        <v>5</v>
      </c>
      <c r="I37" s="44">
        <f t="shared" si="21"/>
        <v>0</v>
      </c>
      <c r="J37" s="44"/>
      <c r="K37" s="44"/>
      <c r="L37" s="44"/>
      <c r="M37" s="44">
        <f t="shared" ref="M37:P37" si="22">sum(M33:M36)</f>
        <v>4</v>
      </c>
      <c r="N37" s="44">
        <f t="shared" si="22"/>
        <v>490</v>
      </c>
      <c r="O37" s="44">
        <f t="shared" si="22"/>
        <v>73</v>
      </c>
      <c r="P37" s="44">
        <f t="shared" si="22"/>
        <v>563</v>
      </c>
    </row>
    <row r="38">
      <c r="B38" s="12" t="s">
        <v>23</v>
      </c>
      <c r="C38" s="12">
        <v>52.0</v>
      </c>
      <c r="E38" s="12">
        <v>24.0</v>
      </c>
      <c r="F38" s="12">
        <v>4.0</v>
      </c>
      <c r="G38" s="12">
        <v>6.0</v>
      </c>
      <c r="H38" s="12">
        <v>39.0</v>
      </c>
      <c r="J38" s="12"/>
      <c r="K38" s="12"/>
      <c r="L38" s="12"/>
      <c r="M38" s="12">
        <v>2.0</v>
      </c>
      <c r="N38" s="44">
        <f t="shared" ref="N38:N40" si="23">sum(C38:M38)</f>
        <v>127</v>
      </c>
      <c r="O38" s="12">
        <v>139.0</v>
      </c>
      <c r="P38" s="44">
        <f t="shared" ref="P38:P40" si="24">sum(N38:O38)</f>
        <v>266</v>
      </c>
    </row>
    <row r="39">
      <c r="B39" s="12" t="s">
        <v>24</v>
      </c>
      <c r="C39" s="12">
        <v>62.0</v>
      </c>
      <c r="E39" s="12">
        <v>28.0</v>
      </c>
      <c r="F39" s="12">
        <v>11.0</v>
      </c>
      <c r="G39" s="12">
        <v>8.0</v>
      </c>
      <c r="H39" s="12">
        <v>1.0</v>
      </c>
      <c r="J39" s="12"/>
      <c r="K39" s="12"/>
      <c r="L39" s="12"/>
      <c r="M39" s="12">
        <v>2.0</v>
      </c>
      <c r="N39" s="44">
        <f t="shared" si="23"/>
        <v>112</v>
      </c>
      <c r="P39" s="44">
        <f t="shared" si="24"/>
        <v>112</v>
      </c>
    </row>
    <row r="40">
      <c r="B40" s="12" t="s">
        <v>25</v>
      </c>
      <c r="C40" s="12">
        <v>38.0</v>
      </c>
      <c r="E40" s="12">
        <v>4.0</v>
      </c>
      <c r="F40" s="12">
        <v>3.0</v>
      </c>
      <c r="G40" s="12">
        <v>1.0</v>
      </c>
      <c r="J40" s="12"/>
      <c r="K40" s="12"/>
      <c r="L40" s="12"/>
      <c r="M40" s="12">
        <v>1.0</v>
      </c>
      <c r="N40" s="44">
        <f t="shared" si="23"/>
        <v>47</v>
      </c>
      <c r="O40" s="12">
        <v>1.0</v>
      </c>
      <c r="P40" s="44">
        <f t="shared" si="24"/>
        <v>48</v>
      </c>
    </row>
    <row r="41">
      <c r="B41" s="8" t="s">
        <v>26</v>
      </c>
      <c r="C41" s="44">
        <f t="shared" ref="C41:I41" si="25">sum(C38:C40)</f>
        <v>152</v>
      </c>
      <c r="D41" s="44">
        <f t="shared" si="25"/>
        <v>0</v>
      </c>
      <c r="E41" s="44">
        <f t="shared" si="25"/>
        <v>56</v>
      </c>
      <c r="F41" s="44">
        <f t="shared" si="25"/>
        <v>18</v>
      </c>
      <c r="G41" s="44">
        <f t="shared" si="25"/>
        <v>15</v>
      </c>
      <c r="H41" s="44">
        <f t="shared" si="25"/>
        <v>40</v>
      </c>
      <c r="I41" s="44">
        <f t="shared" si="25"/>
        <v>0</v>
      </c>
      <c r="J41" s="44"/>
      <c r="K41" s="44"/>
      <c r="L41" s="44"/>
      <c r="M41" s="44">
        <f t="shared" ref="M41:P41" si="26">sum(M38:M40)</f>
        <v>5</v>
      </c>
      <c r="N41" s="44">
        <f t="shared" si="26"/>
        <v>286</v>
      </c>
      <c r="O41" s="44">
        <f t="shared" si="26"/>
        <v>140</v>
      </c>
      <c r="P41" s="44">
        <f t="shared" si="26"/>
        <v>426</v>
      </c>
    </row>
    <row r="42">
      <c r="N42" s="44"/>
    </row>
    <row r="43">
      <c r="N43" s="44"/>
    </row>
    <row r="44">
      <c r="B44" s="8" t="s">
        <v>8</v>
      </c>
      <c r="C44" s="44">
        <f t="shared" ref="C44:I44" si="27">C41+C37+C32</f>
        <v>808</v>
      </c>
      <c r="D44" s="44">
        <f t="shared" si="27"/>
        <v>0</v>
      </c>
      <c r="E44" s="44">
        <f t="shared" si="27"/>
        <v>249</v>
      </c>
      <c r="F44" s="44">
        <f t="shared" si="27"/>
        <v>83</v>
      </c>
      <c r="G44" s="44">
        <f t="shared" si="27"/>
        <v>45</v>
      </c>
      <c r="H44" s="44">
        <f t="shared" si="27"/>
        <v>55</v>
      </c>
      <c r="I44" s="44">
        <f t="shared" si="27"/>
        <v>2</v>
      </c>
      <c r="J44" s="44"/>
      <c r="K44" s="44"/>
      <c r="L44" s="44"/>
      <c r="M44" s="44">
        <f t="shared" ref="M44:P44" si="28">M41+M37+M32</f>
        <v>12</v>
      </c>
      <c r="N44" s="44">
        <f t="shared" si="28"/>
        <v>1254</v>
      </c>
      <c r="O44" s="44">
        <f t="shared" si="28"/>
        <v>555</v>
      </c>
      <c r="P44" s="44">
        <f t="shared" si="28"/>
        <v>1809</v>
      </c>
      <c r="R44" s="12">
        <v>618.0</v>
      </c>
    </row>
    <row r="47">
      <c r="C47" s="196" t="s">
        <v>152</v>
      </c>
    </row>
    <row r="48">
      <c r="C48" s="12" t="s">
        <v>141</v>
      </c>
      <c r="D48" s="12" t="s">
        <v>142</v>
      </c>
      <c r="E48" s="12" t="s">
        <v>143</v>
      </c>
      <c r="F48" s="12" t="s">
        <v>144</v>
      </c>
      <c r="G48" s="12" t="s">
        <v>145</v>
      </c>
      <c r="H48" s="12" t="s">
        <v>146</v>
      </c>
      <c r="I48" s="12" t="s">
        <v>147</v>
      </c>
      <c r="J48" s="12"/>
      <c r="K48" s="12"/>
      <c r="L48" s="12"/>
      <c r="M48" s="12" t="s">
        <v>148</v>
      </c>
      <c r="N48" s="12" t="s">
        <v>8</v>
      </c>
      <c r="O48" s="12" t="s">
        <v>149</v>
      </c>
      <c r="P48" s="12" t="s">
        <v>150</v>
      </c>
    </row>
    <row r="50">
      <c r="B50" s="12" t="s">
        <v>13</v>
      </c>
      <c r="C50" s="12">
        <v>89.0</v>
      </c>
      <c r="E50" s="12">
        <v>47.0</v>
      </c>
      <c r="F50" s="12">
        <v>25.0</v>
      </c>
      <c r="G50" s="12">
        <v>8.0</v>
      </c>
      <c r="H50" s="12">
        <v>2.0</v>
      </c>
      <c r="I50" s="12">
        <v>1.0</v>
      </c>
      <c r="J50" s="12"/>
      <c r="K50" s="12"/>
      <c r="L50" s="12"/>
      <c r="M50" s="12">
        <v>1.0</v>
      </c>
      <c r="N50" s="44">
        <f t="shared" ref="N50:N53" si="29">sum(C50:M50)</f>
        <v>173</v>
      </c>
      <c r="O50" s="12">
        <v>503.0</v>
      </c>
      <c r="P50" s="44">
        <f t="shared" ref="P50:P53" si="30">sum(N50:O50)</f>
        <v>676</v>
      </c>
    </row>
    <row r="51">
      <c r="B51" s="12" t="s">
        <v>14</v>
      </c>
      <c r="C51" s="12">
        <v>49.0</v>
      </c>
      <c r="D51" s="12">
        <v>1.0</v>
      </c>
      <c r="E51" s="12">
        <v>30.0</v>
      </c>
      <c r="F51" s="12">
        <v>2.0</v>
      </c>
      <c r="G51" s="12">
        <v>5.0</v>
      </c>
      <c r="H51" s="12">
        <v>5.0</v>
      </c>
      <c r="I51" s="12">
        <v>1.0</v>
      </c>
      <c r="J51" s="12"/>
      <c r="K51" s="12"/>
      <c r="L51" s="12"/>
      <c r="M51" s="12">
        <v>1.0</v>
      </c>
      <c r="N51" s="44">
        <f t="shared" si="29"/>
        <v>94</v>
      </c>
      <c r="O51" s="12">
        <v>56.0</v>
      </c>
      <c r="P51" s="44">
        <f t="shared" si="30"/>
        <v>150</v>
      </c>
    </row>
    <row r="52">
      <c r="B52" s="12" t="s">
        <v>15</v>
      </c>
      <c r="C52" s="12">
        <v>74.0</v>
      </c>
      <c r="E52" s="12">
        <v>17.0</v>
      </c>
      <c r="F52" s="12">
        <v>11.0</v>
      </c>
      <c r="G52" s="12">
        <v>5.0</v>
      </c>
      <c r="N52" s="44">
        <f t="shared" si="29"/>
        <v>107</v>
      </c>
      <c r="P52" s="44">
        <f t="shared" si="30"/>
        <v>107</v>
      </c>
    </row>
    <row r="53">
      <c r="B53" s="12" t="s">
        <v>16</v>
      </c>
      <c r="C53" s="12">
        <v>80.0</v>
      </c>
      <c r="E53" s="12">
        <v>41.0</v>
      </c>
      <c r="F53" s="12">
        <v>14.0</v>
      </c>
      <c r="G53" s="12">
        <v>8.0</v>
      </c>
      <c r="J53" s="12"/>
      <c r="K53" s="12"/>
      <c r="L53" s="12"/>
      <c r="M53" s="12">
        <v>1.0</v>
      </c>
      <c r="N53" s="44">
        <f t="shared" si="29"/>
        <v>144</v>
      </c>
      <c r="P53" s="44">
        <f t="shared" si="30"/>
        <v>144</v>
      </c>
      <c r="R53" s="12" t="s">
        <v>153</v>
      </c>
    </row>
    <row r="54">
      <c r="B54" s="8" t="s">
        <v>17</v>
      </c>
      <c r="C54" s="44">
        <f t="shared" ref="C54:I54" si="31">sum(C50:C53)</f>
        <v>292</v>
      </c>
      <c r="D54" s="44">
        <f t="shared" si="31"/>
        <v>1</v>
      </c>
      <c r="E54" s="44">
        <f t="shared" si="31"/>
        <v>135</v>
      </c>
      <c r="F54" s="44">
        <f t="shared" si="31"/>
        <v>52</v>
      </c>
      <c r="G54" s="44">
        <f t="shared" si="31"/>
        <v>26</v>
      </c>
      <c r="H54" s="44">
        <f t="shared" si="31"/>
        <v>7</v>
      </c>
      <c r="I54" s="44">
        <f t="shared" si="31"/>
        <v>2</v>
      </c>
      <c r="J54" s="44"/>
      <c r="K54" s="44"/>
      <c r="L54" s="44"/>
      <c r="M54" s="44">
        <f t="shared" ref="M54:P54" si="32">sum(M50:M53)</f>
        <v>3</v>
      </c>
      <c r="N54" s="44">
        <f t="shared" si="32"/>
        <v>518</v>
      </c>
      <c r="O54" s="44">
        <f t="shared" si="32"/>
        <v>559</v>
      </c>
      <c r="P54" s="44">
        <f t="shared" si="32"/>
        <v>1077</v>
      </c>
    </row>
    <row r="55">
      <c r="B55" s="12" t="s">
        <v>18</v>
      </c>
      <c r="C55" s="12">
        <v>97.0</v>
      </c>
      <c r="E55" s="12">
        <v>16.0</v>
      </c>
      <c r="F55" s="12">
        <v>4.0</v>
      </c>
      <c r="G55" s="12">
        <v>6.0</v>
      </c>
      <c r="H55" s="12">
        <v>1.0</v>
      </c>
      <c r="N55" s="44">
        <f t="shared" ref="N55:N58" si="33">sum(C55:M55)</f>
        <v>124</v>
      </c>
      <c r="P55" s="44">
        <f t="shared" ref="P55:P58" si="34">sum(N55:O55)</f>
        <v>124</v>
      </c>
    </row>
    <row r="56">
      <c r="B56" s="12" t="s">
        <v>19</v>
      </c>
      <c r="C56" s="12">
        <v>67.0</v>
      </c>
      <c r="E56" s="12">
        <v>22.0</v>
      </c>
      <c r="F56" s="12">
        <v>18.0</v>
      </c>
      <c r="G56" s="12">
        <v>3.0</v>
      </c>
      <c r="H56" s="12">
        <v>1.0</v>
      </c>
      <c r="N56" s="44">
        <f t="shared" si="33"/>
        <v>111</v>
      </c>
      <c r="O56" s="12">
        <v>89.0</v>
      </c>
      <c r="P56" s="44">
        <f t="shared" si="34"/>
        <v>200</v>
      </c>
    </row>
    <row r="57">
      <c r="B57" s="12" t="s">
        <v>20</v>
      </c>
      <c r="C57" s="12">
        <v>58.0</v>
      </c>
      <c r="E57" s="12">
        <v>20.0</v>
      </c>
      <c r="F57" s="12">
        <v>4.0</v>
      </c>
      <c r="G57" s="12">
        <v>6.0</v>
      </c>
      <c r="H57" s="12">
        <v>1.0</v>
      </c>
      <c r="N57" s="44">
        <f t="shared" si="33"/>
        <v>89</v>
      </c>
      <c r="P57" s="44">
        <f t="shared" si="34"/>
        <v>89</v>
      </c>
    </row>
    <row r="58">
      <c r="B58" s="12" t="s">
        <v>21</v>
      </c>
      <c r="C58" s="12">
        <v>100.0</v>
      </c>
      <c r="E58" s="12">
        <v>49.0</v>
      </c>
      <c r="F58" s="12">
        <v>9.0</v>
      </c>
      <c r="G58" s="12">
        <v>11.0</v>
      </c>
      <c r="J58" s="12"/>
      <c r="K58" s="12"/>
      <c r="L58" s="12"/>
      <c r="M58" s="12">
        <v>9.0</v>
      </c>
      <c r="N58" s="44">
        <f t="shared" si="33"/>
        <v>178</v>
      </c>
      <c r="P58" s="44">
        <f t="shared" si="34"/>
        <v>178</v>
      </c>
    </row>
    <row r="59">
      <c r="B59" s="8" t="s">
        <v>22</v>
      </c>
      <c r="C59" s="44">
        <f t="shared" ref="C59:I59" si="35">sum(C55:C58)</f>
        <v>322</v>
      </c>
      <c r="D59" s="44">
        <f t="shared" si="35"/>
        <v>0</v>
      </c>
      <c r="E59" s="44">
        <f t="shared" si="35"/>
        <v>107</v>
      </c>
      <c r="F59" s="44">
        <f t="shared" si="35"/>
        <v>35</v>
      </c>
      <c r="G59" s="44">
        <f t="shared" si="35"/>
        <v>26</v>
      </c>
      <c r="H59" s="44">
        <f t="shared" si="35"/>
        <v>3</v>
      </c>
      <c r="I59" s="44">
        <f t="shared" si="35"/>
        <v>0</v>
      </c>
      <c r="J59" s="44"/>
      <c r="K59" s="44"/>
      <c r="L59" s="44"/>
      <c r="M59" s="44">
        <f t="shared" ref="M59:P59" si="36">sum(M55:M58)</f>
        <v>9</v>
      </c>
      <c r="N59" s="44">
        <f t="shared" si="36"/>
        <v>502</v>
      </c>
      <c r="O59" s="44">
        <f t="shared" si="36"/>
        <v>89</v>
      </c>
      <c r="P59" s="44">
        <f t="shared" si="36"/>
        <v>591</v>
      </c>
    </row>
    <row r="60">
      <c r="B60" s="12" t="s">
        <v>23</v>
      </c>
      <c r="C60" s="12">
        <v>48.0</v>
      </c>
      <c r="E60" s="12">
        <v>40.0</v>
      </c>
      <c r="F60" s="12">
        <v>4.0</v>
      </c>
      <c r="G60" s="12">
        <v>7.0</v>
      </c>
      <c r="H60" s="12">
        <v>18.0</v>
      </c>
      <c r="J60" s="12"/>
      <c r="K60" s="12"/>
      <c r="L60" s="12"/>
      <c r="M60" s="12">
        <v>1.0</v>
      </c>
      <c r="N60" s="44">
        <f t="shared" ref="N60:N62" si="37">sum(C60:M60)</f>
        <v>118</v>
      </c>
      <c r="O60" s="12">
        <v>231.0</v>
      </c>
      <c r="P60" s="44">
        <f t="shared" ref="P60:P62" si="38">sum(N60:O60)</f>
        <v>349</v>
      </c>
    </row>
    <row r="61">
      <c r="B61" s="12" t="s">
        <v>24</v>
      </c>
      <c r="C61" s="12">
        <v>85.0</v>
      </c>
      <c r="E61" s="12">
        <v>25.0</v>
      </c>
      <c r="F61" s="12">
        <v>6.0</v>
      </c>
      <c r="G61" s="12">
        <v>9.0</v>
      </c>
      <c r="H61" s="12">
        <v>8.0</v>
      </c>
      <c r="I61" s="12">
        <v>1.0</v>
      </c>
      <c r="N61" s="44">
        <f t="shared" si="37"/>
        <v>134</v>
      </c>
      <c r="P61" s="44">
        <f t="shared" si="38"/>
        <v>134</v>
      </c>
    </row>
    <row r="62">
      <c r="B62" s="12" t="s">
        <v>25</v>
      </c>
      <c r="C62" s="12">
        <v>37.0</v>
      </c>
      <c r="E62" s="12">
        <v>3.0</v>
      </c>
      <c r="F62" s="12">
        <v>2.0</v>
      </c>
      <c r="G62" s="12">
        <v>3.0</v>
      </c>
      <c r="N62" s="44">
        <f t="shared" si="37"/>
        <v>45</v>
      </c>
      <c r="P62" s="44">
        <f t="shared" si="38"/>
        <v>45</v>
      </c>
    </row>
    <row r="63">
      <c r="B63" s="8" t="s">
        <v>26</v>
      </c>
      <c r="C63" s="44">
        <f t="shared" ref="C63:I63" si="39">sum(C60:C62)</f>
        <v>170</v>
      </c>
      <c r="D63" s="44">
        <f t="shared" si="39"/>
        <v>0</v>
      </c>
      <c r="E63" s="44">
        <f t="shared" si="39"/>
        <v>68</v>
      </c>
      <c r="F63" s="44">
        <f t="shared" si="39"/>
        <v>12</v>
      </c>
      <c r="G63" s="44">
        <f t="shared" si="39"/>
        <v>19</v>
      </c>
      <c r="H63" s="44">
        <f t="shared" si="39"/>
        <v>26</v>
      </c>
      <c r="I63" s="44">
        <f t="shared" si="39"/>
        <v>1</v>
      </c>
      <c r="J63" s="44"/>
      <c r="K63" s="44"/>
      <c r="L63" s="44"/>
      <c r="M63" s="44">
        <f t="shared" ref="M63:P63" si="40">sum(M60:M62)</f>
        <v>1</v>
      </c>
      <c r="N63" s="44">
        <f t="shared" si="40"/>
        <v>297</v>
      </c>
      <c r="O63" s="44">
        <f t="shared" si="40"/>
        <v>231</v>
      </c>
      <c r="P63" s="44">
        <f t="shared" si="40"/>
        <v>528</v>
      </c>
    </row>
    <row r="64">
      <c r="N64" s="44"/>
    </row>
    <row r="65">
      <c r="N65" s="44"/>
    </row>
    <row r="66">
      <c r="B66" s="8" t="s">
        <v>8</v>
      </c>
      <c r="C66" s="44">
        <f t="shared" ref="C66:I66" si="41">C63+C59+C54</f>
        <v>784</v>
      </c>
      <c r="D66" s="44">
        <f t="shared" si="41"/>
        <v>1</v>
      </c>
      <c r="E66" s="44">
        <f t="shared" si="41"/>
        <v>310</v>
      </c>
      <c r="F66" s="44">
        <f t="shared" si="41"/>
        <v>99</v>
      </c>
      <c r="G66" s="44">
        <f t="shared" si="41"/>
        <v>71</v>
      </c>
      <c r="H66" s="44">
        <f t="shared" si="41"/>
        <v>36</v>
      </c>
      <c r="I66" s="44">
        <f t="shared" si="41"/>
        <v>3</v>
      </c>
      <c r="J66" s="44"/>
      <c r="K66" s="44"/>
      <c r="L66" s="44"/>
      <c r="M66" s="44">
        <f t="shared" ref="M66:P66" si="42">M63+M59+M54</f>
        <v>13</v>
      </c>
      <c r="N66" s="44">
        <f t="shared" si="42"/>
        <v>1317</v>
      </c>
      <c r="O66" s="44">
        <f t="shared" si="42"/>
        <v>879</v>
      </c>
      <c r="P66" s="44">
        <f t="shared" si="42"/>
        <v>2196</v>
      </c>
      <c r="Q66" s="20">
        <f>E66/N66</f>
        <v>0.2353834472</v>
      </c>
      <c r="R66" s="12">
        <v>885.0</v>
      </c>
      <c r="S66" s="20">
        <f>R66+R44+R22</f>
        <v>2337</v>
      </c>
      <c r="T66" s="20">
        <f>O66+O44+O22</f>
        <v>2165</v>
      </c>
      <c r="U66" s="20">
        <f>S66/T66</f>
        <v>1.079445727</v>
      </c>
    </row>
    <row r="69">
      <c r="C69" s="196" t="s">
        <v>154</v>
      </c>
    </row>
    <row r="70">
      <c r="C70" s="12" t="s">
        <v>141</v>
      </c>
      <c r="D70" s="12" t="s">
        <v>142</v>
      </c>
      <c r="E70" s="12" t="s">
        <v>143</v>
      </c>
      <c r="F70" s="12" t="s">
        <v>144</v>
      </c>
      <c r="G70" s="12" t="s">
        <v>145</v>
      </c>
      <c r="H70" s="12" t="s">
        <v>146</v>
      </c>
      <c r="I70" s="12" t="s">
        <v>147</v>
      </c>
      <c r="J70" s="12" t="s">
        <v>155</v>
      </c>
      <c r="K70" s="12" t="s">
        <v>156</v>
      </c>
      <c r="L70" s="12" t="s">
        <v>157</v>
      </c>
      <c r="M70" s="12" t="s">
        <v>148</v>
      </c>
      <c r="N70" s="12" t="s">
        <v>8</v>
      </c>
      <c r="O70" s="12" t="s">
        <v>149</v>
      </c>
      <c r="P70" s="12" t="s">
        <v>150</v>
      </c>
      <c r="R70" s="12" t="s">
        <v>88</v>
      </c>
      <c r="S70" s="12" t="s">
        <v>89</v>
      </c>
      <c r="T70" s="12" t="s">
        <v>90</v>
      </c>
    </row>
    <row r="72">
      <c r="B72" s="282" t="s">
        <v>13</v>
      </c>
      <c r="C72" s="12">
        <v>70.0</v>
      </c>
      <c r="D72" s="12">
        <v>1.0</v>
      </c>
      <c r="E72" s="12">
        <v>22.0</v>
      </c>
      <c r="F72" s="12">
        <v>20.0</v>
      </c>
      <c r="G72" s="12">
        <v>4.0</v>
      </c>
      <c r="H72" s="12">
        <v>1.0</v>
      </c>
      <c r="J72" s="12">
        <v>6.0</v>
      </c>
      <c r="K72" s="12">
        <v>5.0</v>
      </c>
      <c r="L72" s="12">
        <v>1.0</v>
      </c>
      <c r="M72" s="12">
        <v>5.0</v>
      </c>
      <c r="N72" s="44">
        <f t="shared" ref="N72:N75" si="43">sum(C72:M72)</f>
        <v>135</v>
      </c>
      <c r="P72" s="44">
        <f t="shared" ref="P72:P75" si="44">sum(N72:O72)</f>
        <v>135</v>
      </c>
      <c r="R72" s="12">
        <v>63.0</v>
      </c>
      <c r="S72" s="12">
        <v>41.0</v>
      </c>
      <c r="T72" s="12">
        <v>31.0</v>
      </c>
      <c r="U72" s="20">
        <f t="shared" ref="U72:U75" si="45">sum(R72:T72)</f>
        <v>135</v>
      </c>
      <c r="V72" s="20">
        <f t="shared" ref="V72:V75" si="46">U72-P72</f>
        <v>0</v>
      </c>
    </row>
    <row r="73">
      <c r="B73" s="282" t="s">
        <v>14</v>
      </c>
      <c r="C73" s="12">
        <v>47.0</v>
      </c>
      <c r="E73" s="12">
        <v>18.0</v>
      </c>
      <c r="F73" s="12">
        <v>4.0</v>
      </c>
      <c r="G73" s="12">
        <v>1.0</v>
      </c>
      <c r="H73" s="12">
        <v>2.0</v>
      </c>
      <c r="I73" s="12">
        <v>1.0</v>
      </c>
      <c r="J73" s="12">
        <v>2.0</v>
      </c>
      <c r="N73" s="44">
        <f t="shared" si="43"/>
        <v>75</v>
      </c>
      <c r="P73" s="44">
        <f t="shared" si="44"/>
        <v>75</v>
      </c>
      <c r="R73" s="12">
        <v>30.0</v>
      </c>
      <c r="S73" s="12">
        <v>19.0</v>
      </c>
      <c r="T73" s="12">
        <v>26.0</v>
      </c>
      <c r="U73" s="20">
        <f t="shared" si="45"/>
        <v>75</v>
      </c>
      <c r="V73" s="20">
        <f t="shared" si="46"/>
        <v>0</v>
      </c>
    </row>
    <row r="74">
      <c r="B74" s="282" t="s">
        <v>15</v>
      </c>
      <c r="C74" s="12">
        <v>56.0</v>
      </c>
      <c r="E74" s="12">
        <v>4.0</v>
      </c>
      <c r="F74" s="12">
        <v>6.0</v>
      </c>
      <c r="G74" s="12">
        <v>2.0</v>
      </c>
      <c r="J74" s="12">
        <v>3.0</v>
      </c>
      <c r="K74" s="12"/>
      <c r="L74" s="12"/>
      <c r="M74" s="12">
        <v>3.0</v>
      </c>
      <c r="N74" s="44">
        <f t="shared" si="43"/>
        <v>74</v>
      </c>
      <c r="P74" s="44">
        <f t="shared" si="44"/>
        <v>74</v>
      </c>
      <c r="R74" s="12">
        <v>27.0</v>
      </c>
      <c r="S74" s="12">
        <v>31.0</v>
      </c>
      <c r="T74" s="12">
        <v>16.0</v>
      </c>
      <c r="U74" s="20">
        <f t="shared" si="45"/>
        <v>74</v>
      </c>
      <c r="V74" s="20">
        <f t="shared" si="46"/>
        <v>0</v>
      </c>
    </row>
    <row r="75">
      <c r="B75" s="282" t="s">
        <v>16</v>
      </c>
      <c r="C75" s="12">
        <v>61.0</v>
      </c>
      <c r="E75" s="12">
        <v>17.0</v>
      </c>
      <c r="F75" s="12">
        <v>8.0</v>
      </c>
      <c r="G75" s="12">
        <v>4.0</v>
      </c>
      <c r="J75" s="12">
        <v>6.0</v>
      </c>
      <c r="K75" s="12"/>
      <c r="L75" s="12"/>
      <c r="M75" s="12">
        <v>1.0</v>
      </c>
      <c r="N75" s="44">
        <f t="shared" si="43"/>
        <v>97</v>
      </c>
      <c r="P75" s="44">
        <f t="shared" si="44"/>
        <v>97</v>
      </c>
      <c r="R75" s="12">
        <v>39.0</v>
      </c>
      <c r="S75" s="12">
        <v>34.0</v>
      </c>
      <c r="T75" s="12">
        <v>24.0</v>
      </c>
      <c r="U75" s="20">
        <f t="shared" si="45"/>
        <v>97</v>
      </c>
      <c r="V75" s="20">
        <f t="shared" si="46"/>
        <v>0</v>
      </c>
    </row>
    <row r="76">
      <c r="B76" s="8" t="s">
        <v>17</v>
      </c>
      <c r="C76" s="44">
        <f t="shared" ref="C76:P76" si="47">sum(C72:C75)</f>
        <v>234</v>
      </c>
      <c r="D76" s="44">
        <f t="shared" si="47"/>
        <v>1</v>
      </c>
      <c r="E76" s="44">
        <f t="shared" si="47"/>
        <v>61</v>
      </c>
      <c r="F76" s="44">
        <f t="shared" si="47"/>
        <v>38</v>
      </c>
      <c r="G76" s="44">
        <f t="shared" si="47"/>
        <v>11</v>
      </c>
      <c r="H76" s="44">
        <f t="shared" si="47"/>
        <v>3</v>
      </c>
      <c r="I76" s="44">
        <f t="shared" si="47"/>
        <v>1</v>
      </c>
      <c r="J76" s="44">
        <f t="shared" si="47"/>
        <v>17</v>
      </c>
      <c r="K76" s="44">
        <f t="shared" si="47"/>
        <v>5</v>
      </c>
      <c r="L76" s="44">
        <f t="shared" si="47"/>
        <v>1</v>
      </c>
      <c r="M76" s="44">
        <f t="shared" si="47"/>
        <v>9</v>
      </c>
      <c r="N76" s="44">
        <f t="shared" si="47"/>
        <v>381</v>
      </c>
      <c r="O76" s="44">
        <f t="shared" si="47"/>
        <v>0</v>
      </c>
      <c r="P76" s="44">
        <f t="shared" si="47"/>
        <v>381</v>
      </c>
    </row>
    <row r="77">
      <c r="B77" s="12" t="s">
        <v>18</v>
      </c>
      <c r="C77" s="12">
        <v>52.0</v>
      </c>
      <c r="D77" s="12">
        <v>1.0</v>
      </c>
      <c r="E77" s="12">
        <v>4.0</v>
      </c>
      <c r="F77" s="12">
        <v>1.0</v>
      </c>
      <c r="G77" s="12">
        <v>5.0</v>
      </c>
      <c r="J77" s="12">
        <v>3.0</v>
      </c>
      <c r="N77" s="44">
        <f t="shared" ref="N77:N80" si="48">sum(C77:M77)</f>
        <v>66</v>
      </c>
      <c r="P77" s="44">
        <f t="shared" ref="P77:P80" si="49">sum(N77:O77)</f>
        <v>66</v>
      </c>
      <c r="R77" s="12">
        <v>41.0</v>
      </c>
      <c r="S77" s="12">
        <v>25.0</v>
      </c>
      <c r="U77" s="20">
        <f t="shared" ref="U77:U80" si="50">sum(R77:T77)</f>
        <v>66</v>
      </c>
      <c r="V77" s="20">
        <f t="shared" ref="V77:V80" si="51">U77-P77</f>
        <v>0</v>
      </c>
    </row>
    <row r="78">
      <c r="B78" s="12" t="s">
        <v>19</v>
      </c>
      <c r="C78" s="12">
        <v>44.0</v>
      </c>
      <c r="D78" s="12">
        <v>1.0</v>
      </c>
      <c r="E78" s="12">
        <v>12.0</v>
      </c>
      <c r="F78" s="12">
        <v>9.0</v>
      </c>
      <c r="G78" s="12">
        <v>2.0</v>
      </c>
      <c r="H78" s="12">
        <v>1.0</v>
      </c>
      <c r="N78" s="44">
        <f t="shared" si="48"/>
        <v>69</v>
      </c>
      <c r="P78" s="44">
        <f t="shared" si="49"/>
        <v>69</v>
      </c>
      <c r="R78" s="12">
        <v>33.0</v>
      </c>
      <c r="S78" s="12">
        <v>36.0</v>
      </c>
      <c r="U78" s="20">
        <f t="shared" si="50"/>
        <v>69</v>
      </c>
      <c r="V78" s="20">
        <f t="shared" si="51"/>
        <v>0</v>
      </c>
    </row>
    <row r="79">
      <c r="B79" s="12" t="s">
        <v>20</v>
      </c>
      <c r="C79" s="12">
        <v>37.0</v>
      </c>
      <c r="D79" s="12">
        <v>1.0</v>
      </c>
      <c r="E79" s="12">
        <v>11.0</v>
      </c>
      <c r="F79" s="12">
        <v>5.0</v>
      </c>
      <c r="G79" s="12">
        <v>1.0</v>
      </c>
      <c r="J79" s="12">
        <v>3.0</v>
      </c>
      <c r="N79" s="44">
        <f t="shared" si="48"/>
        <v>58</v>
      </c>
      <c r="P79" s="44">
        <f t="shared" si="49"/>
        <v>58</v>
      </c>
      <c r="R79" s="12">
        <v>35.0</v>
      </c>
      <c r="S79" s="12">
        <v>23.0</v>
      </c>
      <c r="U79" s="20">
        <f t="shared" si="50"/>
        <v>58</v>
      </c>
      <c r="V79" s="20">
        <f t="shared" si="51"/>
        <v>0</v>
      </c>
    </row>
    <row r="80">
      <c r="B80" s="12" t="s">
        <v>21</v>
      </c>
      <c r="C80" s="12">
        <v>79.0</v>
      </c>
      <c r="E80" s="12">
        <v>14.0</v>
      </c>
      <c r="F80" s="12">
        <v>3.0</v>
      </c>
      <c r="G80" s="12">
        <v>2.0</v>
      </c>
      <c r="J80" s="12">
        <v>3.0</v>
      </c>
      <c r="N80" s="44">
        <f t="shared" si="48"/>
        <v>101</v>
      </c>
      <c r="P80" s="44">
        <f t="shared" si="49"/>
        <v>101</v>
      </c>
      <c r="R80" s="12">
        <v>54.0</v>
      </c>
      <c r="S80" s="12">
        <v>47.0</v>
      </c>
      <c r="U80" s="20">
        <f t="shared" si="50"/>
        <v>101</v>
      </c>
      <c r="V80" s="20">
        <f t="shared" si="51"/>
        <v>0</v>
      </c>
    </row>
    <row r="81">
      <c r="B81" s="8" t="s">
        <v>22</v>
      </c>
      <c r="C81" s="44">
        <f t="shared" ref="C81:P81" si="52">sum(C77:C80)</f>
        <v>212</v>
      </c>
      <c r="D81" s="44">
        <f t="shared" si="52"/>
        <v>3</v>
      </c>
      <c r="E81" s="44">
        <f t="shared" si="52"/>
        <v>41</v>
      </c>
      <c r="F81" s="44">
        <f t="shared" si="52"/>
        <v>18</v>
      </c>
      <c r="G81" s="44">
        <f t="shared" si="52"/>
        <v>10</v>
      </c>
      <c r="H81" s="44">
        <f t="shared" si="52"/>
        <v>1</v>
      </c>
      <c r="I81" s="44">
        <f t="shared" si="52"/>
        <v>0</v>
      </c>
      <c r="J81" s="44">
        <f t="shared" si="52"/>
        <v>9</v>
      </c>
      <c r="K81" s="44">
        <f t="shared" si="52"/>
        <v>0</v>
      </c>
      <c r="L81" s="44">
        <f t="shared" si="52"/>
        <v>0</v>
      </c>
      <c r="M81" s="44">
        <f t="shared" si="52"/>
        <v>0</v>
      </c>
      <c r="N81" s="44">
        <f t="shared" si="52"/>
        <v>294</v>
      </c>
      <c r="O81" s="44">
        <f t="shared" si="52"/>
        <v>0</v>
      </c>
      <c r="P81" s="44">
        <f t="shared" si="52"/>
        <v>294</v>
      </c>
    </row>
    <row r="82">
      <c r="B82" s="12" t="s">
        <v>23</v>
      </c>
      <c r="C82" s="12">
        <v>29.0</v>
      </c>
      <c r="E82" s="12">
        <v>17.0</v>
      </c>
      <c r="F82" s="12">
        <v>1.0</v>
      </c>
      <c r="G82" s="12">
        <v>4.0</v>
      </c>
      <c r="H82" s="12">
        <v>9.0</v>
      </c>
      <c r="J82" s="12">
        <v>2.0</v>
      </c>
      <c r="K82" s="12">
        <v>1.0</v>
      </c>
      <c r="N82" s="44">
        <f t="shared" ref="N82:N84" si="53">sum(C82:M82)</f>
        <v>63</v>
      </c>
      <c r="P82" s="44">
        <f t="shared" ref="P82:P84" si="54">sum(N82:O82)</f>
        <v>63</v>
      </c>
      <c r="R82" s="12">
        <v>34.0</v>
      </c>
      <c r="S82" s="12">
        <v>29.0</v>
      </c>
      <c r="U82" s="20">
        <f t="shared" ref="U82:U84" si="55">sum(R82:T82)</f>
        <v>63</v>
      </c>
      <c r="V82" s="20">
        <f t="shared" ref="V82:V84" si="56">U82-P82</f>
        <v>0</v>
      </c>
    </row>
    <row r="83">
      <c r="B83" s="12" t="s">
        <v>24</v>
      </c>
      <c r="C83" s="12">
        <v>53.0</v>
      </c>
      <c r="D83" s="12">
        <v>2.0</v>
      </c>
      <c r="E83" s="12">
        <v>6.0</v>
      </c>
      <c r="F83" s="12">
        <v>4.0</v>
      </c>
      <c r="G83" s="12">
        <v>5.0</v>
      </c>
      <c r="H83" s="12">
        <v>4.0</v>
      </c>
      <c r="J83" s="12">
        <v>6.0</v>
      </c>
      <c r="N83" s="44">
        <f t="shared" si="53"/>
        <v>80</v>
      </c>
      <c r="P83" s="44">
        <f t="shared" si="54"/>
        <v>80</v>
      </c>
      <c r="R83" s="12">
        <v>43.0</v>
      </c>
      <c r="S83" s="12">
        <v>37.0</v>
      </c>
      <c r="U83" s="20">
        <f t="shared" si="55"/>
        <v>80</v>
      </c>
      <c r="V83" s="20">
        <f t="shared" si="56"/>
        <v>0</v>
      </c>
    </row>
    <row r="84">
      <c r="B84" s="12" t="s">
        <v>25</v>
      </c>
      <c r="C84" s="12">
        <v>22.0</v>
      </c>
      <c r="E84" s="12">
        <v>5.0</v>
      </c>
      <c r="F84" s="12">
        <v>1.0</v>
      </c>
      <c r="G84" s="12">
        <v>1.0</v>
      </c>
      <c r="J84" s="12">
        <v>1.0</v>
      </c>
      <c r="N84" s="44">
        <f t="shared" si="53"/>
        <v>30</v>
      </c>
      <c r="P84" s="44">
        <f t="shared" si="54"/>
        <v>30</v>
      </c>
      <c r="R84" s="12">
        <v>16.0</v>
      </c>
      <c r="S84" s="12">
        <v>14.0</v>
      </c>
      <c r="U84" s="20">
        <f t="shared" si="55"/>
        <v>30</v>
      </c>
      <c r="V84" s="20">
        <f t="shared" si="56"/>
        <v>0</v>
      </c>
    </row>
    <row r="85">
      <c r="B85" s="8" t="s">
        <v>26</v>
      </c>
      <c r="C85" s="44">
        <f t="shared" ref="C85:P85" si="57">sum(C82:C84)</f>
        <v>104</v>
      </c>
      <c r="D85" s="44">
        <f t="shared" si="57"/>
        <v>2</v>
      </c>
      <c r="E85" s="44">
        <f t="shared" si="57"/>
        <v>28</v>
      </c>
      <c r="F85" s="44">
        <f t="shared" si="57"/>
        <v>6</v>
      </c>
      <c r="G85" s="44">
        <f t="shared" si="57"/>
        <v>10</v>
      </c>
      <c r="H85" s="44">
        <f t="shared" si="57"/>
        <v>13</v>
      </c>
      <c r="I85" s="44">
        <f t="shared" si="57"/>
        <v>0</v>
      </c>
      <c r="J85" s="44">
        <f t="shared" si="57"/>
        <v>9</v>
      </c>
      <c r="K85" s="44">
        <f t="shared" si="57"/>
        <v>1</v>
      </c>
      <c r="L85" s="44">
        <f t="shared" si="57"/>
        <v>0</v>
      </c>
      <c r="M85" s="44">
        <f t="shared" si="57"/>
        <v>0</v>
      </c>
      <c r="N85" s="44">
        <f t="shared" si="57"/>
        <v>173</v>
      </c>
      <c r="O85" s="44">
        <f t="shared" si="57"/>
        <v>0</v>
      </c>
      <c r="P85" s="44">
        <f t="shared" si="57"/>
        <v>173</v>
      </c>
    </row>
    <row r="86">
      <c r="N86" s="44"/>
    </row>
    <row r="87">
      <c r="N87" s="44"/>
    </row>
    <row r="88">
      <c r="B88" s="8" t="s">
        <v>8</v>
      </c>
      <c r="C88" s="44">
        <f t="shared" ref="C88:P88" si="58">C85+C81+C76</f>
        <v>550</v>
      </c>
      <c r="D88" s="44">
        <f t="shared" si="58"/>
        <v>6</v>
      </c>
      <c r="E88" s="44">
        <f t="shared" si="58"/>
        <v>130</v>
      </c>
      <c r="F88" s="44">
        <f t="shared" si="58"/>
        <v>62</v>
      </c>
      <c r="G88" s="44">
        <f t="shared" si="58"/>
        <v>31</v>
      </c>
      <c r="H88" s="44">
        <f t="shared" si="58"/>
        <v>17</v>
      </c>
      <c r="I88" s="44">
        <f t="shared" si="58"/>
        <v>1</v>
      </c>
      <c r="J88" s="44">
        <f t="shared" si="58"/>
        <v>35</v>
      </c>
      <c r="K88" s="44">
        <f t="shared" si="58"/>
        <v>6</v>
      </c>
      <c r="L88" s="44">
        <f t="shared" si="58"/>
        <v>1</v>
      </c>
      <c r="M88" s="44">
        <f t="shared" si="58"/>
        <v>9</v>
      </c>
      <c r="N88" s="44">
        <f t="shared" si="58"/>
        <v>848</v>
      </c>
      <c r="O88" s="44">
        <f t="shared" si="58"/>
        <v>0</v>
      </c>
      <c r="P88" s="44">
        <f t="shared" si="58"/>
        <v>848</v>
      </c>
      <c r="Q88" s="20">
        <f>E88/N88</f>
        <v>0.1533018868</v>
      </c>
      <c r="R88" s="20">
        <f t="shared" ref="R88:T88" si="59">sum(R71:R87)</f>
        <v>415</v>
      </c>
      <c r="S88" s="20">
        <f t="shared" si="59"/>
        <v>336</v>
      </c>
      <c r="T88" s="20">
        <f t="shared" si="59"/>
        <v>97</v>
      </c>
      <c r="U88" s="20">
        <f>sum(R88:T88)</f>
        <v>848</v>
      </c>
      <c r="V88" s="20">
        <f>U88-P88</f>
        <v>0</v>
      </c>
    </row>
    <row r="91">
      <c r="C91" s="196" t="s">
        <v>158</v>
      </c>
    </row>
    <row r="92">
      <c r="C92" s="12" t="s">
        <v>141</v>
      </c>
      <c r="D92" s="12" t="s">
        <v>142</v>
      </c>
      <c r="E92" s="12" t="s">
        <v>143</v>
      </c>
      <c r="F92" s="12" t="s">
        <v>144</v>
      </c>
      <c r="G92" s="12" t="s">
        <v>145</v>
      </c>
      <c r="H92" s="12" t="s">
        <v>146</v>
      </c>
      <c r="I92" s="12" t="s">
        <v>147</v>
      </c>
      <c r="J92" s="12" t="s">
        <v>155</v>
      </c>
      <c r="K92" s="12" t="s">
        <v>156</v>
      </c>
      <c r="L92" s="12" t="s">
        <v>159</v>
      </c>
      <c r="M92" s="12" t="s">
        <v>148</v>
      </c>
      <c r="N92" s="12" t="s">
        <v>8</v>
      </c>
      <c r="O92" s="12" t="s">
        <v>149</v>
      </c>
      <c r="P92" s="12" t="s">
        <v>150</v>
      </c>
    </row>
    <row r="94">
      <c r="B94" s="12" t="s">
        <v>13</v>
      </c>
      <c r="C94" s="20">
        <f t="shared" ref="C94:M94" si="60">C72+C50+C28+C6</f>
        <v>348</v>
      </c>
      <c r="D94" s="20">
        <f t="shared" si="60"/>
        <v>1</v>
      </c>
      <c r="E94" s="20">
        <f t="shared" si="60"/>
        <v>146</v>
      </c>
      <c r="F94" s="20">
        <f t="shared" si="60"/>
        <v>81</v>
      </c>
      <c r="G94" s="20">
        <f t="shared" si="60"/>
        <v>22</v>
      </c>
      <c r="H94" s="20">
        <f t="shared" si="60"/>
        <v>42</v>
      </c>
      <c r="I94" s="20">
        <f t="shared" si="60"/>
        <v>3</v>
      </c>
      <c r="J94" s="20">
        <f t="shared" si="60"/>
        <v>6</v>
      </c>
      <c r="K94" s="20">
        <f t="shared" si="60"/>
        <v>5</v>
      </c>
      <c r="L94" s="20">
        <f t="shared" si="60"/>
        <v>1</v>
      </c>
      <c r="M94" s="20">
        <f t="shared" si="60"/>
        <v>9</v>
      </c>
      <c r="N94" s="44">
        <f t="shared" ref="N94:N97" si="62">sum(C94:M94)</f>
        <v>664</v>
      </c>
      <c r="O94" s="20">
        <f t="shared" ref="O94:O97" si="63">O72+O50+O28+O6</f>
        <v>1169</v>
      </c>
      <c r="P94" s="44">
        <f t="shared" ref="P94:P97" si="64">sum(N94:O94)</f>
        <v>1833</v>
      </c>
    </row>
    <row r="95">
      <c r="B95" s="12" t="s">
        <v>14</v>
      </c>
      <c r="C95" s="20">
        <f t="shared" ref="C95:M95" si="61">C73+C51+C29+C7</f>
        <v>227</v>
      </c>
      <c r="D95" s="20">
        <f t="shared" si="61"/>
        <v>1</v>
      </c>
      <c r="E95" s="20">
        <f t="shared" si="61"/>
        <v>126</v>
      </c>
      <c r="F95" s="20">
        <f t="shared" si="61"/>
        <v>18</v>
      </c>
      <c r="G95" s="20">
        <f t="shared" si="61"/>
        <v>12</v>
      </c>
      <c r="H95" s="20">
        <f t="shared" si="61"/>
        <v>15</v>
      </c>
      <c r="I95" s="20">
        <f t="shared" si="61"/>
        <v>11</v>
      </c>
      <c r="J95" s="20">
        <f t="shared" si="61"/>
        <v>2</v>
      </c>
      <c r="K95" s="20">
        <f t="shared" si="61"/>
        <v>0</v>
      </c>
      <c r="L95" s="20">
        <f t="shared" si="61"/>
        <v>0</v>
      </c>
      <c r="M95" s="20">
        <f t="shared" si="61"/>
        <v>2</v>
      </c>
      <c r="N95" s="44">
        <f t="shared" si="62"/>
        <v>414</v>
      </c>
      <c r="O95" s="20">
        <f t="shared" si="63"/>
        <v>145</v>
      </c>
      <c r="P95" s="44">
        <f t="shared" si="64"/>
        <v>559</v>
      </c>
    </row>
    <row r="96">
      <c r="B96" s="12" t="s">
        <v>15</v>
      </c>
      <c r="C96" s="20">
        <f t="shared" ref="C96:M96" si="65">C74+C52+C30+C8</f>
        <v>246</v>
      </c>
      <c r="D96" s="20">
        <f t="shared" si="65"/>
        <v>0</v>
      </c>
      <c r="E96" s="20">
        <f t="shared" si="65"/>
        <v>56</v>
      </c>
      <c r="F96" s="20">
        <f t="shared" si="65"/>
        <v>38</v>
      </c>
      <c r="G96" s="20">
        <f t="shared" si="65"/>
        <v>16</v>
      </c>
      <c r="H96" s="20">
        <f t="shared" si="65"/>
        <v>4</v>
      </c>
      <c r="I96" s="20">
        <f t="shared" si="65"/>
        <v>0</v>
      </c>
      <c r="J96" s="20">
        <f t="shared" si="65"/>
        <v>3</v>
      </c>
      <c r="K96" s="20">
        <f t="shared" si="65"/>
        <v>0</v>
      </c>
      <c r="L96" s="20">
        <f t="shared" si="65"/>
        <v>0</v>
      </c>
      <c r="M96" s="20">
        <f t="shared" si="65"/>
        <v>6</v>
      </c>
      <c r="N96" s="44">
        <f t="shared" si="62"/>
        <v>369</v>
      </c>
      <c r="O96" s="20">
        <f t="shared" si="63"/>
        <v>0</v>
      </c>
      <c r="P96" s="44">
        <f t="shared" si="64"/>
        <v>369</v>
      </c>
    </row>
    <row r="97">
      <c r="B97" s="12" t="s">
        <v>16</v>
      </c>
      <c r="C97" s="20">
        <f t="shared" ref="C97:M97" si="66">C75+C53+C31+C9</f>
        <v>286</v>
      </c>
      <c r="D97" s="20">
        <f t="shared" si="66"/>
        <v>0</v>
      </c>
      <c r="E97" s="20">
        <f t="shared" si="66"/>
        <v>140</v>
      </c>
      <c r="F97" s="20">
        <f t="shared" si="66"/>
        <v>48</v>
      </c>
      <c r="G97" s="20">
        <f t="shared" si="66"/>
        <v>19</v>
      </c>
      <c r="H97" s="20">
        <f t="shared" si="66"/>
        <v>1</v>
      </c>
      <c r="I97" s="20">
        <f t="shared" si="66"/>
        <v>1</v>
      </c>
      <c r="J97" s="20">
        <f t="shared" si="66"/>
        <v>6</v>
      </c>
      <c r="K97" s="20">
        <f t="shared" si="66"/>
        <v>0</v>
      </c>
      <c r="L97" s="20">
        <f t="shared" si="66"/>
        <v>0</v>
      </c>
      <c r="M97" s="20">
        <f t="shared" si="66"/>
        <v>3</v>
      </c>
      <c r="N97" s="44">
        <f t="shared" si="62"/>
        <v>504</v>
      </c>
      <c r="O97" s="20">
        <f t="shared" si="63"/>
        <v>0</v>
      </c>
      <c r="P97" s="44">
        <f t="shared" si="64"/>
        <v>504</v>
      </c>
    </row>
    <row r="98">
      <c r="B98" s="8" t="s">
        <v>17</v>
      </c>
      <c r="C98" s="44">
        <f t="shared" ref="C98:P98" si="67">sum(C94:C97)</f>
        <v>1107</v>
      </c>
      <c r="D98" s="44">
        <f t="shared" si="67"/>
        <v>2</v>
      </c>
      <c r="E98" s="44">
        <f t="shared" si="67"/>
        <v>468</v>
      </c>
      <c r="F98" s="44">
        <f t="shared" si="67"/>
        <v>185</v>
      </c>
      <c r="G98" s="44">
        <f t="shared" si="67"/>
        <v>69</v>
      </c>
      <c r="H98" s="44">
        <f t="shared" si="67"/>
        <v>62</v>
      </c>
      <c r="I98" s="44">
        <f t="shared" si="67"/>
        <v>15</v>
      </c>
      <c r="J98" s="44">
        <f t="shared" si="67"/>
        <v>17</v>
      </c>
      <c r="K98" s="44">
        <f t="shared" si="67"/>
        <v>5</v>
      </c>
      <c r="L98" s="44">
        <f t="shared" si="67"/>
        <v>1</v>
      </c>
      <c r="M98" s="44">
        <f t="shared" si="67"/>
        <v>20</v>
      </c>
      <c r="N98" s="44">
        <f t="shared" si="67"/>
        <v>1951</v>
      </c>
      <c r="O98" s="44">
        <f t="shared" si="67"/>
        <v>1314</v>
      </c>
      <c r="P98" s="44">
        <f t="shared" si="67"/>
        <v>3265</v>
      </c>
    </row>
    <row r="99">
      <c r="B99" s="12" t="s">
        <v>18</v>
      </c>
      <c r="C99" s="20">
        <f t="shared" ref="C99:M99" si="68">C77+C55+C33+C11</f>
        <v>351</v>
      </c>
      <c r="D99" s="20">
        <f t="shared" si="68"/>
        <v>1</v>
      </c>
      <c r="E99" s="20">
        <f t="shared" si="68"/>
        <v>46</v>
      </c>
      <c r="F99" s="20">
        <f t="shared" si="68"/>
        <v>13</v>
      </c>
      <c r="G99" s="20">
        <f t="shared" si="68"/>
        <v>20</v>
      </c>
      <c r="H99" s="20">
        <f t="shared" si="68"/>
        <v>3</v>
      </c>
      <c r="I99" s="20">
        <f t="shared" si="68"/>
        <v>1</v>
      </c>
      <c r="J99" s="20">
        <f t="shared" si="68"/>
        <v>3</v>
      </c>
      <c r="K99" s="20">
        <f t="shared" si="68"/>
        <v>0</v>
      </c>
      <c r="L99" s="20">
        <f t="shared" si="68"/>
        <v>0</v>
      </c>
      <c r="M99" s="20">
        <f t="shared" si="68"/>
        <v>3</v>
      </c>
      <c r="N99" s="44">
        <f t="shared" ref="N99:N102" si="70">sum(C99:M99)</f>
        <v>441</v>
      </c>
      <c r="O99" s="20">
        <f t="shared" ref="O99:O102" si="71">O77+O55+O33+O11</f>
        <v>1</v>
      </c>
      <c r="P99" s="44">
        <f t="shared" ref="P99:P102" si="72">sum(N99:O99)</f>
        <v>442</v>
      </c>
    </row>
    <row r="100">
      <c r="B100" s="12" t="s">
        <v>19</v>
      </c>
      <c r="C100" s="20">
        <f t="shared" ref="C100:M100" si="69">C78+C56+C34+C12</f>
        <v>258</v>
      </c>
      <c r="D100" s="20">
        <f t="shared" si="69"/>
        <v>1</v>
      </c>
      <c r="E100" s="20">
        <f t="shared" si="69"/>
        <v>80</v>
      </c>
      <c r="F100" s="20">
        <f t="shared" si="69"/>
        <v>51</v>
      </c>
      <c r="G100" s="20">
        <f t="shared" si="69"/>
        <v>15</v>
      </c>
      <c r="H100" s="20">
        <f t="shared" si="69"/>
        <v>7</v>
      </c>
      <c r="I100" s="20">
        <f t="shared" si="69"/>
        <v>6</v>
      </c>
      <c r="J100" s="20">
        <f t="shared" si="69"/>
        <v>0</v>
      </c>
      <c r="K100" s="20">
        <f t="shared" si="69"/>
        <v>0</v>
      </c>
      <c r="L100" s="20">
        <f t="shared" si="69"/>
        <v>0</v>
      </c>
      <c r="M100" s="20">
        <f t="shared" si="69"/>
        <v>1</v>
      </c>
      <c r="N100" s="44">
        <f t="shared" si="70"/>
        <v>419</v>
      </c>
      <c r="O100" s="20">
        <f t="shared" si="71"/>
        <v>296</v>
      </c>
      <c r="P100" s="44">
        <f t="shared" si="72"/>
        <v>715</v>
      </c>
    </row>
    <row r="101">
      <c r="B101" s="12" t="s">
        <v>20</v>
      </c>
      <c r="C101" s="20">
        <f t="shared" ref="C101:M101" si="73">C79+C57+C35+C13</f>
        <v>253</v>
      </c>
      <c r="D101" s="20">
        <f t="shared" si="73"/>
        <v>1</v>
      </c>
      <c r="E101" s="20">
        <f t="shared" si="73"/>
        <v>75</v>
      </c>
      <c r="F101" s="20">
        <f t="shared" si="73"/>
        <v>18</v>
      </c>
      <c r="G101" s="20">
        <f t="shared" si="73"/>
        <v>16</v>
      </c>
      <c r="H101" s="20">
        <f t="shared" si="73"/>
        <v>3</v>
      </c>
      <c r="I101" s="20">
        <f t="shared" si="73"/>
        <v>0</v>
      </c>
      <c r="J101" s="20">
        <f t="shared" si="73"/>
        <v>3</v>
      </c>
      <c r="K101" s="20">
        <f t="shared" si="73"/>
        <v>0</v>
      </c>
      <c r="L101" s="20">
        <f t="shared" si="73"/>
        <v>0</v>
      </c>
      <c r="M101" s="20">
        <f t="shared" si="73"/>
        <v>0</v>
      </c>
      <c r="N101" s="44">
        <f t="shared" si="70"/>
        <v>369</v>
      </c>
      <c r="O101" s="20">
        <f t="shared" si="71"/>
        <v>0</v>
      </c>
      <c r="P101" s="44">
        <f t="shared" si="72"/>
        <v>369</v>
      </c>
    </row>
    <row r="102">
      <c r="B102" s="12" t="s">
        <v>21</v>
      </c>
      <c r="C102" s="20">
        <f t="shared" ref="C102:M102" si="74">C80+C58+C36+C14</f>
        <v>401</v>
      </c>
      <c r="D102" s="20">
        <f t="shared" si="74"/>
        <v>0</v>
      </c>
      <c r="E102" s="20">
        <f t="shared" si="74"/>
        <v>133</v>
      </c>
      <c r="F102" s="20">
        <f t="shared" si="74"/>
        <v>23</v>
      </c>
      <c r="G102" s="20">
        <f t="shared" si="74"/>
        <v>24</v>
      </c>
      <c r="H102" s="20">
        <f t="shared" si="74"/>
        <v>1</v>
      </c>
      <c r="I102" s="20">
        <f t="shared" si="74"/>
        <v>0</v>
      </c>
      <c r="J102" s="20">
        <f t="shared" si="74"/>
        <v>3</v>
      </c>
      <c r="K102" s="20">
        <f t="shared" si="74"/>
        <v>0</v>
      </c>
      <c r="L102" s="20">
        <f t="shared" si="74"/>
        <v>0</v>
      </c>
      <c r="M102" s="20">
        <f t="shared" si="74"/>
        <v>11</v>
      </c>
      <c r="N102" s="44">
        <f t="shared" si="70"/>
        <v>596</v>
      </c>
      <c r="O102" s="20">
        <f t="shared" si="71"/>
        <v>0</v>
      </c>
      <c r="P102" s="44">
        <f t="shared" si="72"/>
        <v>596</v>
      </c>
    </row>
    <row r="103">
      <c r="B103" s="8" t="s">
        <v>22</v>
      </c>
      <c r="C103" s="44">
        <f t="shared" ref="C103:P103" si="75">sum(C99:C102)</f>
        <v>1263</v>
      </c>
      <c r="D103" s="44">
        <f t="shared" si="75"/>
        <v>3</v>
      </c>
      <c r="E103" s="44">
        <f t="shared" si="75"/>
        <v>334</v>
      </c>
      <c r="F103" s="44">
        <f t="shared" si="75"/>
        <v>105</v>
      </c>
      <c r="G103" s="44">
        <f t="shared" si="75"/>
        <v>75</v>
      </c>
      <c r="H103" s="44">
        <f t="shared" si="75"/>
        <v>14</v>
      </c>
      <c r="I103" s="44">
        <f t="shared" si="75"/>
        <v>7</v>
      </c>
      <c r="J103" s="44">
        <f t="shared" si="75"/>
        <v>9</v>
      </c>
      <c r="K103" s="44">
        <f t="shared" si="75"/>
        <v>0</v>
      </c>
      <c r="L103" s="44">
        <f t="shared" si="75"/>
        <v>0</v>
      </c>
      <c r="M103" s="44">
        <f t="shared" si="75"/>
        <v>15</v>
      </c>
      <c r="N103" s="44">
        <f t="shared" si="75"/>
        <v>1825</v>
      </c>
      <c r="O103" s="44">
        <f t="shared" si="75"/>
        <v>297</v>
      </c>
      <c r="P103" s="44">
        <f t="shared" si="75"/>
        <v>2122</v>
      </c>
    </row>
    <row r="104">
      <c r="B104" s="12" t="s">
        <v>23</v>
      </c>
      <c r="C104" s="20">
        <f t="shared" ref="C104:M104" si="76">C82+C60+C38+C16</f>
        <v>180</v>
      </c>
      <c r="D104" s="20">
        <f t="shared" si="76"/>
        <v>0</v>
      </c>
      <c r="E104" s="20">
        <f t="shared" si="76"/>
        <v>113</v>
      </c>
      <c r="F104" s="20">
        <f t="shared" si="76"/>
        <v>13</v>
      </c>
      <c r="G104" s="20">
        <f t="shared" si="76"/>
        <v>22</v>
      </c>
      <c r="H104" s="20">
        <f t="shared" si="76"/>
        <v>101</v>
      </c>
      <c r="I104" s="20">
        <f t="shared" si="76"/>
        <v>0</v>
      </c>
      <c r="J104" s="20">
        <f t="shared" si="76"/>
        <v>2</v>
      </c>
      <c r="K104" s="20">
        <f t="shared" si="76"/>
        <v>1</v>
      </c>
      <c r="L104" s="20">
        <f t="shared" si="76"/>
        <v>0</v>
      </c>
      <c r="M104" s="20">
        <f t="shared" si="76"/>
        <v>7</v>
      </c>
      <c r="N104" s="44">
        <f t="shared" ref="N104:N106" si="78">sum(C104:M104)</f>
        <v>439</v>
      </c>
      <c r="O104" s="20">
        <f t="shared" ref="O104:O106" si="79">O82+O60+O38+O16</f>
        <v>550</v>
      </c>
      <c r="P104" s="44">
        <f t="shared" ref="P104:P106" si="80">sum(N104:O104)</f>
        <v>989</v>
      </c>
    </row>
    <row r="105">
      <c r="B105" s="12" t="s">
        <v>24</v>
      </c>
      <c r="C105" s="20">
        <f t="shared" ref="C105:M105" si="77">C83+C61+C39+C17</f>
        <v>255</v>
      </c>
      <c r="D105" s="20">
        <f t="shared" si="77"/>
        <v>3</v>
      </c>
      <c r="E105" s="20">
        <f t="shared" si="77"/>
        <v>97</v>
      </c>
      <c r="F105" s="20">
        <f t="shared" si="77"/>
        <v>36</v>
      </c>
      <c r="G105" s="20">
        <f t="shared" si="77"/>
        <v>25</v>
      </c>
      <c r="H105" s="20">
        <f t="shared" si="77"/>
        <v>13</v>
      </c>
      <c r="I105" s="20">
        <f t="shared" si="77"/>
        <v>1</v>
      </c>
      <c r="J105" s="20">
        <f t="shared" si="77"/>
        <v>6</v>
      </c>
      <c r="K105" s="20">
        <f t="shared" si="77"/>
        <v>0</v>
      </c>
      <c r="L105" s="20">
        <f t="shared" si="77"/>
        <v>0</v>
      </c>
      <c r="M105" s="20">
        <f t="shared" si="77"/>
        <v>3</v>
      </c>
      <c r="N105" s="44">
        <f t="shared" si="78"/>
        <v>439</v>
      </c>
      <c r="O105" s="20">
        <f t="shared" si="79"/>
        <v>0</v>
      </c>
      <c r="P105" s="44">
        <f t="shared" si="80"/>
        <v>439</v>
      </c>
    </row>
    <row r="106">
      <c r="B106" s="12" t="s">
        <v>25</v>
      </c>
      <c r="C106" s="20">
        <f t="shared" ref="C106:M106" si="81">C84+C62+C40+C18</f>
        <v>125</v>
      </c>
      <c r="D106" s="20">
        <f t="shared" si="81"/>
        <v>0</v>
      </c>
      <c r="E106" s="20">
        <f t="shared" si="81"/>
        <v>20</v>
      </c>
      <c r="F106" s="20">
        <f t="shared" si="81"/>
        <v>8</v>
      </c>
      <c r="G106" s="20">
        <f t="shared" si="81"/>
        <v>10</v>
      </c>
      <c r="H106" s="20">
        <f t="shared" si="81"/>
        <v>0</v>
      </c>
      <c r="I106" s="20">
        <f t="shared" si="81"/>
        <v>0</v>
      </c>
      <c r="J106" s="20">
        <f t="shared" si="81"/>
        <v>1</v>
      </c>
      <c r="K106" s="20">
        <f t="shared" si="81"/>
        <v>0</v>
      </c>
      <c r="L106" s="20">
        <f t="shared" si="81"/>
        <v>0</v>
      </c>
      <c r="M106" s="20">
        <f t="shared" si="81"/>
        <v>4</v>
      </c>
      <c r="N106" s="44">
        <f t="shared" si="78"/>
        <v>168</v>
      </c>
      <c r="O106" s="20">
        <f t="shared" si="79"/>
        <v>4</v>
      </c>
      <c r="P106" s="44">
        <f t="shared" si="80"/>
        <v>172</v>
      </c>
    </row>
    <row r="107">
      <c r="B107" s="8" t="s">
        <v>26</v>
      </c>
      <c r="C107" s="44">
        <f t="shared" ref="C107:P107" si="82">sum(C104:C106)</f>
        <v>560</v>
      </c>
      <c r="D107" s="44">
        <f t="shared" si="82"/>
        <v>3</v>
      </c>
      <c r="E107" s="44">
        <f t="shared" si="82"/>
        <v>230</v>
      </c>
      <c r="F107" s="44">
        <f t="shared" si="82"/>
        <v>57</v>
      </c>
      <c r="G107" s="44">
        <f t="shared" si="82"/>
        <v>57</v>
      </c>
      <c r="H107" s="44">
        <f t="shared" si="82"/>
        <v>114</v>
      </c>
      <c r="I107" s="44">
        <f t="shared" si="82"/>
        <v>1</v>
      </c>
      <c r="J107" s="44">
        <f t="shared" si="82"/>
        <v>9</v>
      </c>
      <c r="K107" s="44">
        <f t="shared" si="82"/>
        <v>1</v>
      </c>
      <c r="L107" s="44">
        <f t="shared" si="82"/>
        <v>0</v>
      </c>
      <c r="M107" s="44">
        <f t="shared" si="82"/>
        <v>14</v>
      </c>
      <c r="N107" s="44">
        <f t="shared" si="82"/>
        <v>1046</v>
      </c>
      <c r="O107" s="44">
        <f t="shared" si="82"/>
        <v>554</v>
      </c>
      <c r="P107" s="44">
        <f t="shared" si="82"/>
        <v>1600</v>
      </c>
    </row>
    <row r="108">
      <c r="N108" s="44"/>
    </row>
    <row r="109">
      <c r="N109" s="44"/>
    </row>
    <row r="110">
      <c r="B110" s="8" t="s">
        <v>8</v>
      </c>
      <c r="C110" s="44">
        <f t="shared" ref="C110:P110" si="83">C107+C103+C98</f>
        <v>2930</v>
      </c>
      <c r="D110" s="44">
        <f t="shared" si="83"/>
        <v>8</v>
      </c>
      <c r="E110" s="44">
        <f t="shared" si="83"/>
        <v>1032</v>
      </c>
      <c r="F110" s="44">
        <f t="shared" si="83"/>
        <v>347</v>
      </c>
      <c r="G110" s="44">
        <f t="shared" si="83"/>
        <v>201</v>
      </c>
      <c r="H110" s="44">
        <f t="shared" si="83"/>
        <v>190</v>
      </c>
      <c r="I110" s="44">
        <f t="shared" si="83"/>
        <v>23</v>
      </c>
      <c r="J110" s="44">
        <f t="shared" si="83"/>
        <v>35</v>
      </c>
      <c r="K110" s="44">
        <f t="shared" si="83"/>
        <v>6</v>
      </c>
      <c r="L110" s="44">
        <f t="shared" si="83"/>
        <v>1</v>
      </c>
      <c r="M110" s="44">
        <f t="shared" si="83"/>
        <v>49</v>
      </c>
      <c r="N110" s="44">
        <f t="shared" si="83"/>
        <v>4822</v>
      </c>
      <c r="O110" s="44">
        <f t="shared" si="83"/>
        <v>2165</v>
      </c>
      <c r="P110" s="44">
        <f t="shared" si="83"/>
        <v>6987</v>
      </c>
      <c r="Q110" s="20">
        <f>E110/N110</f>
        <v>0.2140190792</v>
      </c>
    </row>
  </sheetData>
  <mergeCells count="5">
    <mergeCell ref="C3:N3"/>
    <mergeCell ref="C25:N25"/>
    <mergeCell ref="C47:N47"/>
    <mergeCell ref="C69:N69"/>
    <mergeCell ref="C91:N9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13"/>
    <col customWidth="1" min="3" max="3" width="9.0"/>
    <col customWidth="1" min="4" max="4" width="8.88"/>
    <col customWidth="1" min="5" max="6" width="7.13"/>
    <col customWidth="1" min="7" max="7" width="9.5"/>
    <col customWidth="1" min="8" max="8" width="10.38"/>
    <col customWidth="1" min="9" max="10" width="7.13"/>
    <col customWidth="1" min="11" max="11" width="9.38"/>
    <col customWidth="1" min="12" max="12" width="9.75"/>
    <col customWidth="1" min="13" max="16" width="7.13"/>
    <col customWidth="1" min="17" max="17" width="10.13"/>
    <col customWidth="1" min="18" max="18" width="9.0"/>
    <col customWidth="1" min="19" max="21" width="7.13"/>
    <col customWidth="1" min="28" max="30" width="8.75"/>
    <col customWidth="1" min="31" max="31" width="10.5"/>
    <col customWidth="1" min="32" max="43" width="8.75"/>
  </cols>
  <sheetData>
    <row r="1">
      <c r="Y1" s="40"/>
    </row>
    <row r="3">
      <c r="A3" s="187" t="s">
        <v>28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8"/>
      <c r="U3" s="2"/>
      <c r="V3" s="257"/>
      <c r="W3" s="258"/>
      <c r="X3" s="259"/>
      <c r="Y3" s="110" t="s">
        <v>29</v>
      </c>
      <c r="Z3" s="111" t="s">
        <v>30</v>
      </c>
      <c r="AA3" s="187" t="s">
        <v>121</v>
      </c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226"/>
      <c r="AR3" s="110" t="s">
        <v>29</v>
      </c>
      <c r="AS3" s="111" t="s">
        <v>30</v>
      </c>
    </row>
    <row r="4">
      <c r="A4" s="13"/>
      <c r="B4" s="190"/>
      <c r="C4" s="89" t="s">
        <v>160</v>
      </c>
      <c r="D4" s="90"/>
      <c r="E4" s="90"/>
      <c r="F4" s="90"/>
      <c r="G4" s="91" t="s">
        <v>161</v>
      </c>
      <c r="H4" s="90"/>
      <c r="I4" s="90"/>
      <c r="J4" s="90"/>
      <c r="K4" s="91" t="s">
        <v>162</v>
      </c>
      <c r="L4" s="90"/>
      <c r="M4" s="90"/>
      <c r="N4" s="90"/>
      <c r="O4" s="136"/>
      <c r="P4" s="178"/>
      <c r="Q4" s="91" t="s">
        <v>8</v>
      </c>
      <c r="R4" s="90"/>
      <c r="S4" s="90"/>
      <c r="T4" s="92"/>
      <c r="U4" s="9"/>
      <c r="V4" s="9"/>
      <c r="X4" s="14"/>
      <c r="Z4" s="136"/>
      <c r="AA4" s="13"/>
      <c r="AB4" s="190"/>
      <c r="AC4" s="89" t="s">
        <v>125</v>
      </c>
      <c r="AD4" s="90"/>
      <c r="AE4" s="90"/>
      <c r="AF4" s="91" t="s">
        <v>60</v>
      </c>
      <c r="AG4" s="90"/>
      <c r="AH4" s="90"/>
      <c r="AI4" s="91" t="s">
        <v>126</v>
      </c>
      <c r="AJ4" s="90"/>
      <c r="AK4" s="90"/>
      <c r="AL4" s="136"/>
      <c r="AM4" s="178"/>
      <c r="AN4" s="91" t="s">
        <v>8</v>
      </c>
      <c r="AO4" s="90"/>
      <c r="AP4" s="92"/>
      <c r="AQ4" s="138"/>
    </row>
    <row r="5">
      <c r="A5" s="15"/>
      <c r="B5" s="179" t="s">
        <v>7</v>
      </c>
      <c r="C5" s="179" t="s">
        <v>34</v>
      </c>
      <c r="D5" s="179" t="s">
        <v>36</v>
      </c>
      <c r="E5" s="179" t="s">
        <v>37</v>
      </c>
      <c r="F5" s="179" t="s">
        <v>38</v>
      </c>
      <c r="G5" s="179" t="s">
        <v>34</v>
      </c>
      <c r="H5" s="179" t="s">
        <v>36</v>
      </c>
      <c r="I5" s="179" t="s">
        <v>37</v>
      </c>
      <c r="J5" s="179" t="s">
        <v>38</v>
      </c>
      <c r="K5" s="179" t="s">
        <v>34</v>
      </c>
      <c r="L5" s="179" t="s">
        <v>36</v>
      </c>
      <c r="M5" s="179" t="s">
        <v>37</v>
      </c>
      <c r="N5" s="179" t="s">
        <v>38</v>
      </c>
      <c r="O5" s="204"/>
      <c r="P5" s="179" t="s">
        <v>7</v>
      </c>
      <c r="Q5" s="179" t="s">
        <v>34</v>
      </c>
      <c r="R5" s="179" t="s">
        <v>36</v>
      </c>
      <c r="S5" s="179" t="s">
        <v>37</v>
      </c>
      <c r="T5" s="181" t="s">
        <v>38</v>
      </c>
      <c r="U5" s="182" t="s">
        <v>39</v>
      </c>
      <c r="V5" s="142" t="s">
        <v>41</v>
      </c>
      <c r="W5" s="8" t="s">
        <v>9</v>
      </c>
      <c r="X5" s="11" t="s">
        <v>42</v>
      </c>
      <c r="Z5" s="260"/>
      <c r="AA5" s="15"/>
      <c r="AB5" s="179" t="s">
        <v>7</v>
      </c>
      <c r="AC5" s="179" t="s">
        <v>131</v>
      </c>
      <c r="AD5" s="179" t="s">
        <v>37</v>
      </c>
      <c r="AE5" s="179" t="s">
        <v>38</v>
      </c>
      <c r="AF5" s="179" t="s">
        <v>131</v>
      </c>
      <c r="AG5" s="179" t="s">
        <v>37</v>
      </c>
      <c r="AH5" s="179" t="s">
        <v>38</v>
      </c>
      <c r="AI5" s="179" t="s">
        <v>131</v>
      </c>
      <c r="AJ5" s="179" t="s">
        <v>37</v>
      </c>
      <c r="AK5" s="179" t="s">
        <v>38</v>
      </c>
      <c r="AL5" s="204"/>
      <c r="AM5" s="179" t="s">
        <v>7</v>
      </c>
      <c r="AN5" s="179" t="s">
        <v>131</v>
      </c>
      <c r="AO5" s="179" t="s">
        <v>37</v>
      </c>
      <c r="AP5" s="181" t="s">
        <v>38</v>
      </c>
      <c r="AQ5" s="228" t="s">
        <v>39</v>
      </c>
      <c r="AS5" s="260"/>
    </row>
    <row r="6">
      <c r="A6" s="16" t="s">
        <v>13</v>
      </c>
      <c r="B6" s="216">
        <f>-'2024 - Q2'!U6</f>
        <v>80</v>
      </c>
      <c r="C6" s="17">
        <v>39.0</v>
      </c>
      <c r="D6" s="17">
        <v>2.0</v>
      </c>
      <c r="E6" s="96">
        <f t="shared" ref="E6:E9" si="2">SUM(C6:D6)</f>
        <v>41</v>
      </c>
      <c r="F6" s="245">
        <f>Targets!B30</f>
        <v>42</v>
      </c>
      <c r="G6" s="261">
        <v>24.0</v>
      </c>
      <c r="H6" s="17"/>
      <c r="I6" s="96">
        <f t="shared" ref="I6:I9" si="3">SUM(G6:H6)</f>
        <v>24</v>
      </c>
      <c r="J6" s="245">
        <f>Targets!C30</f>
        <v>21</v>
      </c>
      <c r="K6" s="261">
        <v>107.0</v>
      </c>
      <c r="L6" s="17">
        <v>1.0</v>
      </c>
      <c r="M6" s="96">
        <f t="shared" ref="M6:M9" si="4">SUM(K6:L6)</f>
        <v>108</v>
      </c>
      <c r="N6" s="245">
        <f>Targets!D30</f>
        <v>120</v>
      </c>
      <c r="O6" s="31"/>
      <c r="P6" s="217">
        <f t="shared" ref="P6:P9" si="5">B6</f>
        <v>80</v>
      </c>
      <c r="Q6" s="31">
        <f t="shared" ref="Q6:R6" si="1">K6+G6+C6</f>
        <v>170</v>
      </c>
      <c r="R6" s="31">
        <f t="shared" si="1"/>
        <v>3</v>
      </c>
      <c r="S6" s="218">
        <f t="shared" ref="S6:S9" si="7">sum(P6:R6)</f>
        <v>253</v>
      </c>
      <c r="T6" s="262">
        <f t="shared" ref="T6:T9" si="8">N6+J6+F6</f>
        <v>183</v>
      </c>
      <c r="U6" s="219">
        <f t="shared" ref="U6:U9" si="9">T6-S6</f>
        <v>-70</v>
      </c>
      <c r="V6" s="16">
        <f t="shared" ref="V6:V9" si="10">R6+Q6</f>
        <v>173</v>
      </c>
      <c r="W6" s="263">
        <f t="shared" ref="W6:W9" si="11">T6</f>
        <v>183</v>
      </c>
      <c r="X6" s="264">
        <f t="shared" ref="X6:X9" si="12">(Q6+R6)/T6</f>
        <v>0.9453551913</v>
      </c>
      <c r="Y6" s="40">
        <v>45565.0</v>
      </c>
      <c r="Z6" s="240" t="s">
        <v>57</v>
      </c>
      <c r="AA6" s="95" t="s">
        <v>13</v>
      </c>
      <c r="AB6" s="216">
        <f>Targets!AC30</f>
        <v>5</v>
      </c>
      <c r="AC6" s="17">
        <f t="shared" ref="AC6:AC9" si="13">AG47</f>
        <v>1</v>
      </c>
      <c r="AD6" s="96">
        <f t="shared" ref="AD6:AD9" si="14">SUM(AC6)</f>
        <v>1</v>
      </c>
      <c r="AE6" s="97">
        <f>Targets!T43+Targets!U43</f>
        <v>8</v>
      </c>
      <c r="AF6" s="261">
        <v>3.0</v>
      </c>
      <c r="AG6" s="96">
        <f t="shared" ref="AG6:AG9" si="15">SUM(AF6)</f>
        <v>3</v>
      </c>
      <c r="AH6" s="97">
        <f>Targets!V43</f>
        <v>1</v>
      </c>
      <c r="AI6" s="261">
        <v>0.0</v>
      </c>
      <c r="AJ6" s="96">
        <f t="shared" ref="AJ6:AJ9" si="16">SUM(AI6)</f>
        <v>0</v>
      </c>
      <c r="AK6" s="97" t="str">
        <f>Targets!W43</f>
        <v/>
      </c>
      <c r="AL6" s="32"/>
      <c r="AM6" s="217">
        <f t="shared" ref="AM6:AM9" si="17">AB6</f>
        <v>5</v>
      </c>
      <c r="AN6" s="31">
        <f t="shared" ref="AN6:AN9" si="18">AI6+AF6+AC6</f>
        <v>4</v>
      </c>
      <c r="AO6" s="218">
        <f t="shared" ref="AO6:AO9" si="19">AN6+AM6</f>
        <v>9</v>
      </c>
      <c r="AP6" s="100">
        <f t="shared" ref="AP6:AP9" si="20">AK6+AH6+AE6</f>
        <v>9</v>
      </c>
      <c r="AQ6" s="266">
        <f t="shared" ref="AQ6:AQ9" si="21">AP6-AO6</f>
        <v>0</v>
      </c>
      <c r="AR6" s="40">
        <v>45565.0</v>
      </c>
      <c r="AS6" s="240" t="s">
        <v>57</v>
      </c>
    </row>
    <row r="7">
      <c r="A7" s="16" t="s">
        <v>14</v>
      </c>
      <c r="B7" s="216">
        <f>-'2024 - Q2'!U7</f>
        <v>-20</v>
      </c>
      <c r="C7" s="17">
        <v>28.0</v>
      </c>
      <c r="D7" s="17">
        <v>3.0</v>
      </c>
      <c r="E7" s="96">
        <f t="shared" si="2"/>
        <v>31</v>
      </c>
      <c r="F7" s="245">
        <f>Targets!B27</f>
        <v>37</v>
      </c>
      <c r="G7" s="261">
        <v>4.0</v>
      </c>
      <c r="H7" s="17"/>
      <c r="I7" s="96">
        <f t="shared" si="3"/>
        <v>4</v>
      </c>
      <c r="J7" s="245">
        <f>Targets!C27</f>
        <v>16</v>
      </c>
      <c r="K7" s="261">
        <v>56.0</v>
      </c>
      <c r="L7" s="17">
        <v>3.0</v>
      </c>
      <c r="M7" s="96">
        <f t="shared" si="4"/>
        <v>59</v>
      </c>
      <c r="N7" s="245">
        <f>Targets!D27</f>
        <v>115</v>
      </c>
      <c r="O7" s="31"/>
      <c r="P7" s="217">
        <f t="shared" si="5"/>
        <v>-20</v>
      </c>
      <c r="Q7" s="31">
        <f t="shared" ref="Q7:R7" si="6">K7+G7+C7</f>
        <v>88</v>
      </c>
      <c r="R7" s="31">
        <f t="shared" si="6"/>
        <v>6</v>
      </c>
      <c r="S7" s="218">
        <f t="shared" si="7"/>
        <v>74</v>
      </c>
      <c r="T7" s="262">
        <f t="shared" si="8"/>
        <v>168</v>
      </c>
      <c r="U7" s="219">
        <f t="shared" si="9"/>
        <v>94</v>
      </c>
      <c r="V7" s="16">
        <f t="shared" si="10"/>
        <v>94</v>
      </c>
      <c r="W7" s="263">
        <f t="shared" si="11"/>
        <v>168</v>
      </c>
      <c r="X7" s="264">
        <f t="shared" si="12"/>
        <v>0.5595238095</v>
      </c>
      <c r="Y7" s="40">
        <v>45565.0</v>
      </c>
      <c r="Z7" s="240" t="s">
        <v>57</v>
      </c>
      <c r="AA7" s="95" t="s">
        <v>14</v>
      </c>
      <c r="AB7" s="216">
        <f>Targets!AC27</f>
        <v>3</v>
      </c>
      <c r="AC7" s="17" t="str">
        <f t="shared" si="13"/>
        <v/>
      </c>
      <c r="AD7" s="96">
        <f t="shared" si="14"/>
        <v>0</v>
      </c>
      <c r="AE7" s="97">
        <f>Targets!T44+Targets!U44</f>
        <v>7</v>
      </c>
      <c r="AF7" s="261">
        <v>2.0</v>
      </c>
      <c r="AG7" s="96">
        <f t="shared" si="15"/>
        <v>2</v>
      </c>
      <c r="AH7" s="97">
        <f>Targets!V44</f>
        <v>1</v>
      </c>
      <c r="AI7" s="261">
        <v>0.0</v>
      </c>
      <c r="AJ7" s="96">
        <f t="shared" si="16"/>
        <v>0</v>
      </c>
      <c r="AK7" s="97" t="str">
        <f>Targets!W44</f>
        <v/>
      </c>
      <c r="AL7" s="32"/>
      <c r="AM7" s="217">
        <f t="shared" si="17"/>
        <v>3</v>
      </c>
      <c r="AN7" s="31">
        <f t="shared" si="18"/>
        <v>2</v>
      </c>
      <c r="AO7" s="218">
        <f t="shared" si="19"/>
        <v>5</v>
      </c>
      <c r="AP7" s="100">
        <f t="shared" si="20"/>
        <v>8</v>
      </c>
      <c r="AQ7" s="266">
        <f t="shared" si="21"/>
        <v>3</v>
      </c>
      <c r="AR7" s="40">
        <v>45565.0</v>
      </c>
      <c r="AS7" s="240" t="s">
        <v>57</v>
      </c>
    </row>
    <row r="8">
      <c r="A8" s="16" t="s">
        <v>15</v>
      </c>
      <c r="B8" s="216">
        <f>-'2024 - Q2'!U8</f>
        <v>17</v>
      </c>
      <c r="C8" s="17">
        <v>27.0</v>
      </c>
      <c r="D8" s="207"/>
      <c r="E8" s="96">
        <f t="shared" si="2"/>
        <v>27</v>
      </c>
      <c r="F8" s="245">
        <f>Targets!B28</f>
        <v>26</v>
      </c>
      <c r="G8" s="261">
        <v>16.0</v>
      </c>
      <c r="H8" s="17"/>
      <c r="I8" s="96">
        <f t="shared" si="3"/>
        <v>16</v>
      </c>
      <c r="J8" s="245">
        <f>Targets!C28</f>
        <v>13</v>
      </c>
      <c r="K8" s="261">
        <v>64.0</v>
      </c>
      <c r="L8" s="17"/>
      <c r="M8" s="96">
        <f t="shared" si="4"/>
        <v>64</v>
      </c>
      <c r="N8" s="245">
        <f>Targets!D28</f>
        <v>79</v>
      </c>
      <c r="O8" s="31"/>
      <c r="P8" s="217">
        <f t="shared" si="5"/>
        <v>17</v>
      </c>
      <c r="Q8" s="31">
        <f t="shared" ref="Q8:R8" si="22">K8+G8+C8</f>
        <v>107</v>
      </c>
      <c r="R8" s="31">
        <f t="shared" si="22"/>
        <v>0</v>
      </c>
      <c r="S8" s="218">
        <f t="shared" si="7"/>
        <v>124</v>
      </c>
      <c r="T8" s="262">
        <f t="shared" si="8"/>
        <v>118</v>
      </c>
      <c r="U8" s="219">
        <f t="shared" si="9"/>
        <v>-6</v>
      </c>
      <c r="V8" s="16">
        <f t="shared" si="10"/>
        <v>107</v>
      </c>
      <c r="W8" s="263">
        <f t="shared" si="11"/>
        <v>118</v>
      </c>
      <c r="X8" s="264">
        <f t="shared" si="12"/>
        <v>0.906779661</v>
      </c>
      <c r="Y8" s="40">
        <v>45565.0</v>
      </c>
      <c r="Z8" s="240" t="s">
        <v>57</v>
      </c>
      <c r="AA8" s="95" t="s">
        <v>15</v>
      </c>
      <c r="AB8" s="216">
        <f>Targets!AC28</f>
        <v>8</v>
      </c>
      <c r="AC8" s="17" t="str">
        <f t="shared" si="13"/>
        <v/>
      </c>
      <c r="AD8" s="96">
        <f t="shared" si="14"/>
        <v>0</v>
      </c>
      <c r="AE8" s="97">
        <f>Targets!T45+Targets!U45</f>
        <v>5</v>
      </c>
      <c r="AF8" s="261">
        <v>2.0</v>
      </c>
      <c r="AG8" s="96">
        <f t="shared" si="15"/>
        <v>2</v>
      </c>
      <c r="AH8" s="97">
        <f>Targets!V45</f>
        <v>1</v>
      </c>
      <c r="AI8" s="261">
        <v>0.0</v>
      </c>
      <c r="AJ8" s="96">
        <f t="shared" si="16"/>
        <v>0</v>
      </c>
      <c r="AK8" s="97" t="str">
        <f>Targets!W45</f>
        <v/>
      </c>
      <c r="AL8" s="32"/>
      <c r="AM8" s="217">
        <f t="shared" si="17"/>
        <v>8</v>
      </c>
      <c r="AN8" s="31">
        <f t="shared" si="18"/>
        <v>2</v>
      </c>
      <c r="AO8" s="218">
        <f t="shared" si="19"/>
        <v>10</v>
      </c>
      <c r="AP8" s="100">
        <f t="shared" si="20"/>
        <v>6</v>
      </c>
      <c r="AQ8" s="266">
        <f t="shared" si="21"/>
        <v>-4</v>
      </c>
      <c r="AR8" s="40">
        <v>45565.0</v>
      </c>
      <c r="AS8" s="240" t="s">
        <v>57</v>
      </c>
    </row>
    <row r="9">
      <c r="A9" s="16" t="s">
        <v>16</v>
      </c>
      <c r="B9" s="216">
        <f>-'2024 - Q2'!U9</f>
        <v>25</v>
      </c>
      <c r="C9" s="25">
        <v>45.0</v>
      </c>
      <c r="D9" s="268"/>
      <c r="E9" s="96">
        <f t="shared" si="2"/>
        <v>45</v>
      </c>
      <c r="F9" s="245">
        <f>Targets!B29</f>
        <v>35</v>
      </c>
      <c r="G9" s="261">
        <v>15.0</v>
      </c>
      <c r="H9" s="17"/>
      <c r="I9" s="96">
        <f t="shared" si="3"/>
        <v>15</v>
      </c>
      <c r="J9" s="245">
        <f>Targets!C29</f>
        <v>17</v>
      </c>
      <c r="K9" s="261">
        <v>84.0</v>
      </c>
      <c r="L9" s="17"/>
      <c r="M9" s="96">
        <f t="shared" si="4"/>
        <v>84</v>
      </c>
      <c r="N9" s="245">
        <f>Targets!D29</f>
        <v>96</v>
      </c>
      <c r="O9" s="31"/>
      <c r="P9" s="217">
        <f t="shared" si="5"/>
        <v>25</v>
      </c>
      <c r="Q9" s="31">
        <f t="shared" ref="Q9:R9" si="23">K9+G9+C9</f>
        <v>144</v>
      </c>
      <c r="R9" s="31">
        <f t="shared" si="23"/>
        <v>0</v>
      </c>
      <c r="S9" s="218">
        <f t="shared" si="7"/>
        <v>169</v>
      </c>
      <c r="T9" s="262">
        <f t="shared" si="8"/>
        <v>148</v>
      </c>
      <c r="U9" s="219">
        <f t="shared" si="9"/>
        <v>-21</v>
      </c>
      <c r="V9" s="16">
        <f t="shared" si="10"/>
        <v>144</v>
      </c>
      <c r="W9" s="263">
        <f t="shared" si="11"/>
        <v>148</v>
      </c>
      <c r="X9" s="264">
        <f t="shared" si="12"/>
        <v>0.972972973</v>
      </c>
      <c r="Y9" s="40">
        <v>45565.0</v>
      </c>
      <c r="Z9" s="240" t="s">
        <v>57</v>
      </c>
      <c r="AA9" s="95" t="s">
        <v>16</v>
      </c>
      <c r="AB9" s="216">
        <f>Targets!AC29</f>
        <v>1</v>
      </c>
      <c r="AC9" s="17">
        <f t="shared" si="13"/>
        <v>1</v>
      </c>
      <c r="AD9" s="96">
        <f t="shared" si="14"/>
        <v>1</v>
      </c>
      <c r="AE9" s="97">
        <f>Targets!T46+Targets!U46</f>
        <v>6</v>
      </c>
      <c r="AF9" s="261">
        <v>1.0</v>
      </c>
      <c r="AG9" s="96">
        <f t="shared" si="15"/>
        <v>1</v>
      </c>
      <c r="AH9" s="97">
        <f>Targets!V46</f>
        <v>1</v>
      </c>
      <c r="AI9" s="261">
        <v>0.0</v>
      </c>
      <c r="AJ9" s="96">
        <f t="shared" si="16"/>
        <v>0</v>
      </c>
      <c r="AK9" s="97" t="str">
        <f>Targets!W46</f>
        <v/>
      </c>
      <c r="AL9" s="32"/>
      <c r="AM9" s="217">
        <f t="shared" si="17"/>
        <v>1</v>
      </c>
      <c r="AN9" s="31">
        <f t="shared" si="18"/>
        <v>2</v>
      </c>
      <c r="AO9" s="218">
        <f t="shared" si="19"/>
        <v>3</v>
      </c>
      <c r="AP9" s="100">
        <f t="shared" si="20"/>
        <v>7</v>
      </c>
      <c r="AQ9" s="266">
        <f t="shared" si="21"/>
        <v>4</v>
      </c>
      <c r="AR9" s="40">
        <v>45565.0</v>
      </c>
      <c r="AS9" s="240" t="s">
        <v>57</v>
      </c>
    </row>
    <row r="10">
      <c r="A10" s="26" t="s">
        <v>17</v>
      </c>
      <c r="B10" s="29">
        <f t="shared" ref="B10:N10" si="24">sum(B6:B9)</f>
        <v>102</v>
      </c>
      <c r="C10" s="27">
        <f t="shared" si="24"/>
        <v>139</v>
      </c>
      <c r="D10" s="27">
        <f t="shared" si="24"/>
        <v>5</v>
      </c>
      <c r="E10" s="27">
        <f t="shared" si="24"/>
        <v>144</v>
      </c>
      <c r="F10" s="29">
        <f t="shared" si="24"/>
        <v>140</v>
      </c>
      <c r="G10" s="27">
        <f t="shared" si="24"/>
        <v>59</v>
      </c>
      <c r="H10" s="27">
        <f t="shared" si="24"/>
        <v>0</v>
      </c>
      <c r="I10" s="27">
        <f t="shared" si="24"/>
        <v>59</v>
      </c>
      <c r="J10" s="29">
        <f t="shared" si="24"/>
        <v>67</v>
      </c>
      <c r="K10" s="27">
        <f t="shared" si="24"/>
        <v>311</v>
      </c>
      <c r="L10" s="27">
        <f t="shared" si="24"/>
        <v>4</v>
      </c>
      <c r="M10" s="27">
        <f t="shared" si="24"/>
        <v>315</v>
      </c>
      <c r="N10" s="29">
        <f t="shared" si="24"/>
        <v>410</v>
      </c>
      <c r="O10" s="32"/>
      <c r="P10" s="29">
        <f t="shared" ref="P10:W10" si="25">sum(P6:P9)</f>
        <v>102</v>
      </c>
      <c r="Q10" s="27">
        <f t="shared" si="25"/>
        <v>509</v>
      </c>
      <c r="R10" s="27">
        <f t="shared" si="25"/>
        <v>9</v>
      </c>
      <c r="S10" s="29">
        <f t="shared" si="25"/>
        <v>620</v>
      </c>
      <c r="T10" s="30">
        <f t="shared" si="25"/>
        <v>617</v>
      </c>
      <c r="U10" s="221">
        <f t="shared" si="25"/>
        <v>-3</v>
      </c>
      <c r="V10" s="155">
        <f t="shared" si="25"/>
        <v>518</v>
      </c>
      <c r="W10" s="29">
        <f t="shared" si="25"/>
        <v>617</v>
      </c>
      <c r="X10" s="271"/>
      <c r="Z10" s="260"/>
      <c r="AA10" s="103" t="s">
        <v>17</v>
      </c>
      <c r="AB10" s="29">
        <f t="shared" ref="AB10:AK10" si="26">sum(AB6:AB9)</f>
        <v>17</v>
      </c>
      <c r="AC10" s="27">
        <f t="shared" si="26"/>
        <v>2</v>
      </c>
      <c r="AD10" s="27">
        <f t="shared" si="26"/>
        <v>2</v>
      </c>
      <c r="AE10" s="27">
        <f t="shared" si="26"/>
        <v>26</v>
      </c>
      <c r="AF10" s="27">
        <f t="shared" si="26"/>
        <v>8</v>
      </c>
      <c r="AG10" s="27">
        <f t="shared" si="26"/>
        <v>8</v>
      </c>
      <c r="AH10" s="27">
        <f t="shared" si="26"/>
        <v>4</v>
      </c>
      <c r="AI10" s="27">
        <f t="shared" si="26"/>
        <v>0</v>
      </c>
      <c r="AJ10" s="27">
        <f t="shared" si="26"/>
        <v>0</v>
      </c>
      <c r="AK10" s="27">
        <f t="shared" si="26"/>
        <v>0</v>
      </c>
      <c r="AL10" s="32"/>
      <c r="AM10" s="29">
        <f t="shared" ref="AM10:AQ10" si="27">sum(AM6:AM9)</f>
        <v>17</v>
      </c>
      <c r="AN10" s="27">
        <f t="shared" si="27"/>
        <v>10</v>
      </c>
      <c r="AO10" s="29">
        <f t="shared" si="27"/>
        <v>27</v>
      </c>
      <c r="AP10" s="104">
        <f t="shared" si="27"/>
        <v>30</v>
      </c>
      <c r="AQ10" s="270">
        <f t="shared" si="27"/>
        <v>3</v>
      </c>
    </row>
    <row r="11">
      <c r="A11" s="16" t="s">
        <v>18</v>
      </c>
      <c r="B11" s="216">
        <f>-'2024 - Q2'!U11</f>
        <v>31</v>
      </c>
      <c r="C11" s="31">
        <v>28.0</v>
      </c>
      <c r="D11" s="31"/>
      <c r="E11" s="96">
        <f t="shared" ref="E11:E14" si="29">SUM(C11:D11)</f>
        <v>28</v>
      </c>
      <c r="F11" s="245">
        <f>Targets!B33</f>
        <v>34</v>
      </c>
      <c r="G11" s="261">
        <v>11.0</v>
      </c>
      <c r="H11" s="17"/>
      <c r="I11" s="96">
        <f t="shared" ref="I11:I14" si="30">SUM(G11:H11)</f>
        <v>11</v>
      </c>
      <c r="J11" s="245">
        <f>Targets!C33</f>
        <v>16</v>
      </c>
      <c r="K11" s="261">
        <v>85.0</v>
      </c>
      <c r="L11" s="17"/>
      <c r="M11" s="96">
        <f t="shared" ref="M11:M14" si="31">SUM(K11:L11)</f>
        <v>85</v>
      </c>
      <c r="N11" s="245">
        <f>Targets!D33</f>
        <v>89</v>
      </c>
      <c r="O11" s="32"/>
      <c r="P11" s="217">
        <f t="shared" ref="P11:P14" si="32">B11</f>
        <v>31</v>
      </c>
      <c r="Q11" s="31">
        <f t="shared" ref="Q11:R11" si="28">K11+G11+C11</f>
        <v>124</v>
      </c>
      <c r="R11" s="31">
        <f t="shared" si="28"/>
        <v>0</v>
      </c>
      <c r="S11" s="218">
        <f t="shared" ref="S11:S14" si="33">sum(P11:R11)</f>
        <v>155</v>
      </c>
      <c r="T11" s="262">
        <f t="shared" ref="T11:T14" si="34">N11+J11+F11</f>
        <v>139</v>
      </c>
      <c r="U11" s="219">
        <f t="shared" ref="U11:U14" si="35">T11-S11</f>
        <v>-16</v>
      </c>
      <c r="V11" s="16">
        <f t="shared" ref="V11:V14" si="36">R11+Q11</f>
        <v>124</v>
      </c>
      <c r="W11" s="263">
        <f t="shared" ref="W11:W14" si="37">T11</f>
        <v>139</v>
      </c>
      <c r="X11" s="264">
        <f t="shared" ref="X11:X14" si="38">(Q11+R11)/T11</f>
        <v>0.8920863309</v>
      </c>
      <c r="Y11" s="40">
        <v>45565.0</v>
      </c>
      <c r="Z11" s="240" t="s">
        <v>48</v>
      </c>
      <c r="AA11" s="95" t="s">
        <v>18</v>
      </c>
      <c r="AB11" s="216">
        <f>Targets!AC33</f>
        <v>6</v>
      </c>
      <c r="AC11" s="17" t="str">
        <f t="shared" ref="AC11:AC14" si="39">AG52</f>
        <v/>
      </c>
      <c r="AD11" s="96">
        <f t="shared" ref="AD11:AD14" si="40">SUM(AC11)</f>
        <v>0</v>
      </c>
      <c r="AE11" s="97">
        <f>Targets!T48+Targets!U48</f>
        <v>7</v>
      </c>
      <c r="AF11" s="31">
        <v>1.0</v>
      </c>
      <c r="AG11" s="96">
        <f t="shared" ref="AG11:AG14" si="41">SUM(AF11)</f>
        <v>1</v>
      </c>
      <c r="AH11" s="97">
        <f>Targets!V48</f>
        <v>1</v>
      </c>
      <c r="AI11" s="31">
        <v>0.0</v>
      </c>
      <c r="AJ11" s="96">
        <v>0.0</v>
      </c>
      <c r="AK11" s="97" t="str">
        <f>Targets!W48</f>
        <v/>
      </c>
      <c r="AL11" s="32"/>
      <c r="AM11" s="217">
        <f t="shared" ref="AM11:AM14" si="42">AB11</f>
        <v>6</v>
      </c>
      <c r="AN11" s="31">
        <f>AI11+AF11+AC11</f>
        <v>1</v>
      </c>
      <c r="AO11" s="218">
        <f t="shared" ref="AO11:AO14" si="43">AN11+AM11</f>
        <v>7</v>
      </c>
      <c r="AP11" s="100">
        <f t="shared" ref="AP11:AP14" si="44">AK11+AH11+AE11</f>
        <v>8</v>
      </c>
      <c r="AQ11" s="266">
        <f t="shared" ref="AQ11:AQ14" si="45">AP11-AO11</f>
        <v>1</v>
      </c>
      <c r="AR11" s="40">
        <v>45565.0</v>
      </c>
      <c r="AS11" s="12" t="s">
        <v>48</v>
      </c>
    </row>
    <row r="12">
      <c r="A12" s="16" t="s">
        <v>19</v>
      </c>
      <c r="B12" s="216">
        <f>-'2024 - Q2'!U12</f>
        <v>20</v>
      </c>
      <c r="C12" s="31">
        <v>36.0</v>
      </c>
      <c r="D12" s="31"/>
      <c r="E12" s="96">
        <f t="shared" si="29"/>
        <v>36</v>
      </c>
      <c r="F12" s="245">
        <f>Targets!B32</f>
        <v>31</v>
      </c>
      <c r="G12" s="261">
        <v>21.0</v>
      </c>
      <c r="H12" s="17"/>
      <c r="I12" s="96">
        <f t="shared" si="30"/>
        <v>21</v>
      </c>
      <c r="J12" s="245">
        <f>Targets!C32</f>
        <v>14</v>
      </c>
      <c r="K12" s="261">
        <v>53.0</v>
      </c>
      <c r="L12" s="17">
        <v>1.0</v>
      </c>
      <c r="M12" s="96">
        <f t="shared" si="31"/>
        <v>54</v>
      </c>
      <c r="N12" s="245">
        <f>Targets!D32</f>
        <v>82</v>
      </c>
      <c r="O12" s="32"/>
      <c r="P12" s="217">
        <f t="shared" si="32"/>
        <v>20</v>
      </c>
      <c r="Q12" s="31">
        <f t="shared" ref="Q12:Q13" si="46">K12+G12+O20+C12</f>
        <v>110</v>
      </c>
      <c r="R12" s="31">
        <f t="shared" ref="R12:R13" si="47">L12+H12+D12</f>
        <v>1</v>
      </c>
      <c r="S12" s="218">
        <f t="shared" si="33"/>
        <v>131</v>
      </c>
      <c r="T12" s="262">
        <f t="shared" si="34"/>
        <v>127</v>
      </c>
      <c r="U12" s="219">
        <f t="shared" si="35"/>
        <v>-4</v>
      </c>
      <c r="V12" s="16">
        <f t="shared" si="36"/>
        <v>111</v>
      </c>
      <c r="W12" s="263">
        <f t="shared" si="37"/>
        <v>127</v>
      </c>
      <c r="X12" s="264">
        <f t="shared" si="38"/>
        <v>0.874015748</v>
      </c>
      <c r="Y12" s="40">
        <v>45565.0</v>
      </c>
      <c r="Z12" s="240" t="s">
        <v>48</v>
      </c>
      <c r="AA12" s="95" t="s">
        <v>19</v>
      </c>
      <c r="AB12" s="216">
        <f>Targets!AC32</f>
        <v>2</v>
      </c>
      <c r="AC12" s="17" t="str">
        <f t="shared" si="39"/>
        <v/>
      </c>
      <c r="AD12" s="96">
        <f t="shared" si="40"/>
        <v>0</v>
      </c>
      <c r="AE12" s="97">
        <f>Targets!T49+Targets!U49</f>
        <v>7</v>
      </c>
      <c r="AF12" s="31">
        <v>1.0</v>
      </c>
      <c r="AG12" s="96">
        <f t="shared" si="41"/>
        <v>1</v>
      </c>
      <c r="AH12" s="97">
        <f>Targets!V49</f>
        <v>1</v>
      </c>
      <c r="AI12" s="31"/>
      <c r="AJ12" s="96">
        <f t="shared" ref="AJ12:AJ14" si="48">SUM(AI12)</f>
        <v>0</v>
      </c>
      <c r="AK12" s="97" t="str">
        <f>Targets!W49</f>
        <v/>
      </c>
      <c r="AL12" s="32"/>
      <c r="AM12" s="217">
        <f t="shared" si="42"/>
        <v>2</v>
      </c>
      <c r="AN12" s="31">
        <v>2.0</v>
      </c>
      <c r="AO12" s="218">
        <f t="shared" si="43"/>
        <v>4</v>
      </c>
      <c r="AP12" s="100">
        <f t="shared" si="44"/>
        <v>8</v>
      </c>
      <c r="AQ12" s="266">
        <f t="shared" si="45"/>
        <v>4</v>
      </c>
      <c r="AR12" s="40">
        <v>45565.0</v>
      </c>
      <c r="AS12" s="12" t="s">
        <v>48</v>
      </c>
    </row>
    <row r="13">
      <c r="A13" s="16" t="s">
        <v>20</v>
      </c>
      <c r="B13" s="216">
        <f>-'2024 - Q2'!U13</f>
        <v>47</v>
      </c>
      <c r="C13" s="31">
        <v>23.0</v>
      </c>
      <c r="D13" s="31">
        <v>1.0</v>
      </c>
      <c r="E13" s="96">
        <f t="shared" si="29"/>
        <v>24</v>
      </c>
      <c r="F13" s="245">
        <f>Targets!B31</f>
        <v>26</v>
      </c>
      <c r="G13" s="261">
        <v>22.0</v>
      </c>
      <c r="H13" s="17"/>
      <c r="I13" s="96">
        <f t="shared" si="30"/>
        <v>22</v>
      </c>
      <c r="J13" s="245">
        <f>Targets!C31</f>
        <v>11</v>
      </c>
      <c r="K13" s="261">
        <v>43.0</v>
      </c>
      <c r="L13" s="17"/>
      <c r="M13" s="96">
        <f t="shared" si="31"/>
        <v>43</v>
      </c>
      <c r="N13" s="245">
        <f>Targets!D31</f>
        <v>70</v>
      </c>
      <c r="O13" s="32"/>
      <c r="P13" s="217">
        <f t="shared" si="32"/>
        <v>47</v>
      </c>
      <c r="Q13" s="31">
        <f t="shared" si="46"/>
        <v>88</v>
      </c>
      <c r="R13" s="31">
        <f t="shared" si="47"/>
        <v>1</v>
      </c>
      <c r="S13" s="218">
        <f t="shared" si="33"/>
        <v>136</v>
      </c>
      <c r="T13" s="262">
        <f t="shared" si="34"/>
        <v>107</v>
      </c>
      <c r="U13" s="219">
        <f t="shared" si="35"/>
        <v>-29</v>
      </c>
      <c r="V13" s="16">
        <f t="shared" si="36"/>
        <v>89</v>
      </c>
      <c r="W13" s="263">
        <f t="shared" si="37"/>
        <v>107</v>
      </c>
      <c r="X13" s="264">
        <f t="shared" si="38"/>
        <v>0.8317757009</v>
      </c>
      <c r="Y13" s="40">
        <v>45565.0</v>
      </c>
      <c r="Z13" s="240" t="s">
        <v>48</v>
      </c>
      <c r="AA13" s="95" t="s">
        <v>20</v>
      </c>
      <c r="AB13" s="216">
        <f>Targets!AC31</f>
        <v>2</v>
      </c>
      <c r="AC13" s="17">
        <f t="shared" si="39"/>
        <v>1</v>
      </c>
      <c r="AD13" s="96">
        <f t="shared" si="40"/>
        <v>1</v>
      </c>
      <c r="AE13" s="97">
        <f>Targets!T50+Targets!U50</f>
        <v>5</v>
      </c>
      <c r="AF13" s="31">
        <v>3.0</v>
      </c>
      <c r="AG13" s="96">
        <f t="shared" si="41"/>
        <v>3</v>
      </c>
      <c r="AH13" s="97">
        <f>Targets!V50</f>
        <v>1</v>
      </c>
      <c r="AI13" s="31"/>
      <c r="AJ13" s="96">
        <f t="shared" si="48"/>
        <v>0</v>
      </c>
      <c r="AK13" s="97" t="str">
        <f>Targets!W50</f>
        <v/>
      </c>
      <c r="AL13" s="32"/>
      <c r="AM13" s="217">
        <f t="shared" si="42"/>
        <v>2</v>
      </c>
      <c r="AN13" s="31">
        <v>7.0</v>
      </c>
      <c r="AO13" s="218">
        <f t="shared" si="43"/>
        <v>9</v>
      </c>
      <c r="AP13" s="100">
        <f t="shared" si="44"/>
        <v>6</v>
      </c>
      <c r="AQ13" s="266">
        <f t="shared" si="45"/>
        <v>-3</v>
      </c>
      <c r="AR13" s="40">
        <v>45565.0</v>
      </c>
      <c r="AS13" s="12" t="s">
        <v>48</v>
      </c>
    </row>
    <row r="14">
      <c r="A14" s="16" t="s">
        <v>21</v>
      </c>
      <c r="B14" s="216">
        <f>-'2024 - Q2'!U14</f>
        <v>9</v>
      </c>
      <c r="C14" s="31">
        <v>66.0</v>
      </c>
      <c r="D14" s="31"/>
      <c r="E14" s="96">
        <f t="shared" si="29"/>
        <v>66</v>
      </c>
      <c r="F14" s="245">
        <f>Targets!B34</f>
        <v>45</v>
      </c>
      <c r="G14" s="261">
        <v>19.0</v>
      </c>
      <c r="H14" s="17"/>
      <c r="I14" s="96">
        <f t="shared" si="30"/>
        <v>19</v>
      </c>
      <c r="J14" s="245">
        <f>Targets!C34</f>
        <v>21</v>
      </c>
      <c r="K14" s="261">
        <v>93.0</v>
      </c>
      <c r="L14" s="17"/>
      <c r="M14" s="96">
        <f t="shared" si="31"/>
        <v>93</v>
      </c>
      <c r="N14" s="245">
        <f>Targets!D34</f>
        <v>120</v>
      </c>
      <c r="O14" s="32"/>
      <c r="P14" s="217">
        <f t="shared" si="32"/>
        <v>9</v>
      </c>
      <c r="Q14" s="31">
        <f t="shared" ref="Q14:R14" si="49">K14+G14+C14</f>
        <v>178</v>
      </c>
      <c r="R14" s="31">
        <f t="shared" si="49"/>
        <v>0</v>
      </c>
      <c r="S14" s="218">
        <f t="shared" si="33"/>
        <v>187</v>
      </c>
      <c r="T14" s="262">
        <f t="shared" si="34"/>
        <v>186</v>
      </c>
      <c r="U14" s="219">
        <f t="shared" si="35"/>
        <v>-1</v>
      </c>
      <c r="V14" s="16">
        <f t="shared" si="36"/>
        <v>178</v>
      </c>
      <c r="W14" s="263">
        <f t="shared" si="37"/>
        <v>186</v>
      </c>
      <c r="X14" s="264">
        <f t="shared" si="38"/>
        <v>0.9569892473</v>
      </c>
      <c r="Y14" s="40">
        <v>45565.0</v>
      </c>
      <c r="Z14" s="240" t="s">
        <v>48</v>
      </c>
      <c r="AA14" s="95" t="s">
        <v>21</v>
      </c>
      <c r="AB14" s="216">
        <f>Targets!AC34</f>
        <v>7</v>
      </c>
      <c r="AC14" s="17">
        <f t="shared" si="39"/>
        <v>1</v>
      </c>
      <c r="AD14" s="96">
        <f t="shared" si="40"/>
        <v>1</v>
      </c>
      <c r="AE14" s="97">
        <f>Targets!T51+Targets!U51</f>
        <v>9</v>
      </c>
      <c r="AF14" s="31">
        <v>1.0</v>
      </c>
      <c r="AG14" s="96">
        <f t="shared" si="41"/>
        <v>1</v>
      </c>
      <c r="AH14" s="97">
        <f>Targets!V51</f>
        <v>2</v>
      </c>
      <c r="AI14" s="31"/>
      <c r="AJ14" s="96">
        <f t="shared" si="48"/>
        <v>0</v>
      </c>
      <c r="AK14" s="97" t="str">
        <f>Targets!W51</f>
        <v/>
      </c>
      <c r="AL14" s="32"/>
      <c r="AM14" s="217">
        <f t="shared" si="42"/>
        <v>7</v>
      </c>
      <c r="AN14" s="31">
        <f>AI14+AF14+AC14</f>
        <v>2</v>
      </c>
      <c r="AO14" s="218">
        <f t="shared" si="43"/>
        <v>9</v>
      </c>
      <c r="AP14" s="100">
        <f t="shared" si="44"/>
        <v>11</v>
      </c>
      <c r="AQ14" s="266">
        <f t="shared" si="45"/>
        <v>2</v>
      </c>
      <c r="AR14" s="40">
        <v>45565.0</v>
      </c>
      <c r="AS14" s="12" t="s">
        <v>48</v>
      </c>
    </row>
    <row r="15">
      <c r="A15" s="26" t="s">
        <v>22</v>
      </c>
      <c r="B15" s="29">
        <f t="shared" ref="B15:N15" si="50">sum(B11:B14)</f>
        <v>107</v>
      </c>
      <c r="C15" s="27">
        <f t="shared" si="50"/>
        <v>153</v>
      </c>
      <c r="D15" s="27">
        <f t="shared" si="50"/>
        <v>1</v>
      </c>
      <c r="E15" s="27">
        <f t="shared" si="50"/>
        <v>154</v>
      </c>
      <c r="F15" s="29">
        <f t="shared" si="50"/>
        <v>136</v>
      </c>
      <c r="G15" s="27">
        <f t="shared" si="50"/>
        <v>73</v>
      </c>
      <c r="H15" s="27">
        <f t="shared" si="50"/>
        <v>0</v>
      </c>
      <c r="I15" s="27">
        <f t="shared" si="50"/>
        <v>73</v>
      </c>
      <c r="J15" s="29">
        <f t="shared" si="50"/>
        <v>62</v>
      </c>
      <c r="K15" s="27">
        <f t="shared" si="50"/>
        <v>274</v>
      </c>
      <c r="L15" s="27">
        <f t="shared" si="50"/>
        <v>1</v>
      </c>
      <c r="M15" s="27">
        <f t="shared" si="50"/>
        <v>275</v>
      </c>
      <c r="N15" s="29">
        <f t="shared" si="50"/>
        <v>361</v>
      </c>
      <c r="O15" s="32"/>
      <c r="P15" s="29">
        <f t="shared" ref="P15:W15" si="51">sum(P11:P14)</f>
        <v>107</v>
      </c>
      <c r="Q15" s="27">
        <f t="shared" si="51"/>
        <v>500</v>
      </c>
      <c r="R15" s="27">
        <f t="shared" si="51"/>
        <v>2</v>
      </c>
      <c r="S15" s="29">
        <f t="shared" si="51"/>
        <v>609</v>
      </c>
      <c r="T15" s="30">
        <f t="shared" si="51"/>
        <v>559</v>
      </c>
      <c r="U15" s="221">
        <f t="shared" si="51"/>
        <v>-50</v>
      </c>
      <c r="V15" s="155">
        <f t="shared" si="51"/>
        <v>502</v>
      </c>
      <c r="W15" s="29">
        <f t="shared" si="51"/>
        <v>559</v>
      </c>
      <c r="X15" s="271"/>
      <c r="Z15" s="260"/>
      <c r="AA15" s="103" t="s">
        <v>22</v>
      </c>
      <c r="AB15" s="29">
        <f t="shared" ref="AB15:AK15" si="52">sum(AB11:AB14)</f>
        <v>17</v>
      </c>
      <c r="AC15" s="27">
        <f t="shared" si="52"/>
        <v>2</v>
      </c>
      <c r="AD15" s="27">
        <f t="shared" si="52"/>
        <v>2</v>
      </c>
      <c r="AE15" s="27">
        <f t="shared" si="52"/>
        <v>28</v>
      </c>
      <c r="AF15" s="27">
        <f t="shared" si="52"/>
        <v>6</v>
      </c>
      <c r="AG15" s="27">
        <f t="shared" si="52"/>
        <v>6</v>
      </c>
      <c r="AH15" s="27">
        <f t="shared" si="52"/>
        <v>5</v>
      </c>
      <c r="AI15" s="27">
        <f t="shared" si="52"/>
        <v>0</v>
      </c>
      <c r="AJ15" s="27">
        <f t="shared" si="52"/>
        <v>0</v>
      </c>
      <c r="AK15" s="27">
        <f t="shared" si="52"/>
        <v>0</v>
      </c>
      <c r="AL15" s="32"/>
      <c r="AM15" s="29">
        <f t="shared" ref="AM15:AQ15" si="53">sum(AM11:AM14)</f>
        <v>17</v>
      </c>
      <c r="AN15" s="27">
        <f t="shared" si="53"/>
        <v>12</v>
      </c>
      <c r="AO15" s="29">
        <f t="shared" si="53"/>
        <v>29</v>
      </c>
      <c r="AP15" s="104">
        <f t="shared" si="53"/>
        <v>33</v>
      </c>
      <c r="AQ15" s="270">
        <f t="shared" si="53"/>
        <v>4</v>
      </c>
    </row>
    <row r="16">
      <c r="A16" s="16" t="s">
        <v>23</v>
      </c>
      <c r="B16" s="216">
        <f>-'2024 - Q2'!U16</f>
        <v>20</v>
      </c>
      <c r="C16" s="31">
        <v>24.0</v>
      </c>
      <c r="D16" s="31">
        <v>6.0</v>
      </c>
      <c r="E16" s="96">
        <f t="shared" ref="E16:E18" si="55">SUM(C16:D16)</f>
        <v>30</v>
      </c>
      <c r="F16" s="245">
        <f>Targets!B35</f>
        <v>30</v>
      </c>
      <c r="G16" s="261">
        <v>13.0</v>
      </c>
      <c r="H16" s="17">
        <v>3.0</v>
      </c>
      <c r="I16" s="96">
        <f t="shared" ref="I16:I18" si="56">SUM(G16:H16)</f>
        <v>16</v>
      </c>
      <c r="J16" s="245">
        <f>Targets!C35</f>
        <v>14</v>
      </c>
      <c r="K16" s="261">
        <v>63.0</v>
      </c>
      <c r="L16" s="17">
        <v>9.0</v>
      </c>
      <c r="M16" s="96">
        <f t="shared" ref="M16:M18" si="57">SUM(K16:L16)</f>
        <v>72</v>
      </c>
      <c r="N16" s="245">
        <f>Targets!D35</f>
        <v>82</v>
      </c>
      <c r="O16" s="32"/>
      <c r="P16" s="217">
        <f t="shared" ref="P16:P18" si="58">B16</f>
        <v>20</v>
      </c>
      <c r="Q16" s="31">
        <f t="shared" ref="Q16:R16" si="54">K16+G16+C16</f>
        <v>100</v>
      </c>
      <c r="R16" s="31">
        <f t="shared" si="54"/>
        <v>18</v>
      </c>
      <c r="S16" s="218">
        <f t="shared" ref="S16:S18" si="60">sum(P16:R16)</f>
        <v>138</v>
      </c>
      <c r="T16" s="262">
        <f t="shared" ref="T16:T18" si="61">N16+J16+F16</f>
        <v>126</v>
      </c>
      <c r="U16" s="219">
        <f t="shared" ref="U16:U18" si="62">T16-S16</f>
        <v>-12</v>
      </c>
      <c r="V16" s="16">
        <f t="shared" ref="V16:V18" si="63">R16+Q16</f>
        <v>118</v>
      </c>
      <c r="W16" s="263">
        <f t="shared" ref="W16:W18" si="64">T16</f>
        <v>126</v>
      </c>
      <c r="X16" s="264">
        <f t="shared" ref="X16:X18" si="65">(Q16+R16)/T16</f>
        <v>0.9365079365</v>
      </c>
      <c r="Y16" s="40">
        <v>45565.0</v>
      </c>
      <c r="Z16" s="240" t="s">
        <v>77</v>
      </c>
      <c r="AA16" s="95" t="s">
        <v>23</v>
      </c>
      <c r="AB16" s="216">
        <f>Targets!AC35</f>
        <v>3</v>
      </c>
      <c r="AC16" s="17" t="str">
        <f t="shared" ref="AC16:AC18" si="66">AG57</f>
        <v/>
      </c>
      <c r="AD16" s="96">
        <f t="shared" ref="AD16:AD18" si="67">SUM(AC16)</f>
        <v>0</v>
      </c>
      <c r="AE16" s="97">
        <f>Targets!T53+Targets!U53</f>
        <v>6</v>
      </c>
      <c r="AF16" s="31">
        <v>0.0</v>
      </c>
      <c r="AG16" s="96">
        <f t="shared" ref="AG16:AG18" si="68">SUM(AF16)</f>
        <v>0</v>
      </c>
      <c r="AH16" s="97">
        <f>Targets!V53</f>
        <v>1</v>
      </c>
      <c r="AI16" s="31">
        <v>0.0</v>
      </c>
      <c r="AJ16" s="96">
        <f t="shared" ref="AJ16:AJ18" si="69">SUM(AI16)</f>
        <v>0</v>
      </c>
      <c r="AK16" s="97" t="str">
        <f>Targets!W53</f>
        <v/>
      </c>
      <c r="AL16" s="32"/>
      <c r="AM16" s="217">
        <f t="shared" ref="AM16:AM18" si="70">AB16</f>
        <v>3</v>
      </c>
      <c r="AN16" s="31">
        <f t="shared" ref="AN16:AN18" si="71">AI16+AF16+AC16</f>
        <v>0</v>
      </c>
      <c r="AO16" s="218">
        <f t="shared" ref="AO16:AO18" si="72">AN16+AM16</f>
        <v>3</v>
      </c>
      <c r="AP16" s="100">
        <f t="shared" ref="AP16:AP18" si="73">AK16+AH16+AE16</f>
        <v>7</v>
      </c>
      <c r="AQ16" s="266">
        <f t="shared" ref="AQ16:AQ18" si="74">AP16-AO16</f>
        <v>4</v>
      </c>
      <c r="AR16" s="40">
        <v>45565.0</v>
      </c>
      <c r="AS16" s="12" t="s">
        <v>77</v>
      </c>
    </row>
    <row r="17">
      <c r="A17" s="16" t="s">
        <v>24</v>
      </c>
      <c r="B17" s="216">
        <f>-'2024 - Q2'!U17</f>
        <v>0</v>
      </c>
      <c r="C17" s="31">
        <v>34.0</v>
      </c>
      <c r="D17" s="31">
        <v>1.0</v>
      </c>
      <c r="E17" s="96">
        <f t="shared" si="55"/>
        <v>35</v>
      </c>
      <c r="F17" s="245">
        <f>Targets!B36</f>
        <v>36</v>
      </c>
      <c r="G17" s="261">
        <v>12.0</v>
      </c>
      <c r="H17" s="17"/>
      <c r="I17" s="96">
        <f t="shared" si="56"/>
        <v>12</v>
      </c>
      <c r="J17" s="245">
        <f>Targets!C36</f>
        <v>16</v>
      </c>
      <c r="K17" s="261">
        <v>80.0</v>
      </c>
      <c r="L17" s="17">
        <v>7.0</v>
      </c>
      <c r="M17" s="96">
        <f t="shared" si="57"/>
        <v>87</v>
      </c>
      <c r="N17" s="245">
        <f>Targets!D36</f>
        <v>97</v>
      </c>
      <c r="O17" s="32"/>
      <c r="P17" s="217">
        <f t="shared" si="58"/>
        <v>0</v>
      </c>
      <c r="Q17" s="31">
        <f t="shared" ref="Q17:R17" si="59">K17+G17+C17</f>
        <v>126</v>
      </c>
      <c r="R17" s="31">
        <f t="shared" si="59"/>
        <v>8</v>
      </c>
      <c r="S17" s="218">
        <f t="shared" si="60"/>
        <v>134</v>
      </c>
      <c r="T17" s="262">
        <f t="shared" si="61"/>
        <v>149</v>
      </c>
      <c r="U17" s="219">
        <f t="shared" si="62"/>
        <v>15</v>
      </c>
      <c r="V17" s="16">
        <f t="shared" si="63"/>
        <v>134</v>
      </c>
      <c r="W17" s="263">
        <f t="shared" si="64"/>
        <v>149</v>
      </c>
      <c r="X17" s="264">
        <f t="shared" si="65"/>
        <v>0.8993288591</v>
      </c>
      <c r="Y17" s="40">
        <v>45565.0</v>
      </c>
      <c r="Z17" s="240" t="s">
        <v>77</v>
      </c>
      <c r="AA17" s="95" t="s">
        <v>24</v>
      </c>
      <c r="AB17" s="216">
        <f>Targets!AC36</f>
        <v>4</v>
      </c>
      <c r="AC17" s="17" t="str">
        <f t="shared" si="66"/>
        <v/>
      </c>
      <c r="AD17" s="96">
        <f t="shared" si="67"/>
        <v>0</v>
      </c>
      <c r="AE17" s="97">
        <f>Targets!T54+Targets!U54</f>
        <v>7</v>
      </c>
      <c r="AF17" s="31">
        <v>2.0</v>
      </c>
      <c r="AG17" s="96">
        <f t="shared" si="68"/>
        <v>2</v>
      </c>
      <c r="AH17" s="97">
        <f>Targets!V54</f>
        <v>1</v>
      </c>
      <c r="AI17" s="31">
        <v>0.0</v>
      </c>
      <c r="AJ17" s="96">
        <f t="shared" si="69"/>
        <v>0</v>
      </c>
      <c r="AK17" s="97" t="str">
        <f>Targets!W54</f>
        <v/>
      </c>
      <c r="AL17" s="32"/>
      <c r="AM17" s="217">
        <f t="shared" si="70"/>
        <v>4</v>
      </c>
      <c r="AN17" s="31">
        <f t="shared" si="71"/>
        <v>2</v>
      </c>
      <c r="AO17" s="218">
        <f t="shared" si="72"/>
        <v>6</v>
      </c>
      <c r="AP17" s="100">
        <f t="shared" si="73"/>
        <v>8</v>
      </c>
      <c r="AQ17" s="266">
        <f t="shared" si="74"/>
        <v>2</v>
      </c>
      <c r="AR17" s="40">
        <v>45565.0</v>
      </c>
      <c r="AS17" s="12" t="s">
        <v>77</v>
      </c>
    </row>
    <row r="18">
      <c r="A18" s="16" t="s">
        <v>25</v>
      </c>
      <c r="B18" s="216">
        <f>-'2024 - Q2'!U18</f>
        <v>14</v>
      </c>
      <c r="C18" s="31">
        <v>13.0</v>
      </c>
      <c r="D18" s="31"/>
      <c r="E18" s="96">
        <f t="shared" si="55"/>
        <v>13</v>
      </c>
      <c r="F18" s="245">
        <f>Targets!B37</f>
        <v>13</v>
      </c>
      <c r="G18" s="261">
        <v>8.0</v>
      </c>
      <c r="H18" s="17"/>
      <c r="I18" s="96">
        <f t="shared" si="56"/>
        <v>8</v>
      </c>
      <c r="J18" s="245">
        <f>Targets!C37</f>
        <v>6</v>
      </c>
      <c r="K18" s="261">
        <v>24.0</v>
      </c>
      <c r="L18" s="17">
        <v>0.0</v>
      </c>
      <c r="M18" s="96">
        <f t="shared" si="57"/>
        <v>24</v>
      </c>
      <c r="N18" s="245">
        <f>Targets!D37</f>
        <v>36</v>
      </c>
      <c r="O18" s="32"/>
      <c r="P18" s="217">
        <f t="shared" si="58"/>
        <v>14</v>
      </c>
      <c r="Q18" s="31">
        <f t="shared" ref="Q18:R18" si="75">K18+G18+C18</f>
        <v>45</v>
      </c>
      <c r="R18" s="31">
        <f t="shared" si="75"/>
        <v>0</v>
      </c>
      <c r="S18" s="218">
        <f t="shared" si="60"/>
        <v>59</v>
      </c>
      <c r="T18" s="262">
        <f t="shared" si="61"/>
        <v>55</v>
      </c>
      <c r="U18" s="219">
        <f t="shared" si="62"/>
        <v>-4</v>
      </c>
      <c r="V18" s="16">
        <f t="shared" si="63"/>
        <v>45</v>
      </c>
      <c r="W18" s="263">
        <f t="shared" si="64"/>
        <v>55</v>
      </c>
      <c r="X18" s="264">
        <f t="shared" si="65"/>
        <v>0.8181818182</v>
      </c>
      <c r="Y18" s="40">
        <v>45565.0</v>
      </c>
      <c r="Z18" s="240" t="s">
        <v>77</v>
      </c>
      <c r="AA18" s="95" t="s">
        <v>25</v>
      </c>
      <c r="AB18" s="216">
        <f>Targets!AC37</f>
        <v>1</v>
      </c>
      <c r="AC18" s="17">
        <f t="shared" si="66"/>
        <v>1</v>
      </c>
      <c r="AD18" s="96">
        <f t="shared" si="67"/>
        <v>1</v>
      </c>
      <c r="AE18" s="97">
        <f>Targets!T55+Targets!U55</f>
        <v>2</v>
      </c>
      <c r="AF18" s="31">
        <v>0.0</v>
      </c>
      <c r="AG18" s="96">
        <f t="shared" si="68"/>
        <v>0</v>
      </c>
      <c r="AH18" s="97">
        <f>Targets!V55</f>
        <v>1</v>
      </c>
      <c r="AI18" s="31">
        <v>0.0</v>
      </c>
      <c r="AJ18" s="96">
        <f t="shared" si="69"/>
        <v>0</v>
      </c>
      <c r="AK18" s="97" t="str">
        <f>Targets!W55</f>
        <v/>
      </c>
      <c r="AL18" s="32"/>
      <c r="AM18" s="217">
        <f t="shared" si="70"/>
        <v>1</v>
      </c>
      <c r="AN18" s="31">
        <f t="shared" si="71"/>
        <v>1</v>
      </c>
      <c r="AO18" s="218">
        <f t="shared" si="72"/>
        <v>2</v>
      </c>
      <c r="AP18" s="100">
        <f t="shared" si="73"/>
        <v>3</v>
      </c>
      <c r="AQ18" s="266">
        <f t="shared" si="74"/>
        <v>1</v>
      </c>
      <c r="AR18" s="40">
        <v>45565.0</v>
      </c>
      <c r="AS18" s="12" t="s">
        <v>77</v>
      </c>
    </row>
    <row r="19">
      <c r="A19" s="26" t="s">
        <v>26</v>
      </c>
      <c r="B19" s="29">
        <f t="shared" ref="B19:N19" si="76">sum(B16:B18)</f>
        <v>34</v>
      </c>
      <c r="C19" s="27">
        <f t="shared" si="76"/>
        <v>71</v>
      </c>
      <c r="D19" s="27">
        <f t="shared" si="76"/>
        <v>7</v>
      </c>
      <c r="E19" s="27">
        <f t="shared" si="76"/>
        <v>78</v>
      </c>
      <c r="F19" s="29">
        <f t="shared" si="76"/>
        <v>79</v>
      </c>
      <c r="G19" s="27">
        <f t="shared" si="76"/>
        <v>33</v>
      </c>
      <c r="H19" s="27">
        <f t="shared" si="76"/>
        <v>3</v>
      </c>
      <c r="I19" s="27">
        <f t="shared" si="76"/>
        <v>36</v>
      </c>
      <c r="J19" s="29">
        <f t="shared" si="76"/>
        <v>36</v>
      </c>
      <c r="K19" s="27">
        <f t="shared" si="76"/>
        <v>167</v>
      </c>
      <c r="L19" s="27">
        <f t="shared" si="76"/>
        <v>16</v>
      </c>
      <c r="M19" s="27">
        <f t="shared" si="76"/>
        <v>183</v>
      </c>
      <c r="N19" s="29">
        <f t="shared" si="76"/>
        <v>215</v>
      </c>
      <c r="O19" s="32"/>
      <c r="P19" s="29">
        <f t="shared" ref="P19:W19" si="77">sum(P16:P18)</f>
        <v>34</v>
      </c>
      <c r="Q19" s="27">
        <f t="shared" si="77"/>
        <v>271</v>
      </c>
      <c r="R19" s="27">
        <f t="shared" si="77"/>
        <v>26</v>
      </c>
      <c r="S19" s="29">
        <f t="shared" si="77"/>
        <v>331</v>
      </c>
      <c r="T19" s="30">
        <f t="shared" si="77"/>
        <v>330</v>
      </c>
      <c r="U19" s="221">
        <f t="shared" si="77"/>
        <v>-1</v>
      </c>
      <c r="V19" s="155">
        <f t="shared" si="77"/>
        <v>297</v>
      </c>
      <c r="W19" s="29">
        <f t="shared" si="77"/>
        <v>330</v>
      </c>
      <c r="X19" s="271"/>
      <c r="Z19" s="260"/>
      <c r="AA19" s="103" t="s">
        <v>26</v>
      </c>
      <c r="AB19" s="29">
        <f t="shared" ref="AB19:AK19" si="78">sum(AB16:AB18)</f>
        <v>8</v>
      </c>
      <c r="AC19" s="27">
        <f t="shared" si="78"/>
        <v>1</v>
      </c>
      <c r="AD19" s="27">
        <f t="shared" si="78"/>
        <v>1</v>
      </c>
      <c r="AE19" s="27">
        <f t="shared" si="78"/>
        <v>15</v>
      </c>
      <c r="AF19" s="27">
        <f t="shared" si="78"/>
        <v>2</v>
      </c>
      <c r="AG19" s="27">
        <f t="shared" si="78"/>
        <v>2</v>
      </c>
      <c r="AH19" s="27">
        <f t="shared" si="78"/>
        <v>3</v>
      </c>
      <c r="AI19" s="27">
        <f t="shared" si="78"/>
        <v>0</v>
      </c>
      <c r="AJ19" s="27">
        <f t="shared" si="78"/>
        <v>0</v>
      </c>
      <c r="AK19" s="27">
        <f t="shared" si="78"/>
        <v>0</v>
      </c>
      <c r="AL19" s="32"/>
      <c r="AM19" s="29">
        <f t="shared" ref="AM19:AQ19" si="79">sum(AM16:AM18)</f>
        <v>8</v>
      </c>
      <c r="AN19" s="27">
        <f t="shared" si="79"/>
        <v>3</v>
      </c>
      <c r="AO19" s="29">
        <f t="shared" si="79"/>
        <v>11</v>
      </c>
      <c r="AP19" s="104">
        <f t="shared" si="79"/>
        <v>18</v>
      </c>
      <c r="AQ19" s="270">
        <f t="shared" si="79"/>
        <v>7</v>
      </c>
    </row>
    <row r="20">
      <c r="A20" s="26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107"/>
      <c r="U20" s="33"/>
      <c r="V20" s="158"/>
      <c r="W20" s="159"/>
      <c r="X20" s="271"/>
      <c r="Z20" s="260"/>
      <c r="AA20" s="15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107"/>
      <c r="AQ20" s="234"/>
    </row>
    <row r="21">
      <c r="A21" s="33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107"/>
      <c r="U21" s="33"/>
      <c r="V21" s="158"/>
      <c r="W21" s="159"/>
      <c r="X21" s="271"/>
      <c r="Z21" s="136"/>
      <c r="AA21" s="13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107"/>
      <c r="AQ21" s="234"/>
    </row>
    <row r="22">
      <c r="A22" s="34" t="s">
        <v>8</v>
      </c>
      <c r="B22" s="35">
        <f t="shared" ref="B22:N22" si="80">B19+B15+B10</f>
        <v>243</v>
      </c>
      <c r="C22" s="35">
        <f t="shared" si="80"/>
        <v>363</v>
      </c>
      <c r="D22" s="35">
        <f t="shared" si="80"/>
        <v>13</v>
      </c>
      <c r="E22" s="35">
        <f t="shared" si="80"/>
        <v>376</v>
      </c>
      <c r="F22" s="35">
        <f t="shared" si="80"/>
        <v>355</v>
      </c>
      <c r="G22" s="35">
        <f t="shared" si="80"/>
        <v>165</v>
      </c>
      <c r="H22" s="35">
        <f t="shared" si="80"/>
        <v>3</v>
      </c>
      <c r="I22" s="35">
        <f t="shared" si="80"/>
        <v>168</v>
      </c>
      <c r="J22" s="35">
        <f t="shared" si="80"/>
        <v>165</v>
      </c>
      <c r="K22" s="35">
        <f t="shared" si="80"/>
        <v>752</v>
      </c>
      <c r="L22" s="35">
        <f t="shared" si="80"/>
        <v>21</v>
      </c>
      <c r="M22" s="35">
        <f t="shared" si="80"/>
        <v>773</v>
      </c>
      <c r="N22" s="35">
        <f t="shared" si="80"/>
        <v>986</v>
      </c>
      <c r="O22" s="109"/>
      <c r="P22" s="35">
        <f t="shared" ref="P22:W22" si="81">P19+P15+P10</f>
        <v>243</v>
      </c>
      <c r="Q22" s="35">
        <f t="shared" si="81"/>
        <v>1280</v>
      </c>
      <c r="R22" s="35">
        <f t="shared" si="81"/>
        <v>37</v>
      </c>
      <c r="S22" s="35">
        <f t="shared" si="81"/>
        <v>1560</v>
      </c>
      <c r="T22" s="37">
        <f t="shared" si="81"/>
        <v>1506</v>
      </c>
      <c r="U22" s="235">
        <f t="shared" si="81"/>
        <v>-54</v>
      </c>
      <c r="V22" s="235">
        <f t="shared" si="81"/>
        <v>1317</v>
      </c>
      <c r="W22" s="35">
        <f t="shared" si="81"/>
        <v>1506</v>
      </c>
      <c r="X22" s="272">
        <f>(Q22+R22)/T22</f>
        <v>0.874501992</v>
      </c>
      <c r="Z22" s="240"/>
      <c r="AA22" s="108" t="s">
        <v>8</v>
      </c>
      <c r="AB22" s="35">
        <f t="shared" ref="AB22:AK22" si="82">AB19+AB15+AB10</f>
        <v>42</v>
      </c>
      <c r="AC22" s="35">
        <f t="shared" si="82"/>
        <v>5</v>
      </c>
      <c r="AD22" s="35">
        <f t="shared" si="82"/>
        <v>5</v>
      </c>
      <c r="AE22" s="35">
        <f t="shared" si="82"/>
        <v>69</v>
      </c>
      <c r="AF22" s="35">
        <f t="shared" si="82"/>
        <v>16</v>
      </c>
      <c r="AG22" s="35">
        <f t="shared" si="82"/>
        <v>16</v>
      </c>
      <c r="AH22" s="35">
        <f t="shared" si="82"/>
        <v>12</v>
      </c>
      <c r="AI22" s="35">
        <f t="shared" si="82"/>
        <v>0</v>
      </c>
      <c r="AJ22" s="35">
        <f t="shared" si="82"/>
        <v>0</v>
      </c>
      <c r="AK22" s="35">
        <f t="shared" si="82"/>
        <v>0</v>
      </c>
      <c r="AL22" s="109"/>
      <c r="AM22" s="35">
        <f t="shared" ref="AM22:AQ22" si="83">AM19+AM15+AM10</f>
        <v>42</v>
      </c>
      <c r="AN22" s="35">
        <f t="shared" si="83"/>
        <v>25</v>
      </c>
      <c r="AO22" s="35">
        <f t="shared" si="83"/>
        <v>67</v>
      </c>
      <c r="AP22" s="37">
        <f t="shared" si="83"/>
        <v>81</v>
      </c>
      <c r="AQ22" s="237">
        <f t="shared" si="83"/>
        <v>14</v>
      </c>
    </row>
    <row r="24">
      <c r="A24" s="187" t="s">
        <v>52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8"/>
      <c r="V24" s="273"/>
      <c r="W24" s="273"/>
      <c r="X24" s="273"/>
      <c r="Y24" s="110" t="s">
        <v>29</v>
      </c>
      <c r="Z24" s="111" t="s">
        <v>30</v>
      </c>
    </row>
    <row r="25">
      <c r="A25" s="13"/>
      <c r="B25" s="190"/>
      <c r="C25" s="89" t="s">
        <v>160</v>
      </c>
      <c r="D25" s="90"/>
      <c r="E25" s="90"/>
      <c r="F25" s="90"/>
      <c r="G25" s="91" t="s">
        <v>161</v>
      </c>
      <c r="H25" s="90"/>
      <c r="I25" s="90"/>
      <c r="J25" s="90"/>
      <c r="K25" s="91" t="s">
        <v>162</v>
      </c>
      <c r="L25" s="90"/>
      <c r="M25" s="90"/>
      <c r="N25" s="90"/>
      <c r="O25" s="136"/>
      <c r="P25" s="178"/>
      <c r="Q25" s="91" t="s">
        <v>8</v>
      </c>
      <c r="R25" s="90"/>
      <c r="S25" s="90"/>
      <c r="T25" s="92"/>
      <c r="Z25" s="136"/>
    </row>
    <row r="26">
      <c r="A26" s="15"/>
      <c r="B26" s="190"/>
      <c r="C26" s="179" t="s">
        <v>54</v>
      </c>
      <c r="D26" s="179" t="s">
        <v>55</v>
      </c>
      <c r="E26" s="179" t="s">
        <v>37</v>
      </c>
      <c r="F26" s="179" t="s">
        <v>56</v>
      </c>
      <c r="G26" s="179" t="s">
        <v>54</v>
      </c>
      <c r="H26" s="179" t="s">
        <v>55</v>
      </c>
      <c r="I26" s="179" t="s">
        <v>37</v>
      </c>
      <c r="J26" s="179" t="s">
        <v>56</v>
      </c>
      <c r="K26" s="179" t="s">
        <v>54</v>
      </c>
      <c r="L26" s="179" t="s">
        <v>55</v>
      </c>
      <c r="M26" s="179" t="s">
        <v>37</v>
      </c>
      <c r="N26" s="179" t="s">
        <v>56</v>
      </c>
      <c r="O26" s="204"/>
      <c r="P26" s="179"/>
      <c r="Q26" s="179" t="s">
        <v>54</v>
      </c>
      <c r="R26" s="179" t="s">
        <v>55</v>
      </c>
      <c r="S26" s="179" t="s">
        <v>37</v>
      </c>
      <c r="T26" s="181" t="s">
        <v>56</v>
      </c>
      <c r="Z26" s="260"/>
      <c r="AD26" s="10" t="s">
        <v>163</v>
      </c>
      <c r="AE26" s="8" t="s">
        <v>164</v>
      </c>
      <c r="AF26" s="12" t="s">
        <v>100</v>
      </c>
      <c r="AG26" s="12" t="s">
        <v>165</v>
      </c>
      <c r="AH26" s="12" t="s">
        <v>87</v>
      </c>
      <c r="AI26" s="8" t="s">
        <v>8</v>
      </c>
      <c r="AJ26" s="12" t="s">
        <v>166</v>
      </c>
      <c r="AL26" s="8" t="s">
        <v>167</v>
      </c>
      <c r="AM26" s="8" t="s">
        <v>100</v>
      </c>
      <c r="AN26" s="8" t="s">
        <v>165</v>
      </c>
      <c r="AO26" s="8" t="s">
        <v>87</v>
      </c>
      <c r="AP26" s="8" t="s">
        <v>8</v>
      </c>
    </row>
    <row r="27">
      <c r="A27" s="95" t="s">
        <v>13</v>
      </c>
      <c r="B27" s="190"/>
      <c r="C27" s="17">
        <v>128.0</v>
      </c>
      <c r="D27" s="17"/>
      <c r="E27" s="96">
        <f t="shared" ref="E27:E30" si="85">SUM(C27:D27)</f>
        <v>128</v>
      </c>
      <c r="F27" s="97">
        <v>113.0</v>
      </c>
      <c r="G27" s="98">
        <f>110-24</f>
        <v>86</v>
      </c>
      <c r="H27" s="17"/>
      <c r="I27" s="96">
        <f t="shared" ref="I27:I30" si="86">SUM(G27:H27)</f>
        <v>86</v>
      </c>
      <c r="J27" s="97">
        <v>75.0</v>
      </c>
      <c r="K27" s="98">
        <v>289.0</v>
      </c>
      <c r="L27" s="17"/>
      <c r="M27" s="96">
        <f t="shared" ref="M27:M30" si="87">SUM(K27:L27)</f>
        <v>289</v>
      </c>
      <c r="N27" s="97">
        <v>275.0</v>
      </c>
      <c r="O27" s="32"/>
      <c r="P27" s="99" t="str">
        <f t="shared" ref="P27:P41" si="88">B27</f>
        <v/>
      </c>
      <c r="Q27" s="31">
        <f t="shared" ref="Q27:R27" si="84">K27+G27+C27</f>
        <v>503</v>
      </c>
      <c r="R27" s="31">
        <f t="shared" si="84"/>
        <v>0</v>
      </c>
      <c r="S27" s="96">
        <f t="shared" ref="S27:S30" si="90">sum(P27:R27)</f>
        <v>503</v>
      </c>
      <c r="T27" s="100">
        <f t="shared" ref="T27:T30" si="91">N27+J27+F27</f>
        <v>463</v>
      </c>
      <c r="V27" s="43"/>
      <c r="W27" s="43"/>
      <c r="X27" s="43"/>
      <c r="Y27" s="40">
        <v>45565.0</v>
      </c>
      <c r="Z27" s="240" t="s">
        <v>57</v>
      </c>
      <c r="AD27" s="21">
        <f t="shared" ref="AD27:AD30" si="92">AB6+AC6+AI27</f>
        <v>7</v>
      </c>
      <c r="AE27" s="149" t="s">
        <v>13</v>
      </c>
      <c r="AF27" s="12">
        <v>1.0</v>
      </c>
      <c r="AI27" s="20">
        <f t="shared" ref="AI27:AI30" si="93">sum(AF27:AH27)</f>
        <v>1</v>
      </c>
      <c r="AJ27" s="20">
        <f t="shared" ref="AJ27:AJ30" si="94">AF6-AI27</f>
        <v>2</v>
      </c>
      <c r="AL27" s="149" t="s">
        <v>13</v>
      </c>
      <c r="AM27" s="12">
        <v>6.0</v>
      </c>
      <c r="AN27" s="12">
        <v>5.0</v>
      </c>
      <c r="AO27" s="12">
        <v>6.0</v>
      </c>
      <c r="AP27" s="20">
        <f t="shared" ref="AP27:AP30" si="95">sum(AM27:AO27)</f>
        <v>17</v>
      </c>
    </row>
    <row r="28">
      <c r="A28" s="95" t="s">
        <v>14</v>
      </c>
      <c r="B28" s="190"/>
      <c r="C28" s="17"/>
      <c r="D28" s="17"/>
      <c r="E28" s="96">
        <f t="shared" si="85"/>
        <v>0</v>
      </c>
      <c r="F28" s="97">
        <v>21.0</v>
      </c>
      <c r="G28" s="98">
        <v>13.0</v>
      </c>
      <c r="H28" s="17"/>
      <c r="I28" s="96">
        <f t="shared" si="86"/>
        <v>13</v>
      </c>
      <c r="J28" s="97">
        <v>7.0</v>
      </c>
      <c r="K28" s="98">
        <v>44.0</v>
      </c>
      <c r="L28" s="17">
        <v>0.0</v>
      </c>
      <c r="M28" s="96">
        <f t="shared" si="87"/>
        <v>44</v>
      </c>
      <c r="N28" s="97">
        <v>50.0</v>
      </c>
      <c r="O28" s="32"/>
      <c r="P28" s="99" t="str">
        <f t="shared" si="88"/>
        <v/>
      </c>
      <c r="Q28" s="31">
        <f t="shared" ref="Q28:R28" si="89">K28+G28+C28</f>
        <v>57</v>
      </c>
      <c r="R28" s="31">
        <f t="shared" si="89"/>
        <v>0</v>
      </c>
      <c r="S28" s="96">
        <f t="shared" si="90"/>
        <v>57</v>
      </c>
      <c r="T28" s="100">
        <f t="shared" si="91"/>
        <v>78</v>
      </c>
      <c r="V28" s="43"/>
      <c r="W28" s="43"/>
      <c r="X28" s="43"/>
      <c r="Y28" s="40">
        <v>45565.0</v>
      </c>
      <c r="Z28" s="240" t="s">
        <v>57</v>
      </c>
      <c r="AD28" s="21">
        <f t="shared" si="92"/>
        <v>6</v>
      </c>
      <c r="AE28" s="149" t="s">
        <v>14</v>
      </c>
      <c r="AH28" s="12">
        <v>3.0</v>
      </c>
      <c r="AI28" s="20">
        <f t="shared" si="93"/>
        <v>3</v>
      </c>
      <c r="AJ28" s="20">
        <f t="shared" si="94"/>
        <v>-1</v>
      </c>
      <c r="AL28" s="149" t="s">
        <v>14</v>
      </c>
      <c r="AM28" s="12">
        <v>2.0</v>
      </c>
      <c r="AN28" s="12">
        <v>1.0</v>
      </c>
      <c r="AO28" s="12">
        <v>9.0</v>
      </c>
      <c r="AP28" s="20">
        <f t="shared" si="95"/>
        <v>12</v>
      </c>
    </row>
    <row r="29">
      <c r="A29" s="95" t="s">
        <v>15</v>
      </c>
      <c r="B29" s="190"/>
      <c r="C29" s="17"/>
      <c r="D29" s="17"/>
      <c r="E29" s="96">
        <f t="shared" si="85"/>
        <v>0</v>
      </c>
      <c r="F29" s="97"/>
      <c r="G29" s="98"/>
      <c r="H29" s="17"/>
      <c r="I29" s="96">
        <f t="shared" si="86"/>
        <v>0</v>
      </c>
      <c r="J29" s="97"/>
      <c r="K29" s="98">
        <v>0.0</v>
      </c>
      <c r="L29" s="17">
        <v>0.0</v>
      </c>
      <c r="M29" s="96">
        <f t="shared" si="87"/>
        <v>0</v>
      </c>
      <c r="N29" s="97"/>
      <c r="O29" s="32"/>
      <c r="P29" s="99" t="str">
        <f t="shared" si="88"/>
        <v/>
      </c>
      <c r="Q29" s="31">
        <f t="shared" ref="Q29:R29" si="96">K29+G29+C29</f>
        <v>0</v>
      </c>
      <c r="R29" s="31">
        <f t="shared" si="96"/>
        <v>0</v>
      </c>
      <c r="S29" s="96">
        <f t="shared" si="90"/>
        <v>0</v>
      </c>
      <c r="T29" s="100">
        <f t="shared" si="91"/>
        <v>0</v>
      </c>
      <c r="V29" s="43"/>
      <c r="W29" s="43"/>
      <c r="X29" s="43"/>
      <c r="Y29" s="40">
        <v>45565.0</v>
      </c>
      <c r="Z29" s="240" t="s">
        <v>57</v>
      </c>
      <c r="AD29" s="21">
        <f t="shared" si="92"/>
        <v>10</v>
      </c>
      <c r="AE29" s="149" t="s">
        <v>15</v>
      </c>
      <c r="AF29" s="12">
        <v>1.0</v>
      </c>
      <c r="AG29" s="12">
        <v>1.0</v>
      </c>
      <c r="AI29" s="20">
        <f t="shared" si="93"/>
        <v>2</v>
      </c>
      <c r="AJ29" s="20">
        <f t="shared" si="94"/>
        <v>0</v>
      </c>
      <c r="AL29" s="149" t="s">
        <v>15</v>
      </c>
      <c r="AM29" s="12">
        <v>2.0</v>
      </c>
      <c r="AN29" s="12">
        <v>3.0</v>
      </c>
      <c r="AO29" s="12">
        <v>4.0</v>
      </c>
      <c r="AP29" s="20">
        <f t="shared" si="95"/>
        <v>9</v>
      </c>
    </row>
    <row r="30">
      <c r="A30" s="95" t="s">
        <v>16</v>
      </c>
      <c r="B30" s="190"/>
      <c r="C30" s="17"/>
      <c r="D30" s="17"/>
      <c r="E30" s="96">
        <f t="shared" si="85"/>
        <v>0</v>
      </c>
      <c r="F30" s="97"/>
      <c r="G30" s="98"/>
      <c r="H30" s="17"/>
      <c r="I30" s="96">
        <f t="shared" si="86"/>
        <v>0</v>
      </c>
      <c r="J30" s="97"/>
      <c r="K30" s="98">
        <v>0.0</v>
      </c>
      <c r="L30" s="17">
        <v>0.0</v>
      </c>
      <c r="M30" s="96">
        <f t="shared" si="87"/>
        <v>0</v>
      </c>
      <c r="N30" s="97"/>
      <c r="O30" s="32"/>
      <c r="P30" s="99" t="str">
        <f t="shared" si="88"/>
        <v/>
      </c>
      <c r="Q30" s="31">
        <f t="shared" ref="Q30:R30" si="97">K30+G30+C30</f>
        <v>0</v>
      </c>
      <c r="R30" s="31">
        <f t="shared" si="97"/>
        <v>0</v>
      </c>
      <c r="S30" s="96">
        <f t="shared" si="90"/>
        <v>0</v>
      </c>
      <c r="T30" s="100">
        <f t="shared" si="91"/>
        <v>0</v>
      </c>
      <c r="V30" s="43"/>
      <c r="W30" s="43"/>
      <c r="X30" s="43"/>
      <c r="Y30" s="40">
        <v>45565.0</v>
      </c>
      <c r="Z30" s="240" t="s">
        <v>57</v>
      </c>
      <c r="AD30" s="21">
        <f t="shared" si="92"/>
        <v>3</v>
      </c>
      <c r="AE30" s="149" t="s">
        <v>16</v>
      </c>
      <c r="AH30" s="12">
        <v>1.0</v>
      </c>
      <c r="AI30" s="20">
        <f t="shared" si="93"/>
        <v>1</v>
      </c>
      <c r="AJ30" s="20">
        <f t="shared" si="94"/>
        <v>0</v>
      </c>
      <c r="AL30" s="149" t="s">
        <v>16</v>
      </c>
      <c r="AM30" s="12">
        <v>7.0</v>
      </c>
      <c r="AN30" s="12">
        <v>2.0</v>
      </c>
      <c r="AO30" s="12">
        <v>8.0</v>
      </c>
      <c r="AP30" s="20">
        <f t="shared" si="95"/>
        <v>17</v>
      </c>
    </row>
    <row r="31">
      <c r="A31" s="103" t="s">
        <v>17</v>
      </c>
      <c r="B31" s="190"/>
      <c r="C31" s="27">
        <f t="shared" ref="C31:N31" si="98">sum(C27:C30)</f>
        <v>128</v>
      </c>
      <c r="D31" s="27">
        <f t="shared" si="98"/>
        <v>0</v>
      </c>
      <c r="E31" s="27">
        <f t="shared" si="98"/>
        <v>128</v>
      </c>
      <c r="F31" s="27">
        <f t="shared" si="98"/>
        <v>134</v>
      </c>
      <c r="G31" s="27">
        <f t="shared" si="98"/>
        <v>99</v>
      </c>
      <c r="H31" s="27">
        <f t="shared" si="98"/>
        <v>0</v>
      </c>
      <c r="I31" s="27">
        <f t="shared" si="98"/>
        <v>99</v>
      </c>
      <c r="J31" s="27">
        <f t="shared" si="98"/>
        <v>82</v>
      </c>
      <c r="K31" s="27">
        <f t="shared" si="98"/>
        <v>333</v>
      </c>
      <c r="L31" s="27">
        <f t="shared" si="98"/>
        <v>0</v>
      </c>
      <c r="M31" s="27">
        <f t="shared" si="98"/>
        <v>333</v>
      </c>
      <c r="N31" s="27">
        <f t="shared" si="98"/>
        <v>325</v>
      </c>
      <c r="O31" s="32"/>
      <c r="P31" s="99" t="str">
        <f t="shared" si="88"/>
        <v/>
      </c>
      <c r="Q31" s="27">
        <f t="shared" ref="Q31:T31" si="99">sum(Q27:Q30)</f>
        <v>560</v>
      </c>
      <c r="R31" s="27">
        <f t="shared" si="99"/>
        <v>0</v>
      </c>
      <c r="S31" s="27">
        <f t="shared" si="99"/>
        <v>560</v>
      </c>
      <c r="T31" s="104">
        <f t="shared" si="99"/>
        <v>541</v>
      </c>
      <c r="Z31" s="260"/>
      <c r="AE31" s="240" t="s">
        <v>17</v>
      </c>
      <c r="AF31" s="44">
        <f t="shared" ref="AF31:AJ31" si="100">sum(AF27:AF30)</f>
        <v>2</v>
      </c>
      <c r="AG31" s="44">
        <f t="shared" si="100"/>
        <v>1</v>
      </c>
      <c r="AH31" s="44">
        <f t="shared" si="100"/>
        <v>4</v>
      </c>
      <c r="AI31" s="44">
        <f t="shared" si="100"/>
        <v>7</v>
      </c>
      <c r="AJ31" s="44">
        <f t="shared" si="100"/>
        <v>1</v>
      </c>
      <c r="AL31" s="240" t="s">
        <v>17</v>
      </c>
      <c r="AM31" s="44">
        <f t="shared" ref="AM31:AP31" si="101">sum(AM27:AM30)</f>
        <v>17</v>
      </c>
      <c r="AN31" s="44">
        <f t="shared" si="101"/>
        <v>11</v>
      </c>
      <c r="AO31" s="44">
        <f t="shared" si="101"/>
        <v>27</v>
      </c>
      <c r="AP31" s="44">
        <f t="shared" si="101"/>
        <v>55</v>
      </c>
    </row>
    <row r="32">
      <c r="A32" s="95" t="s">
        <v>18</v>
      </c>
      <c r="B32" s="190"/>
      <c r="C32" s="244" t="str">
        <f>'Regs Q2'!V77</f>
        <v/>
      </c>
      <c r="D32" s="31"/>
      <c r="E32" s="218">
        <f t="shared" ref="E32:E35" si="103">SUM(C32:D32)</f>
        <v>0</v>
      </c>
      <c r="F32" s="97"/>
      <c r="G32" s="276" t="str">
        <f>'Regs Q2'!V54</f>
        <v/>
      </c>
      <c r="H32" s="31"/>
      <c r="I32" s="218">
        <f t="shared" ref="I32:I35" si="104">SUM(G32:H32)</f>
        <v>0</v>
      </c>
      <c r="J32" s="97"/>
      <c r="K32" s="276" t="str">
        <f>'Regs Q2'!V31</f>
        <v/>
      </c>
      <c r="L32" s="31"/>
      <c r="M32" s="218">
        <f t="shared" ref="M32:M35" si="105">SUM(K32:L32)</f>
        <v>0</v>
      </c>
      <c r="N32" s="97"/>
      <c r="O32" s="32"/>
      <c r="P32" s="99" t="str">
        <f t="shared" si="88"/>
        <v/>
      </c>
      <c r="Q32" s="263">
        <f t="shared" ref="Q32:R32" si="102">K32+G32+C32</f>
        <v>0</v>
      </c>
      <c r="R32" s="31">
        <f t="shared" si="102"/>
        <v>0</v>
      </c>
      <c r="S32" s="96">
        <f t="shared" ref="S32:S35" si="106">sum(P32:R32)</f>
        <v>0</v>
      </c>
      <c r="T32" s="100">
        <f t="shared" ref="T32:T35" si="107">N32+J32+F32</f>
        <v>0</v>
      </c>
      <c r="V32" s="43"/>
      <c r="W32" s="43"/>
      <c r="X32" s="43"/>
      <c r="Y32" s="40">
        <v>45565.0</v>
      </c>
      <c r="Z32" s="240" t="s">
        <v>48</v>
      </c>
      <c r="AD32" s="21">
        <f t="shared" ref="AD32:AD35" si="108">AB11+AC11+AI32</f>
        <v>6</v>
      </c>
      <c r="AE32" s="149" t="s">
        <v>18</v>
      </c>
      <c r="AI32" s="20">
        <f t="shared" ref="AI32:AI35" si="109">sum(AF32:AH32)</f>
        <v>0</v>
      </c>
      <c r="AJ32" s="20">
        <f t="shared" ref="AJ32:AJ35" si="110">AF11-AI32</f>
        <v>1</v>
      </c>
      <c r="AL32" s="149" t="s">
        <v>18</v>
      </c>
      <c r="AM32" s="12">
        <v>2.0</v>
      </c>
      <c r="AN32" s="12">
        <v>2.0</v>
      </c>
      <c r="AO32" s="12">
        <v>3.0</v>
      </c>
      <c r="AP32" s="20">
        <f t="shared" ref="AP32:AP35" si="111">sum(AM32:AO32)</f>
        <v>7</v>
      </c>
    </row>
    <row r="33">
      <c r="A33" s="95" t="s">
        <v>19</v>
      </c>
      <c r="B33" s="190"/>
      <c r="C33" s="17">
        <v>6.0</v>
      </c>
      <c r="D33" s="31"/>
      <c r="E33" s="96">
        <f t="shared" si="103"/>
        <v>6</v>
      </c>
      <c r="F33" s="97">
        <v>30.0</v>
      </c>
      <c r="G33" s="98">
        <v>14.0</v>
      </c>
      <c r="H33" s="31"/>
      <c r="I33" s="96">
        <f t="shared" si="104"/>
        <v>14</v>
      </c>
      <c r="J33" s="97">
        <v>19.0</v>
      </c>
      <c r="K33" s="98">
        <v>69.0</v>
      </c>
      <c r="L33" s="31">
        <v>0.0</v>
      </c>
      <c r="M33" s="96">
        <f t="shared" si="105"/>
        <v>69</v>
      </c>
      <c r="N33" s="97">
        <v>59.0</v>
      </c>
      <c r="O33" s="32"/>
      <c r="P33" s="99" t="str">
        <f t="shared" si="88"/>
        <v/>
      </c>
      <c r="Q33" s="31">
        <f t="shared" ref="Q33:Q34" si="112">K33+G33+O41+C33</f>
        <v>89</v>
      </c>
      <c r="R33" s="31">
        <f>L33+H33+D33</f>
        <v>0</v>
      </c>
      <c r="S33" s="96">
        <f t="shared" si="106"/>
        <v>89</v>
      </c>
      <c r="T33" s="100">
        <f t="shared" si="107"/>
        <v>108</v>
      </c>
      <c r="V33" s="43"/>
      <c r="W33" s="43"/>
      <c r="X33" s="43"/>
      <c r="Y33" s="40">
        <v>45565.0</v>
      </c>
      <c r="Z33" s="240" t="s">
        <v>48</v>
      </c>
      <c r="AD33" s="21">
        <f t="shared" si="108"/>
        <v>3</v>
      </c>
      <c r="AE33" s="149" t="s">
        <v>19</v>
      </c>
      <c r="AF33" s="12">
        <v>1.0</v>
      </c>
      <c r="AI33" s="20">
        <f t="shared" si="109"/>
        <v>1</v>
      </c>
      <c r="AJ33" s="20">
        <f t="shared" si="110"/>
        <v>0</v>
      </c>
      <c r="AL33" s="149" t="s">
        <v>19</v>
      </c>
      <c r="AM33" s="12">
        <v>4.0</v>
      </c>
      <c r="AN33" s="12">
        <v>1.0</v>
      </c>
      <c r="AP33" s="20">
        <f t="shared" si="111"/>
        <v>5</v>
      </c>
    </row>
    <row r="34">
      <c r="A34" s="95" t="s">
        <v>20</v>
      </c>
      <c r="B34" s="190"/>
      <c r="C34" s="244" t="str">
        <f>'Regs Q2'!V79</f>
        <v/>
      </c>
      <c r="D34" s="31"/>
      <c r="E34" s="218">
        <f t="shared" si="103"/>
        <v>0</v>
      </c>
      <c r="F34" s="97"/>
      <c r="G34" s="276" t="str">
        <f>'Regs Q2'!V56</f>
        <v/>
      </c>
      <c r="H34" s="31"/>
      <c r="I34" s="218">
        <f t="shared" si="104"/>
        <v>0</v>
      </c>
      <c r="J34" s="97"/>
      <c r="K34" s="276" t="str">
        <f>'Regs Q2'!V33</f>
        <v/>
      </c>
      <c r="L34" s="31"/>
      <c r="M34" s="218">
        <f t="shared" si="105"/>
        <v>0</v>
      </c>
      <c r="N34" s="97"/>
      <c r="O34" s="32"/>
      <c r="P34" s="99" t="str">
        <f t="shared" si="88"/>
        <v/>
      </c>
      <c r="Q34" s="263">
        <f t="shared" si="112"/>
        <v>0</v>
      </c>
      <c r="R34" s="31">
        <v>0.0</v>
      </c>
      <c r="S34" s="96">
        <f t="shared" si="106"/>
        <v>0</v>
      </c>
      <c r="T34" s="100">
        <f t="shared" si="107"/>
        <v>0</v>
      </c>
      <c r="V34" s="43"/>
      <c r="W34" s="43"/>
      <c r="X34" s="43"/>
      <c r="Y34" s="40">
        <v>45565.0</v>
      </c>
      <c r="Z34" s="240" t="s">
        <v>48</v>
      </c>
      <c r="AD34" s="21">
        <f t="shared" si="108"/>
        <v>6</v>
      </c>
      <c r="AE34" s="149" t="s">
        <v>20</v>
      </c>
      <c r="AF34" s="12">
        <v>2.0</v>
      </c>
      <c r="AG34" s="12">
        <v>1.0</v>
      </c>
      <c r="AI34" s="20">
        <f t="shared" si="109"/>
        <v>3</v>
      </c>
      <c r="AJ34" s="20">
        <f t="shared" si="110"/>
        <v>0</v>
      </c>
      <c r="AL34" s="149" t="s">
        <v>20</v>
      </c>
      <c r="AM34" s="12">
        <v>3.0</v>
      </c>
      <c r="AN34" s="12">
        <v>3.0</v>
      </c>
      <c r="AO34" s="12">
        <v>3.0</v>
      </c>
      <c r="AP34" s="20">
        <f t="shared" si="111"/>
        <v>9</v>
      </c>
    </row>
    <row r="35">
      <c r="A35" s="95" t="s">
        <v>21</v>
      </c>
      <c r="B35" s="190"/>
      <c r="C35" s="244" t="str">
        <f>'Regs Q2'!V80</f>
        <v/>
      </c>
      <c r="D35" s="31"/>
      <c r="E35" s="218">
        <f t="shared" si="103"/>
        <v>0</v>
      </c>
      <c r="F35" s="97"/>
      <c r="G35" s="276" t="str">
        <f>'Regs Q2'!V57</f>
        <v/>
      </c>
      <c r="H35" s="31"/>
      <c r="I35" s="218">
        <f t="shared" si="104"/>
        <v>0</v>
      </c>
      <c r="J35" s="97"/>
      <c r="K35" s="276" t="str">
        <f>'Regs Q2'!V34</f>
        <v/>
      </c>
      <c r="L35" s="31"/>
      <c r="M35" s="218">
        <f t="shared" si="105"/>
        <v>0</v>
      </c>
      <c r="N35" s="97"/>
      <c r="O35" s="32"/>
      <c r="P35" s="99" t="str">
        <f t="shared" si="88"/>
        <v/>
      </c>
      <c r="Q35" s="263">
        <f t="shared" ref="Q35:R35" si="113">K35+G35+C35</f>
        <v>0</v>
      </c>
      <c r="R35" s="31">
        <f t="shared" si="113"/>
        <v>0</v>
      </c>
      <c r="S35" s="96">
        <f t="shared" si="106"/>
        <v>0</v>
      </c>
      <c r="T35" s="100">
        <f t="shared" si="107"/>
        <v>0</v>
      </c>
      <c r="V35" s="43"/>
      <c r="W35" s="43"/>
      <c r="X35" s="43"/>
      <c r="Y35" s="40">
        <v>45565.0</v>
      </c>
      <c r="Z35" s="240" t="s">
        <v>48</v>
      </c>
      <c r="AD35" s="21">
        <f t="shared" si="108"/>
        <v>9</v>
      </c>
      <c r="AE35" s="149" t="s">
        <v>21</v>
      </c>
      <c r="AH35" s="12">
        <v>1.0</v>
      </c>
      <c r="AI35" s="20">
        <f t="shared" si="109"/>
        <v>1</v>
      </c>
      <c r="AJ35" s="20">
        <f t="shared" si="110"/>
        <v>0</v>
      </c>
      <c r="AL35" s="149" t="s">
        <v>21</v>
      </c>
      <c r="AM35" s="12">
        <v>4.0</v>
      </c>
      <c r="AN35" s="12">
        <v>3.0</v>
      </c>
      <c r="AO35" s="12">
        <v>6.0</v>
      </c>
      <c r="AP35" s="20">
        <f t="shared" si="111"/>
        <v>13</v>
      </c>
    </row>
    <row r="36">
      <c r="A36" s="103" t="s">
        <v>22</v>
      </c>
      <c r="B36" s="190"/>
      <c r="C36" s="29">
        <f t="shared" ref="C36:N36" si="114">sum(C32:C35)</f>
        <v>6</v>
      </c>
      <c r="D36" s="27">
        <f t="shared" si="114"/>
        <v>0</v>
      </c>
      <c r="E36" s="29">
        <f t="shared" si="114"/>
        <v>6</v>
      </c>
      <c r="F36" s="27">
        <f t="shared" si="114"/>
        <v>30</v>
      </c>
      <c r="G36" s="29">
        <f t="shared" si="114"/>
        <v>14</v>
      </c>
      <c r="H36" s="27">
        <f t="shared" si="114"/>
        <v>0</v>
      </c>
      <c r="I36" s="29">
        <f t="shared" si="114"/>
        <v>14</v>
      </c>
      <c r="J36" s="27">
        <f t="shared" si="114"/>
        <v>19</v>
      </c>
      <c r="K36" s="29">
        <f t="shared" si="114"/>
        <v>69</v>
      </c>
      <c r="L36" s="27">
        <f t="shared" si="114"/>
        <v>0</v>
      </c>
      <c r="M36" s="29">
        <f t="shared" si="114"/>
        <v>69</v>
      </c>
      <c r="N36" s="27">
        <f t="shared" si="114"/>
        <v>59</v>
      </c>
      <c r="O36" s="32"/>
      <c r="P36" s="99" t="str">
        <f t="shared" si="88"/>
        <v/>
      </c>
      <c r="Q36" s="29">
        <f t="shared" ref="Q36:T36" si="115">sum(Q32:Q35)</f>
        <v>89</v>
      </c>
      <c r="R36" s="27">
        <f t="shared" si="115"/>
        <v>0</v>
      </c>
      <c r="S36" s="27">
        <f t="shared" si="115"/>
        <v>89</v>
      </c>
      <c r="T36" s="104">
        <f t="shared" si="115"/>
        <v>108</v>
      </c>
      <c r="Z36" s="260"/>
      <c r="AE36" s="240" t="s">
        <v>22</v>
      </c>
      <c r="AF36" s="44">
        <f t="shared" ref="AF36:AJ36" si="116">sum(AF32:AF35)</f>
        <v>3</v>
      </c>
      <c r="AG36" s="44">
        <f t="shared" si="116"/>
        <v>1</v>
      </c>
      <c r="AH36" s="44">
        <f t="shared" si="116"/>
        <v>1</v>
      </c>
      <c r="AI36" s="44">
        <f t="shared" si="116"/>
        <v>5</v>
      </c>
      <c r="AJ36" s="44">
        <f t="shared" si="116"/>
        <v>1</v>
      </c>
      <c r="AL36" s="240" t="s">
        <v>22</v>
      </c>
      <c r="AM36" s="44">
        <f t="shared" ref="AM36:AP36" si="117">sum(AM32:AM35)</f>
        <v>13</v>
      </c>
      <c r="AN36" s="44">
        <f t="shared" si="117"/>
        <v>9</v>
      </c>
      <c r="AO36" s="44">
        <f t="shared" si="117"/>
        <v>12</v>
      </c>
      <c r="AP36" s="44">
        <f t="shared" si="117"/>
        <v>34</v>
      </c>
    </row>
    <row r="37">
      <c r="A37" s="95" t="s">
        <v>23</v>
      </c>
      <c r="B37" s="190"/>
      <c r="C37" s="17">
        <v>52.0</v>
      </c>
      <c r="D37" s="31"/>
      <c r="E37" s="96">
        <f t="shared" ref="E37:E39" si="119">SUM(C37:D37)</f>
        <v>52</v>
      </c>
      <c r="F37" s="97">
        <v>50.0</v>
      </c>
      <c r="G37" s="98">
        <f>100</f>
        <v>100</v>
      </c>
      <c r="H37" s="31"/>
      <c r="I37" s="96">
        <f t="shared" ref="I37:I39" si="120">SUM(G37:H37)</f>
        <v>100</v>
      </c>
      <c r="J37" s="97">
        <v>28.0</v>
      </c>
      <c r="K37" s="98">
        <v>79.0</v>
      </c>
      <c r="L37" s="31">
        <v>0.0</v>
      </c>
      <c r="M37" s="96">
        <f t="shared" ref="M37:M39" si="121">SUM(K37:L37)</f>
        <v>79</v>
      </c>
      <c r="N37" s="97">
        <v>86.0</v>
      </c>
      <c r="O37" s="32"/>
      <c r="P37" s="99" t="str">
        <f t="shared" si="88"/>
        <v/>
      </c>
      <c r="Q37" s="31">
        <f t="shared" ref="Q37:R37" si="118">K37+G37+C37</f>
        <v>231</v>
      </c>
      <c r="R37" s="31">
        <f t="shared" si="118"/>
        <v>0</v>
      </c>
      <c r="S37" s="96">
        <f t="shared" ref="S37:S39" si="123">sum(P37:R37)</f>
        <v>231</v>
      </c>
      <c r="T37" s="100">
        <f t="shared" ref="T37:T39" si="124">N37+J37+F37</f>
        <v>164</v>
      </c>
      <c r="V37" s="43"/>
      <c r="W37" s="43"/>
      <c r="X37" s="43"/>
      <c r="Y37" s="40">
        <v>45565.0</v>
      </c>
      <c r="Z37" s="240" t="s">
        <v>77</v>
      </c>
      <c r="AD37" s="21">
        <f t="shared" ref="AD37:AD39" si="125">AB16+AC16+AI37</f>
        <v>3</v>
      </c>
      <c r="AE37" s="149" t="s">
        <v>23</v>
      </c>
      <c r="AI37" s="20">
        <f t="shared" ref="AI37:AI39" si="126">sum(AF37:AH37)</f>
        <v>0</v>
      </c>
      <c r="AJ37" s="20">
        <f t="shared" ref="AJ37:AJ39" si="127">AF16-AI37</f>
        <v>0</v>
      </c>
      <c r="AL37" s="149" t="s">
        <v>23</v>
      </c>
      <c r="AM37" s="12">
        <v>2.0</v>
      </c>
      <c r="AN37" s="12">
        <v>3.0</v>
      </c>
      <c r="AO37" s="12">
        <v>3.0</v>
      </c>
      <c r="AP37" s="20">
        <f t="shared" ref="AP37:AP39" si="128">sum(AM37:AO37)</f>
        <v>8</v>
      </c>
    </row>
    <row r="38">
      <c r="A38" s="95" t="s">
        <v>24</v>
      </c>
      <c r="B38" s="190"/>
      <c r="C38" s="244" t="str">
        <f>'Regs Q2'!V83</f>
        <v/>
      </c>
      <c r="D38" s="31"/>
      <c r="E38" s="218">
        <f t="shared" si="119"/>
        <v>0</v>
      </c>
      <c r="F38" s="97"/>
      <c r="G38" s="98"/>
      <c r="H38" s="31"/>
      <c r="I38" s="96">
        <f t="shared" si="120"/>
        <v>0</v>
      </c>
      <c r="J38" s="97"/>
      <c r="K38" s="98">
        <v>0.0</v>
      </c>
      <c r="L38" s="31">
        <v>0.0</v>
      </c>
      <c r="M38" s="96">
        <f t="shared" si="121"/>
        <v>0</v>
      </c>
      <c r="N38" s="97"/>
      <c r="O38" s="32"/>
      <c r="P38" s="99" t="str">
        <f t="shared" si="88"/>
        <v/>
      </c>
      <c r="Q38" s="263">
        <f t="shared" ref="Q38:R38" si="122">K38+G38+C38</f>
        <v>0</v>
      </c>
      <c r="R38" s="31">
        <f t="shared" si="122"/>
        <v>0</v>
      </c>
      <c r="S38" s="96">
        <f t="shared" si="123"/>
        <v>0</v>
      </c>
      <c r="T38" s="100">
        <f t="shared" si="124"/>
        <v>0</v>
      </c>
      <c r="V38" s="43"/>
      <c r="W38" s="43"/>
      <c r="X38" s="43"/>
      <c r="Y38" s="40">
        <v>45565.0</v>
      </c>
      <c r="Z38" s="240" t="s">
        <v>77</v>
      </c>
      <c r="AD38" s="21">
        <f t="shared" si="125"/>
        <v>6</v>
      </c>
      <c r="AE38" s="149" t="s">
        <v>24</v>
      </c>
      <c r="AH38" s="12">
        <v>2.0</v>
      </c>
      <c r="AI38" s="20">
        <f t="shared" si="126"/>
        <v>2</v>
      </c>
      <c r="AJ38" s="20">
        <f t="shared" si="127"/>
        <v>0</v>
      </c>
      <c r="AL38" s="149" t="s">
        <v>24</v>
      </c>
      <c r="AM38" s="12">
        <v>1.0</v>
      </c>
      <c r="AN38" s="12">
        <v>1.0</v>
      </c>
      <c r="AO38" s="12">
        <v>5.0</v>
      </c>
      <c r="AP38" s="20">
        <f t="shared" si="128"/>
        <v>7</v>
      </c>
    </row>
    <row r="39">
      <c r="A39" s="95" t="s">
        <v>25</v>
      </c>
      <c r="B39" s="190"/>
      <c r="C39" s="244" t="str">
        <f>'Regs Q2'!V84</f>
        <v/>
      </c>
      <c r="D39" s="31"/>
      <c r="E39" s="218">
        <f t="shared" si="119"/>
        <v>0</v>
      </c>
      <c r="F39" s="97"/>
      <c r="G39" s="98"/>
      <c r="H39" s="31"/>
      <c r="I39" s="96">
        <f t="shared" si="120"/>
        <v>0</v>
      </c>
      <c r="J39" s="97"/>
      <c r="K39" s="276" t="str">
        <f>'Regs Q2'!V38</f>
        <v/>
      </c>
      <c r="L39" s="31"/>
      <c r="M39" s="218">
        <f t="shared" si="121"/>
        <v>0</v>
      </c>
      <c r="N39" s="97"/>
      <c r="O39" s="32"/>
      <c r="P39" s="99" t="str">
        <f t="shared" si="88"/>
        <v/>
      </c>
      <c r="Q39" s="263">
        <f t="shared" ref="Q39:R39" si="129">K39+G39+C39</f>
        <v>0</v>
      </c>
      <c r="R39" s="31">
        <f t="shared" si="129"/>
        <v>0</v>
      </c>
      <c r="S39" s="96">
        <f t="shared" si="123"/>
        <v>0</v>
      </c>
      <c r="T39" s="100">
        <f t="shared" si="124"/>
        <v>0</v>
      </c>
      <c r="V39" s="43"/>
      <c r="W39" s="43"/>
      <c r="X39" s="43"/>
      <c r="Y39" s="40">
        <v>45565.0</v>
      </c>
      <c r="Z39" s="240" t="s">
        <v>77</v>
      </c>
      <c r="AD39" s="21">
        <f t="shared" si="125"/>
        <v>2</v>
      </c>
      <c r="AE39" s="149" t="s">
        <v>25</v>
      </c>
      <c r="AI39" s="20">
        <f t="shared" si="126"/>
        <v>0</v>
      </c>
      <c r="AJ39" s="20">
        <f t="shared" si="127"/>
        <v>0</v>
      </c>
      <c r="AL39" s="149" t="s">
        <v>25</v>
      </c>
      <c r="AP39" s="20">
        <f t="shared" si="128"/>
        <v>0</v>
      </c>
    </row>
    <row r="40">
      <c r="A40" s="103" t="s">
        <v>26</v>
      </c>
      <c r="B40" s="190"/>
      <c r="C40" s="27">
        <f t="shared" ref="C40:N40" si="130">sum(C37:C39)</f>
        <v>52</v>
      </c>
      <c r="D40" s="27">
        <f t="shared" si="130"/>
        <v>0</v>
      </c>
      <c r="E40" s="27">
        <f t="shared" si="130"/>
        <v>52</v>
      </c>
      <c r="F40" s="27">
        <f t="shared" si="130"/>
        <v>50</v>
      </c>
      <c r="G40" s="27">
        <f t="shared" si="130"/>
        <v>100</v>
      </c>
      <c r="H40" s="27">
        <f t="shared" si="130"/>
        <v>0</v>
      </c>
      <c r="I40" s="27">
        <f t="shared" si="130"/>
        <v>100</v>
      </c>
      <c r="J40" s="27">
        <f t="shared" si="130"/>
        <v>28</v>
      </c>
      <c r="K40" s="27">
        <f t="shared" si="130"/>
        <v>79</v>
      </c>
      <c r="L40" s="27">
        <f t="shared" si="130"/>
        <v>0</v>
      </c>
      <c r="M40" s="27">
        <f t="shared" si="130"/>
        <v>79</v>
      </c>
      <c r="N40" s="27">
        <f t="shared" si="130"/>
        <v>86</v>
      </c>
      <c r="O40" s="32"/>
      <c r="P40" s="99" t="str">
        <f t="shared" si="88"/>
        <v/>
      </c>
      <c r="Q40" s="27">
        <f t="shared" ref="Q40:T40" si="131">sum(Q37:Q39)</f>
        <v>231</v>
      </c>
      <c r="R40" s="27">
        <f t="shared" si="131"/>
        <v>0</v>
      </c>
      <c r="S40" s="27">
        <f t="shared" si="131"/>
        <v>231</v>
      </c>
      <c r="T40" s="104">
        <f t="shared" si="131"/>
        <v>164</v>
      </c>
      <c r="W40" s="281"/>
      <c r="AE40" s="240" t="s">
        <v>26</v>
      </c>
      <c r="AF40" s="44">
        <f t="shared" ref="AF40:AJ40" si="132">sum(AF37:AF39)</f>
        <v>0</v>
      </c>
      <c r="AG40" s="44">
        <f t="shared" si="132"/>
        <v>0</v>
      </c>
      <c r="AH40" s="44">
        <f t="shared" si="132"/>
        <v>2</v>
      </c>
      <c r="AI40" s="44">
        <f t="shared" si="132"/>
        <v>2</v>
      </c>
      <c r="AJ40" s="44">
        <f t="shared" si="132"/>
        <v>0</v>
      </c>
      <c r="AL40" s="240" t="s">
        <v>26</v>
      </c>
      <c r="AM40" s="44">
        <f t="shared" ref="AM40:AP40" si="133">sum(AM37:AM39)</f>
        <v>3</v>
      </c>
      <c r="AN40" s="44">
        <f t="shared" si="133"/>
        <v>4</v>
      </c>
      <c r="AO40" s="44">
        <f t="shared" si="133"/>
        <v>8</v>
      </c>
      <c r="AP40" s="44">
        <f t="shared" si="133"/>
        <v>15</v>
      </c>
    </row>
    <row r="41">
      <c r="A41" s="103"/>
      <c r="B41" s="19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99" t="str">
        <f t="shared" si="88"/>
        <v/>
      </c>
      <c r="Q41" s="32"/>
      <c r="R41" s="32"/>
      <c r="S41" s="32"/>
      <c r="T41" s="107"/>
      <c r="AE41" s="260"/>
      <c r="AL41" s="260"/>
    </row>
    <row r="42">
      <c r="A42" s="13"/>
      <c r="B42" s="136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07"/>
      <c r="AE42" s="136"/>
      <c r="AL42" s="136"/>
    </row>
    <row r="43">
      <c r="A43" s="108" t="s">
        <v>8</v>
      </c>
      <c r="B43" s="205"/>
      <c r="C43" s="35">
        <f t="shared" ref="C43:N43" si="134">C40+C36+C31</f>
        <v>186</v>
      </c>
      <c r="D43" s="35">
        <f t="shared" si="134"/>
        <v>0</v>
      </c>
      <c r="E43" s="35">
        <f t="shared" si="134"/>
        <v>186</v>
      </c>
      <c r="F43" s="35">
        <f t="shared" si="134"/>
        <v>214</v>
      </c>
      <c r="G43" s="35">
        <f t="shared" si="134"/>
        <v>213</v>
      </c>
      <c r="H43" s="35">
        <f t="shared" si="134"/>
        <v>0</v>
      </c>
      <c r="I43" s="35">
        <f t="shared" si="134"/>
        <v>213</v>
      </c>
      <c r="J43" s="35">
        <f t="shared" si="134"/>
        <v>129</v>
      </c>
      <c r="K43" s="35">
        <f t="shared" si="134"/>
        <v>481</v>
      </c>
      <c r="L43" s="35">
        <f t="shared" si="134"/>
        <v>0</v>
      </c>
      <c r="M43" s="35">
        <f t="shared" si="134"/>
        <v>481</v>
      </c>
      <c r="N43" s="35">
        <f t="shared" si="134"/>
        <v>470</v>
      </c>
      <c r="O43" s="109"/>
      <c r="P43" s="109"/>
      <c r="Q43" s="35">
        <f t="shared" ref="Q43:T43" si="135">Q40+Q36+Q31</f>
        <v>880</v>
      </c>
      <c r="R43" s="35">
        <f t="shared" si="135"/>
        <v>0</v>
      </c>
      <c r="S43" s="35">
        <f t="shared" si="135"/>
        <v>880</v>
      </c>
      <c r="T43" s="37">
        <f t="shared" si="135"/>
        <v>813</v>
      </c>
      <c r="AE43" s="240" t="s">
        <v>8</v>
      </c>
      <c r="AF43" s="20">
        <f t="shared" ref="AF43:AJ43" si="136">AF40+AF36+AF31</f>
        <v>5</v>
      </c>
      <c r="AG43" s="20">
        <f t="shared" si="136"/>
        <v>2</v>
      </c>
      <c r="AH43" s="20">
        <f t="shared" si="136"/>
        <v>7</v>
      </c>
      <c r="AI43" s="20">
        <f t="shared" si="136"/>
        <v>14</v>
      </c>
      <c r="AJ43" s="20">
        <f t="shared" si="136"/>
        <v>2</v>
      </c>
      <c r="AL43" s="240" t="s">
        <v>8</v>
      </c>
      <c r="AM43" s="20">
        <f t="shared" ref="AM43:AP43" si="137">AM40+AM36+AM31</f>
        <v>33</v>
      </c>
      <c r="AN43" s="20">
        <f t="shared" si="137"/>
        <v>24</v>
      </c>
      <c r="AO43" s="20">
        <f t="shared" si="137"/>
        <v>47</v>
      </c>
      <c r="AP43" s="20">
        <f t="shared" si="137"/>
        <v>104</v>
      </c>
    </row>
    <row r="44">
      <c r="AF44" s="12" t="s">
        <v>168</v>
      </c>
      <c r="AI44" s="239">
        <f>AI43+AB22+AC22</f>
        <v>61</v>
      </c>
      <c r="AM44" s="12" t="s">
        <v>169</v>
      </c>
      <c r="AP44" s="8">
        <f>AP43</f>
        <v>104</v>
      </c>
    </row>
    <row r="45">
      <c r="A45" s="12" t="s">
        <v>170</v>
      </c>
      <c r="C45" s="21">
        <f>C43+C22+D22</f>
        <v>562</v>
      </c>
      <c r="G45" s="21">
        <f>G43+G22+H22</f>
        <v>381</v>
      </c>
      <c r="K45" s="21">
        <f>K43+K22+L22</f>
        <v>1254</v>
      </c>
    </row>
    <row r="46">
      <c r="A46" s="283" t="s">
        <v>171</v>
      </c>
      <c r="C46" s="12">
        <v>562.0</v>
      </c>
      <c r="G46" s="12">
        <v>381.0</v>
      </c>
      <c r="AE46" s="8" t="s">
        <v>164</v>
      </c>
      <c r="AF46" s="8" t="s">
        <v>104</v>
      </c>
      <c r="AG46" s="8" t="s">
        <v>172</v>
      </c>
      <c r="AH46" s="8" t="s">
        <v>60</v>
      </c>
      <c r="AI46" s="8" t="s">
        <v>8</v>
      </c>
      <c r="AL46" s="8" t="s">
        <v>167</v>
      </c>
      <c r="AM46" s="8" t="s">
        <v>104</v>
      </c>
      <c r="AN46" s="8" t="s">
        <v>172</v>
      </c>
      <c r="AO46" s="8" t="s">
        <v>60</v>
      </c>
      <c r="AP46" s="8" t="s">
        <v>8</v>
      </c>
    </row>
    <row r="47">
      <c r="AE47" s="149" t="s">
        <v>13</v>
      </c>
      <c r="AF47" s="12">
        <v>5.0</v>
      </c>
      <c r="AG47" s="12">
        <v>1.0</v>
      </c>
      <c r="AI47" s="20">
        <f t="shared" ref="AI47:AI50" si="138">sum(AF47:AH47)</f>
        <v>6</v>
      </c>
      <c r="AL47" s="149" t="s">
        <v>13</v>
      </c>
      <c r="AM47" s="12">
        <v>21.0</v>
      </c>
      <c r="AN47" s="12">
        <v>4.0</v>
      </c>
      <c r="AP47" s="20">
        <f t="shared" ref="AP47:AP50" si="139">sum(AM47:AO47)</f>
        <v>25</v>
      </c>
    </row>
    <row r="48">
      <c r="A48" s="12" t="s">
        <v>173</v>
      </c>
      <c r="C48" s="239">
        <f>C45-C46</f>
        <v>0</v>
      </c>
      <c r="G48" s="239">
        <f>G45-G46</f>
        <v>0</v>
      </c>
      <c r="AE48" s="149" t="s">
        <v>14</v>
      </c>
      <c r="AF48" s="12">
        <v>3.0</v>
      </c>
      <c r="AI48" s="20">
        <f t="shared" si="138"/>
        <v>3</v>
      </c>
      <c r="AL48" s="149" t="s">
        <v>14</v>
      </c>
      <c r="AM48" s="12">
        <v>30.0</v>
      </c>
      <c r="AN48" s="12">
        <v>5.0</v>
      </c>
      <c r="AP48" s="20">
        <f t="shared" si="139"/>
        <v>35</v>
      </c>
    </row>
    <row r="49">
      <c r="AE49" s="149" t="s">
        <v>15</v>
      </c>
      <c r="AF49" s="12">
        <v>8.0</v>
      </c>
      <c r="AI49" s="20">
        <f t="shared" si="138"/>
        <v>8</v>
      </c>
      <c r="AL49" s="149" t="s">
        <v>15</v>
      </c>
      <c r="AM49" s="12">
        <v>18.0</v>
      </c>
      <c r="AN49" s="12">
        <v>4.0</v>
      </c>
      <c r="AP49" s="20">
        <f t="shared" si="139"/>
        <v>22</v>
      </c>
    </row>
    <row r="50">
      <c r="AE50" s="149" t="s">
        <v>16</v>
      </c>
      <c r="AF50" s="12">
        <v>1.0</v>
      </c>
      <c r="AG50" s="12">
        <v>1.0</v>
      </c>
      <c r="AI50" s="20">
        <f t="shared" si="138"/>
        <v>2</v>
      </c>
      <c r="AL50" s="149" t="s">
        <v>16</v>
      </c>
      <c r="AM50" s="12">
        <v>19.0</v>
      </c>
      <c r="AN50" s="12">
        <v>7.0</v>
      </c>
      <c r="AP50" s="20">
        <f t="shared" si="139"/>
        <v>26</v>
      </c>
    </row>
    <row r="51">
      <c r="AE51" s="240" t="s">
        <v>17</v>
      </c>
      <c r="AF51" s="44">
        <f t="shared" ref="AF51:AI51" si="140">sum(AF47:AF50)</f>
        <v>17</v>
      </c>
      <c r="AG51" s="44">
        <f t="shared" si="140"/>
        <v>2</v>
      </c>
      <c r="AH51" s="44">
        <f t="shared" si="140"/>
        <v>0</v>
      </c>
      <c r="AI51" s="44">
        <f t="shared" si="140"/>
        <v>19</v>
      </c>
      <c r="AL51" s="240" t="s">
        <v>17</v>
      </c>
      <c r="AM51" s="44">
        <f t="shared" ref="AM51:AP51" si="141">sum(AM47:AM50)</f>
        <v>88</v>
      </c>
      <c r="AN51" s="44">
        <f t="shared" si="141"/>
        <v>20</v>
      </c>
      <c r="AO51" s="44">
        <f t="shared" si="141"/>
        <v>0</v>
      </c>
      <c r="AP51" s="44">
        <f t="shared" si="141"/>
        <v>108</v>
      </c>
    </row>
    <row r="52">
      <c r="AE52" s="149" t="s">
        <v>18</v>
      </c>
      <c r="AF52" s="12">
        <v>6.0</v>
      </c>
      <c r="AI52" s="20">
        <f t="shared" ref="AI52:AI55" si="142">sum(AF52:AH52)</f>
        <v>6</v>
      </c>
      <c r="AL52" s="149" t="s">
        <v>18</v>
      </c>
      <c r="AM52" s="12">
        <v>15.0</v>
      </c>
      <c r="AN52" s="12">
        <v>2.0</v>
      </c>
      <c r="AP52" s="20">
        <f t="shared" ref="AP52:AP55" si="143">sum(AM52:AO52)</f>
        <v>17</v>
      </c>
    </row>
    <row r="53">
      <c r="AE53" s="149" t="s">
        <v>19</v>
      </c>
      <c r="AF53" s="12">
        <v>2.0</v>
      </c>
      <c r="AI53" s="20">
        <f t="shared" si="142"/>
        <v>2</v>
      </c>
      <c r="AL53" s="149" t="s">
        <v>19</v>
      </c>
      <c r="AM53" s="12">
        <v>12.0</v>
      </c>
      <c r="AN53" s="12">
        <v>6.0</v>
      </c>
      <c r="AP53" s="20">
        <f t="shared" si="143"/>
        <v>18</v>
      </c>
    </row>
    <row r="54">
      <c r="AE54" s="149" t="s">
        <v>20</v>
      </c>
      <c r="AF54" s="12">
        <v>2.0</v>
      </c>
      <c r="AG54" s="12">
        <v>1.0</v>
      </c>
      <c r="AI54" s="20">
        <f t="shared" si="142"/>
        <v>3</v>
      </c>
      <c r="AL54" s="149" t="s">
        <v>20</v>
      </c>
      <c r="AM54" s="12">
        <v>16.0</v>
      </c>
      <c r="AN54" s="12">
        <v>4.0</v>
      </c>
      <c r="AP54" s="20">
        <f t="shared" si="143"/>
        <v>20</v>
      </c>
    </row>
    <row r="55">
      <c r="AE55" s="149" t="s">
        <v>21</v>
      </c>
      <c r="AF55" s="12">
        <v>7.0</v>
      </c>
      <c r="AG55" s="12">
        <v>1.0</v>
      </c>
      <c r="AI55" s="20">
        <f t="shared" si="142"/>
        <v>8</v>
      </c>
      <c r="AL55" s="149" t="s">
        <v>21</v>
      </c>
      <c r="AM55" s="12">
        <v>30.0</v>
      </c>
      <c r="AN55" s="12">
        <v>5.0</v>
      </c>
      <c r="AP55" s="20">
        <f t="shared" si="143"/>
        <v>35</v>
      </c>
    </row>
    <row r="56">
      <c r="AE56" s="240" t="s">
        <v>22</v>
      </c>
      <c r="AF56" s="44">
        <f t="shared" ref="AF56:AI56" si="144">sum(AF52:AF55)</f>
        <v>17</v>
      </c>
      <c r="AG56" s="44">
        <f t="shared" si="144"/>
        <v>2</v>
      </c>
      <c r="AH56" s="44">
        <f t="shared" si="144"/>
        <v>0</v>
      </c>
      <c r="AI56" s="44">
        <f t="shared" si="144"/>
        <v>19</v>
      </c>
      <c r="AL56" s="240" t="s">
        <v>22</v>
      </c>
      <c r="AM56" s="44">
        <f t="shared" ref="AM56:AP56" si="145">sum(AM52:AM55)</f>
        <v>73</v>
      </c>
      <c r="AN56" s="44">
        <f t="shared" si="145"/>
        <v>17</v>
      </c>
      <c r="AO56" s="44">
        <f t="shared" si="145"/>
        <v>0</v>
      </c>
      <c r="AP56" s="44">
        <f t="shared" si="145"/>
        <v>90</v>
      </c>
    </row>
    <row r="57">
      <c r="AE57" s="149" t="s">
        <v>23</v>
      </c>
      <c r="AF57" s="12">
        <v>3.0</v>
      </c>
      <c r="AI57" s="20">
        <f t="shared" ref="AI57:AI59" si="146">sum(AF57:AH57)</f>
        <v>3</v>
      </c>
      <c r="AL57" s="149" t="s">
        <v>23</v>
      </c>
      <c r="AM57" s="12">
        <v>20.0</v>
      </c>
      <c r="AN57" s="12">
        <v>9.0</v>
      </c>
      <c r="AP57" s="20">
        <f t="shared" ref="AP57:AP59" si="147">sum(AM57:AO57)</f>
        <v>29</v>
      </c>
    </row>
    <row r="58">
      <c r="AE58" s="149" t="s">
        <v>24</v>
      </c>
      <c r="AF58" s="12">
        <v>4.0</v>
      </c>
      <c r="AI58" s="20">
        <f t="shared" si="146"/>
        <v>4</v>
      </c>
      <c r="AL58" s="149" t="s">
        <v>24</v>
      </c>
      <c r="AM58" s="12">
        <v>21.0</v>
      </c>
      <c r="AN58" s="12">
        <v>3.0</v>
      </c>
      <c r="AP58" s="20">
        <f t="shared" si="147"/>
        <v>24</v>
      </c>
    </row>
    <row r="59">
      <c r="AE59" s="149" t="s">
        <v>25</v>
      </c>
      <c r="AF59" s="12">
        <v>1.0</v>
      </c>
      <c r="AG59" s="12">
        <v>1.0</v>
      </c>
      <c r="AI59" s="20">
        <f t="shared" si="146"/>
        <v>2</v>
      </c>
      <c r="AL59" s="149" t="s">
        <v>25</v>
      </c>
      <c r="AM59" s="12">
        <v>5.0</v>
      </c>
      <c r="AN59" s="12">
        <v>1.0</v>
      </c>
      <c r="AP59" s="20">
        <f t="shared" si="147"/>
        <v>6</v>
      </c>
    </row>
    <row r="60">
      <c r="AE60" s="240" t="s">
        <v>26</v>
      </c>
      <c r="AF60" s="44">
        <f t="shared" ref="AF60:AI60" si="148">sum(AF57:AF59)</f>
        <v>8</v>
      </c>
      <c r="AG60" s="44">
        <f t="shared" si="148"/>
        <v>1</v>
      </c>
      <c r="AH60" s="44">
        <f t="shared" si="148"/>
        <v>0</v>
      </c>
      <c r="AI60" s="44">
        <f t="shared" si="148"/>
        <v>9</v>
      </c>
      <c r="AL60" s="240" t="s">
        <v>26</v>
      </c>
      <c r="AM60" s="44">
        <f t="shared" ref="AM60:AP60" si="149">sum(AM57:AM59)</f>
        <v>46</v>
      </c>
      <c r="AN60" s="44">
        <f t="shared" si="149"/>
        <v>13</v>
      </c>
      <c r="AO60" s="44">
        <f t="shared" si="149"/>
        <v>0</v>
      </c>
      <c r="AP60" s="44">
        <f t="shared" si="149"/>
        <v>59</v>
      </c>
    </row>
    <row r="61">
      <c r="AE61" s="260"/>
      <c r="AL61" s="260"/>
    </row>
    <row r="62">
      <c r="AE62" s="136"/>
      <c r="AL62" s="136"/>
    </row>
    <row r="63">
      <c r="AE63" s="240" t="s">
        <v>8</v>
      </c>
      <c r="AF63" s="20">
        <f t="shared" ref="AF63:AI63" si="150">AF60+AF56+AF51</f>
        <v>42</v>
      </c>
      <c r="AG63" s="20">
        <f t="shared" si="150"/>
        <v>5</v>
      </c>
      <c r="AH63" s="20">
        <f t="shared" si="150"/>
        <v>0</v>
      </c>
      <c r="AI63" s="20">
        <f t="shared" si="150"/>
        <v>47</v>
      </c>
      <c r="AL63" s="240" t="s">
        <v>8</v>
      </c>
      <c r="AM63" s="20">
        <f t="shared" ref="AM63:AP63" si="151">AM60+AM56+AM51</f>
        <v>207</v>
      </c>
      <c r="AN63" s="20">
        <f t="shared" si="151"/>
        <v>50</v>
      </c>
      <c r="AO63" s="20">
        <f t="shared" si="151"/>
        <v>0</v>
      </c>
      <c r="AP63" s="20">
        <f t="shared" si="151"/>
        <v>257</v>
      </c>
    </row>
    <row r="65">
      <c r="AI65" s="44">
        <f>AI63+AI43</f>
        <v>61</v>
      </c>
    </row>
  </sheetData>
  <mergeCells count="15">
    <mergeCell ref="AF4:AH4"/>
    <mergeCell ref="AI4:AK4"/>
    <mergeCell ref="A24:T24"/>
    <mergeCell ref="C25:F25"/>
    <mergeCell ref="G25:J25"/>
    <mergeCell ref="K25:N25"/>
    <mergeCell ref="Q25:T25"/>
    <mergeCell ref="A3:T3"/>
    <mergeCell ref="AA3:AP3"/>
    <mergeCell ref="C4:F4"/>
    <mergeCell ref="G4:J4"/>
    <mergeCell ref="K4:N4"/>
    <mergeCell ref="Q4:T4"/>
    <mergeCell ref="AC4:AE4"/>
    <mergeCell ref="AN4:AP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13"/>
    <col customWidth="1" min="3" max="3" width="9.0"/>
    <col customWidth="1" min="4" max="4" width="8.88"/>
    <col customWidth="1" min="5" max="6" width="7.13"/>
    <col customWidth="1" min="7" max="7" width="9.5"/>
    <col customWidth="1" min="8" max="8" width="10.38"/>
    <col customWidth="1" min="9" max="10" width="7.13"/>
    <col customWidth="1" min="11" max="11" width="9.38"/>
    <col customWidth="1" min="12" max="12" width="9.75"/>
    <col customWidth="1" min="13" max="16" width="7.13"/>
    <col customWidth="1" min="17" max="17" width="10.13"/>
    <col customWidth="1" min="18" max="18" width="9.0"/>
    <col customWidth="1" min="19" max="21" width="7.13"/>
    <col customWidth="1" min="26" max="41" width="8.75"/>
  </cols>
  <sheetData>
    <row r="1">
      <c r="A1" s="12" t="s">
        <v>68</v>
      </c>
    </row>
    <row r="3">
      <c r="A3" s="187" t="s">
        <v>28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8"/>
      <c r="U3" s="226"/>
      <c r="V3" s="110"/>
      <c r="W3" s="110" t="s">
        <v>29</v>
      </c>
      <c r="X3" s="111" t="s">
        <v>30</v>
      </c>
      <c r="Y3" s="187" t="s">
        <v>121</v>
      </c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8"/>
      <c r="AO3" s="226"/>
      <c r="AP3" s="110" t="s">
        <v>29</v>
      </c>
      <c r="AQ3" s="111" t="s">
        <v>30</v>
      </c>
    </row>
    <row r="4">
      <c r="A4" s="13"/>
      <c r="B4" s="190"/>
      <c r="C4" s="89" t="s">
        <v>174</v>
      </c>
      <c r="D4" s="90"/>
      <c r="E4" s="90"/>
      <c r="F4" s="90"/>
      <c r="G4" s="91" t="s">
        <v>175</v>
      </c>
      <c r="H4" s="90"/>
      <c r="I4" s="90"/>
      <c r="J4" s="90"/>
      <c r="K4" s="91" t="s">
        <v>176</v>
      </c>
      <c r="L4" s="90"/>
      <c r="M4" s="90"/>
      <c r="N4" s="90"/>
      <c r="O4" s="136"/>
      <c r="P4" s="178"/>
      <c r="Q4" s="91" t="s">
        <v>8</v>
      </c>
      <c r="R4" s="90"/>
      <c r="S4" s="90"/>
      <c r="T4" s="92"/>
      <c r="U4" s="138"/>
      <c r="X4" s="136"/>
      <c r="Y4" s="13"/>
      <c r="Z4" s="190"/>
      <c r="AA4" s="89" t="s">
        <v>172</v>
      </c>
      <c r="AB4" s="90"/>
      <c r="AC4" s="90"/>
      <c r="AD4" s="91" t="s">
        <v>60</v>
      </c>
      <c r="AE4" s="90"/>
      <c r="AF4" s="90"/>
      <c r="AG4" s="91" t="s">
        <v>126</v>
      </c>
      <c r="AH4" s="90"/>
      <c r="AI4" s="90"/>
      <c r="AJ4" s="136"/>
      <c r="AK4" s="178"/>
      <c r="AL4" s="91" t="s">
        <v>8</v>
      </c>
      <c r="AM4" s="90"/>
      <c r="AN4" s="92"/>
      <c r="AO4" s="138"/>
    </row>
    <row r="5">
      <c r="A5" s="15"/>
      <c r="B5" s="179" t="s">
        <v>7</v>
      </c>
      <c r="C5" s="179" t="s">
        <v>34</v>
      </c>
      <c r="D5" s="179" t="s">
        <v>36</v>
      </c>
      <c r="E5" s="179" t="s">
        <v>37</v>
      </c>
      <c r="F5" s="179" t="s">
        <v>38</v>
      </c>
      <c r="G5" s="179" t="s">
        <v>34</v>
      </c>
      <c r="H5" s="179" t="s">
        <v>36</v>
      </c>
      <c r="I5" s="179" t="s">
        <v>37</v>
      </c>
      <c r="J5" s="179" t="s">
        <v>38</v>
      </c>
      <c r="K5" s="179" t="s">
        <v>34</v>
      </c>
      <c r="L5" s="179" t="s">
        <v>36</v>
      </c>
      <c r="M5" s="179" t="s">
        <v>37</v>
      </c>
      <c r="N5" s="179" t="s">
        <v>38</v>
      </c>
      <c r="O5" s="204"/>
      <c r="P5" s="179" t="s">
        <v>7</v>
      </c>
      <c r="Q5" s="179" t="s">
        <v>34</v>
      </c>
      <c r="R5" s="179" t="s">
        <v>36</v>
      </c>
      <c r="S5" s="179" t="s">
        <v>37</v>
      </c>
      <c r="T5" s="181" t="s">
        <v>38</v>
      </c>
      <c r="U5" s="228" t="s">
        <v>39</v>
      </c>
      <c r="X5" s="260"/>
      <c r="Y5" s="15"/>
      <c r="Z5" s="179" t="s">
        <v>7</v>
      </c>
      <c r="AA5" s="179" t="s">
        <v>131</v>
      </c>
      <c r="AB5" s="179" t="s">
        <v>37</v>
      </c>
      <c r="AC5" s="179" t="s">
        <v>38</v>
      </c>
      <c r="AD5" s="179" t="s">
        <v>131</v>
      </c>
      <c r="AE5" s="179" t="s">
        <v>37</v>
      </c>
      <c r="AF5" s="179" t="s">
        <v>38</v>
      </c>
      <c r="AG5" s="179" t="s">
        <v>131</v>
      </c>
      <c r="AH5" s="179" t="s">
        <v>37</v>
      </c>
      <c r="AI5" s="179" t="s">
        <v>38</v>
      </c>
      <c r="AJ5" s="204"/>
      <c r="AK5" s="179" t="s">
        <v>7</v>
      </c>
      <c r="AL5" s="179" t="s">
        <v>131</v>
      </c>
      <c r="AM5" s="179" t="s">
        <v>37</v>
      </c>
      <c r="AN5" s="181" t="s">
        <v>38</v>
      </c>
      <c r="AO5" s="228" t="s">
        <v>39</v>
      </c>
      <c r="AQ5" s="260"/>
    </row>
    <row r="6">
      <c r="A6" s="95" t="s">
        <v>13</v>
      </c>
      <c r="B6" s="284">
        <v>69.0</v>
      </c>
      <c r="C6" s="285">
        <v>33.0</v>
      </c>
      <c r="D6" s="285">
        <v>1.0</v>
      </c>
      <c r="E6" s="286">
        <f t="shared" ref="E6:E9" si="2">SUM(C6:D6)</f>
        <v>34</v>
      </c>
      <c r="F6" s="287">
        <f>Targets!B59</f>
        <v>36</v>
      </c>
      <c r="G6" s="288">
        <f>'Regs Q2'!D26</f>
        <v>50</v>
      </c>
      <c r="H6" s="285">
        <f>'Regs Q2'!E26</f>
        <v>2</v>
      </c>
      <c r="I6" s="286">
        <f t="shared" ref="I6:I9" si="3">SUM(G6:H6)</f>
        <v>52</v>
      </c>
      <c r="J6" s="287">
        <f>Targets!C59</f>
        <v>42</v>
      </c>
      <c r="K6" s="288">
        <f>'Regs Q2'!D3</f>
        <v>69</v>
      </c>
      <c r="L6" s="285">
        <f>'Regs Q2'!E3</f>
        <v>2</v>
      </c>
      <c r="M6" s="286">
        <f t="shared" ref="M6:M9" si="4">SUM(K6:L6)</f>
        <v>71</v>
      </c>
      <c r="N6" s="287">
        <f>Targets!D59</f>
        <v>68</v>
      </c>
      <c r="O6" s="149"/>
      <c r="P6" s="289">
        <f t="shared" ref="P6:P9" si="5">B6</f>
        <v>69</v>
      </c>
      <c r="Q6" s="149">
        <f t="shared" ref="Q6:R6" si="1">K6+G6+C6</f>
        <v>152</v>
      </c>
      <c r="R6" s="149">
        <f t="shared" si="1"/>
        <v>5</v>
      </c>
      <c r="S6" s="286">
        <f t="shared" ref="S6:S9" si="7">sum(P6:R6)</f>
        <v>226</v>
      </c>
      <c r="T6" s="290">
        <f t="shared" ref="T6:T9" si="8">N6+J6+F6</f>
        <v>146</v>
      </c>
      <c r="U6" s="291">
        <f t="shared" ref="U6:U9" si="9">T6-S6</f>
        <v>-80</v>
      </c>
      <c r="V6" s="292">
        <f t="shared" ref="V6:V9" si="10">(Q6+R6)/T6</f>
        <v>1.075342466</v>
      </c>
      <c r="W6" s="43">
        <v>45298.0</v>
      </c>
      <c r="X6" s="149" t="s">
        <v>177</v>
      </c>
      <c r="Y6" s="95" t="s">
        <v>13</v>
      </c>
      <c r="Z6" s="293">
        <f>Targets!AC30</f>
        <v>5</v>
      </c>
      <c r="AA6" s="294">
        <f>'Regs Q2'!P26</f>
        <v>1</v>
      </c>
      <c r="AB6" s="295">
        <f t="shared" ref="AB6:AB9" si="11">SUM(AA6)</f>
        <v>1</v>
      </c>
      <c r="AC6" s="296">
        <f>Targets!T43+Targets!U43</f>
        <v>8</v>
      </c>
      <c r="AD6" s="288">
        <v>0.0</v>
      </c>
      <c r="AE6" s="286">
        <f t="shared" ref="AE6:AE9" si="12">SUM(AD6)</f>
        <v>0</v>
      </c>
      <c r="AF6" s="296">
        <f>Targets!V43</f>
        <v>1</v>
      </c>
      <c r="AG6" s="288">
        <v>0.0</v>
      </c>
      <c r="AH6" s="286">
        <f t="shared" ref="AH6:AH9" si="13">SUM(AG6)</f>
        <v>0</v>
      </c>
      <c r="AI6" s="296" t="str">
        <f>Targets!W43</f>
        <v/>
      </c>
      <c r="AJ6" s="136"/>
      <c r="AK6" s="297">
        <f t="shared" ref="AK6:AK9" si="14">Z6</f>
        <v>5</v>
      </c>
      <c r="AL6" s="298">
        <f t="shared" ref="AL6:AL9" si="15">AG6+AD6+AA6</f>
        <v>1</v>
      </c>
      <c r="AM6" s="295">
        <f t="shared" ref="AM6:AM9" si="16">AL6+AK6</f>
        <v>6</v>
      </c>
      <c r="AN6" s="299">
        <f t="shared" ref="AN6:AN9" si="17">AI6+AF6+AC6</f>
        <v>9</v>
      </c>
      <c r="AO6" s="291">
        <f t="shared" ref="AO6:AO9" si="18">AN6-AM6</f>
        <v>3</v>
      </c>
      <c r="AP6" s="43">
        <v>45298.0</v>
      </c>
      <c r="AQ6" s="149" t="s">
        <v>177</v>
      </c>
    </row>
    <row r="7">
      <c r="A7" s="95" t="s">
        <v>14</v>
      </c>
      <c r="B7" s="284">
        <v>-6.0</v>
      </c>
      <c r="C7" s="285">
        <v>45.0</v>
      </c>
      <c r="D7" s="285">
        <v>1.0</v>
      </c>
      <c r="E7" s="286">
        <f t="shared" si="2"/>
        <v>46</v>
      </c>
      <c r="F7" s="287">
        <f>Targets!B56</f>
        <v>32</v>
      </c>
      <c r="G7" s="288">
        <f>'Regs Q2'!D27</f>
        <v>30</v>
      </c>
      <c r="H7" s="285">
        <f>'Regs Q2'!E27</f>
        <v>1</v>
      </c>
      <c r="I7" s="286">
        <f t="shared" si="3"/>
        <v>31</v>
      </c>
      <c r="J7" s="287">
        <f>Targets!C56</f>
        <v>37</v>
      </c>
      <c r="K7" s="288">
        <f>'Regs Q2'!D4</f>
        <v>37</v>
      </c>
      <c r="L7" s="285">
        <f>'Regs Q2'!E4</f>
        <v>1</v>
      </c>
      <c r="M7" s="286">
        <f t="shared" si="4"/>
        <v>38</v>
      </c>
      <c r="N7" s="287">
        <f>Targets!D56</f>
        <v>60</v>
      </c>
      <c r="O7" s="149"/>
      <c r="P7" s="289">
        <f t="shared" si="5"/>
        <v>-6</v>
      </c>
      <c r="Q7" s="149">
        <f t="shared" ref="Q7:R7" si="6">K7+G7+C7</f>
        <v>112</v>
      </c>
      <c r="R7" s="149">
        <f t="shared" si="6"/>
        <v>3</v>
      </c>
      <c r="S7" s="286">
        <f t="shared" si="7"/>
        <v>109</v>
      </c>
      <c r="T7" s="290">
        <f t="shared" si="8"/>
        <v>129</v>
      </c>
      <c r="U7" s="291">
        <f t="shared" si="9"/>
        <v>20</v>
      </c>
      <c r="V7" s="292">
        <f t="shared" si="10"/>
        <v>0.8914728682</v>
      </c>
      <c r="W7" s="43">
        <v>45298.0</v>
      </c>
      <c r="X7" s="149" t="s">
        <v>177</v>
      </c>
      <c r="Y7" s="95" t="s">
        <v>14</v>
      </c>
      <c r="Z7" s="293">
        <f>Targets!AC27</f>
        <v>3</v>
      </c>
      <c r="AA7" s="294">
        <f>'Regs Q2'!P27</f>
        <v>0</v>
      </c>
      <c r="AB7" s="295">
        <f t="shared" si="11"/>
        <v>0</v>
      </c>
      <c r="AC7" s="296">
        <f>Targets!T44+Targets!U44</f>
        <v>7</v>
      </c>
      <c r="AD7" s="288">
        <v>1.0</v>
      </c>
      <c r="AE7" s="286">
        <f t="shared" si="12"/>
        <v>1</v>
      </c>
      <c r="AF7" s="296">
        <f>Targets!V44</f>
        <v>1</v>
      </c>
      <c r="AG7" s="288">
        <v>0.0</v>
      </c>
      <c r="AH7" s="286">
        <f t="shared" si="13"/>
        <v>0</v>
      </c>
      <c r="AI7" s="296" t="str">
        <f>Targets!W44</f>
        <v/>
      </c>
      <c r="AJ7" s="136"/>
      <c r="AK7" s="297">
        <f t="shared" si="14"/>
        <v>3</v>
      </c>
      <c r="AL7" s="298">
        <f t="shared" si="15"/>
        <v>1</v>
      </c>
      <c r="AM7" s="295">
        <f t="shared" si="16"/>
        <v>4</v>
      </c>
      <c r="AN7" s="299">
        <f t="shared" si="17"/>
        <v>8</v>
      </c>
      <c r="AO7" s="291">
        <f t="shared" si="18"/>
        <v>4</v>
      </c>
      <c r="AP7" s="43">
        <v>45298.0</v>
      </c>
      <c r="AQ7" s="149" t="s">
        <v>177</v>
      </c>
    </row>
    <row r="8">
      <c r="A8" s="95" t="s">
        <v>15</v>
      </c>
      <c r="B8" s="284">
        <v>16.0</v>
      </c>
      <c r="C8" s="285">
        <v>34.0</v>
      </c>
      <c r="D8" s="285">
        <v>1.0</v>
      </c>
      <c r="E8" s="286">
        <f t="shared" si="2"/>
        <v>35</v>
      </c>
      <c r="F8" s="287">
        <f>Targets!B57</f>
        <v>21</v>
      </c>
      <c r="G8" s="288">
        <f>'Regs Q2'!D28</f>
        <v>15</v>
      </c>
      <c r="H8" s="285" t="str">
        <f>'Regs Q2'!E28</f>
        <v/>
      </c>
      <c r="I8" s="286">
        <f t="shared" si="3"/>
        <v>15</v>
      </c>
      <c r="J8" s="287">
        <f>Targets!C57</f>
        <v>28</v>
      </c>
      <c r="K8" s="288">
        <f>'Regs Q2'!D5</f>
        <v>42</v>
      </c>
      <c r="L8" s="285" t="str">
        <f>'Regs Q2'!E5</f>
        <v/>
      </c>
      <c r="M8" s="286">
        <f t="shared" si="4"/>
        <v>42</v>
      </c>
      <c r="N8" s="287">
        <f>Targets!D57</f>
        <v>42</v>
      </c>
      <c r="O8" s="149"/>
      <c r="P8" s="289">
        <f t="shared" si="5"/>
        <v>16</v>
      </c>
      <c r="Q8" s="149">
        <f t="shared" ref="Q8:R8" si="19">K8+G8+C8</f>
        <v>91</v>
      </c>
      <c r="R8" s="149">
        <f t="shared" si="19"/>
        <v>1</v>
      </c>
      <c r="S8" s="286">
        <f t="shared" si="7"/>
        <v>108</v>
      </c>
      <c r="T8" s="290">
        <f t="shared" si="8"/>
        <v>91</v>
      </c>
      <c r="U8" s="291">
        <f t="shared" si="9"/>
        <v>-17</v>
      </c>
      <c r="V8" s="292">
        <f t="shared" si="10"/>
        <v>1.010989011</v>
      </c>
      <c r="W8" s="43">
        <v>45298.0</v>
      </c>
      <c r="X8" s="149" t="s">
        <v>177</v>
      </c>
      <c r="Y8" s="95" t="s">
        <v>15</v>
      </c>
      <c r="Z8" s="293">
        <f>Targets!AC28</f>
        <v>8</v>
      </c>
      <c r="AA8" s="294">
        <f>'Regs Q2'!P28</f>
        <v>0</v>
      </c>
      <c r="AB8" s="295">
        <f t="shared" si="11"/>
        <v>0</v>
      </c>
      <c r="AC8" s="296">
        <f>Targets!T45+Targets!U45</f>
        <v>5</v>
      </c>
      <c r="AD8" s="288">
        <v>1.0</v>
      </c>
      <c r="AE8" s="286">
        <f t="shared" si="12"/>
        <v>1</v>
      </c>
      <c r="AF8" s="296">
        <f>Targets!V45</f>
        <v>1</v>
      </c>
      <c r="AG8" s="288">
        <v>0.0</v>
      </c>
      <c r="AH8" s="286">
        <f t="shared" si="13"/>
        <v>0</v>
      </c>
      <c r="AI8" s="296" t="str">
        <f>Targets!W45</f>
        <v/>
      </c>
      <c r="AJ8" s="136"/>
      <c r="AK8" s="297">
        <f t="shared" si="14"/>
        <v>8</v>
      </c>
      <c r="AL8" s="298">
        <f t="shared" si="15"/>
        <v>1</v>
      </c>
      <c r="AM8" s="295">
        <f t="shared" si="16"/>
        <v>9</v>
      </c>
      <c r="AN8" s="299">
        <f t="shared" si="17"/>
        <v>6</v>
      </c>
      <c r="AO8" s="291">
        <f t="shared" si="18"/>
        <v>-3</v>
      </c>
      <c r="AP8" s="43">
        <v>45298.0</v>
      </c>
      <c r="AQ8" s="149" t="s">
        <v>177</v>
      </c>
    </row>
    <row r="9">
      <c r="A9" s="95" t="s">
        <v>16</v>
      </c>
      <c r="B9" s="284">
        <v>30.0</v>
      </c>
      <c r="C9" s="285">
        <v>21.0</v>
      </c>
      <c r="D9" s="285"/>
      <c r="E9" s="286">
        <f t="shared" si="2"/>
        <v>21</v>
      </c>
      <c r="F9" s="287">
        <f>Targets!B58</f>
        <v>29</v>
      </c>
      <c r="G9" s="288">
        <f>'Regs Q2'!D29</f>
        <v>27</v>
      </c>
      <c r="H9" s="285">
        <f>'Regs Q2'!E29</f>
        <v>1</v>
      </c>
      <c r="I9" s="286">
        <f t="shared" si="3"/>
        <v>28</v>
      </c>
      <c r="J9" s="287">
        <f>Targets!C58</f>
        <v>34</v>
      </c>
      <c r="K9" s="288">
        <f>'Regs Q2'!D6</f>
        <v>65</v>
      </c>
      <c r="L9" s="285" t="str">
        <f>'Regs Q2'!E6</f>
        <v/>
      </c>
      <c r="M9" s="286">
        <f t="shared" si="4"/>
        <v>65</v>
      </c>
      <c r="N9" s="287">
        <f>Targets!D58</f>
        <v>56</v>
      </c>
      <c r="O9" s="149"/>
      <c r="P9" s="289">
        <f t="shared" si="5"/>
        <v>30</v>
      </c>
      <c r="Q9" s="149">
        <f t="shared" ref="Q9:R9" si="20">K9+G9+C9</f>
        <v>113</v>
      </c>
      <c r="R9" s="149">
        <f t="shared" si="20"/>
        <v>1</v>
      </c>
      <c r="S9" s="286">
        <f t="shared" si="7"/>
        <v>144</v>
      </c>
      <c r="T9" s="290">
        <f t="shared" si="8"/>
        <v>119</v>
      </c>
      <c r="U9" s="291">
        <f t="shared" si="9"/>
        <v>-25</v>
      </c>
      <c r="V9" s="292">
        <f t="shared" si="10"/>
        <v>0.9579831933</v>
      </c>
      <c r="W9" s="43">
        <v>45298.0</v>
      </c>
      <c r="X9" s="149" t="s">
        <v>177</v>
      </c>
      <c r="Y9" s="95" t="s">
        <v>16</v>
      </c>
      <c r="Z9" s="293">
        <f>Targets!AC29</f>
        <v>1</v>
      </c>
      <c r="AA9" s="294">
        <f>'Regs Q2'!P29</f>
        <v>1</v>
      </c>
      <c r="AB9" s="295">
        <f t="shared" si="11"/>
        <v>1</v>
      </c>
      <c r="AC9" s="296">
        <f>Targets!T46+Targets!U46</f>
        <v>6</v>
      </c>
      <c r="AD9" s="288">
        <v>0.0</v>
      </c>
      <c r="AE9" s="286">
        <f t="shared" si="12"/>
        <v>0</v>
      </c>
      <c r="AF9" s="296">
        <f>Targets!V46</f>
        <v>1</v>
      </c>
      <c r="AG9" s="288">
        <v>0.0</v>
      </c>
      <c r="AH9" s="286">
        <f t="shared" si="13"/>
        <v>0</v>
      </c>
      <c r="AI9" s="296" t="str">
        <f>Targets!W46</f>
        <v/>
      </c>
      <c r="AJ9" s="136"/>
      <c r="AK9" s="297">
        <f t="shared" si="14"/>
        <v>1</v>
      </c>
      <c r="AL9" s="298">
        <f t="shared" si="15"/>
        <v>1</v>
      </c>
      <c r="AM9" s="295">
        <f t="shared" si="16"/>
        <v>2</v>
      </c>
      <c r="AN9" s="299">
        <f t="shared" si="17"/>
        <v>7</v>
      </c>
      <c r="AO9" s="291">
        <f t="shared" si="18"/>
        <v>5</v>
      </c>
      <c r="AP9" s="43">
        <v>45298.0</v>
      </c>
      <c r="AQ9" s="149" t="s">
        <v>177</v>
      </c>
    </row>
    <row r="10">
      <c r="A10" s="103" t="s">
        <v>17</v>
      </c>
      <c r="B10" s="300">
        <f t="shared" ref="B10:N10" si="21">sum(B6:B9)</f>
        <v>109</v>
      </c>
      <c r="C10" s="300">
        <f t="shared" si="21"/>
        <v>133</v>
      </c>
      <c r="D10" s="300">
        <f t="shared" si="21"/>
        <v>3</v>
      </c>
      <c r="E10" s="300">
        <f t="shared" si="21"/>
        <v>136</v>
      </c>
      <c r="F10" s="301">
        <f t="shared" si="21"/>
        <v>118</v>
      </c>
      <c r="G10" s="300">
        <f t="shared" si="21"/>
        <v>122</v>
      </c>
      <c r="H10" s="300">
        <f t="shared" si="21"/>
        <v>4</v>
      </c>
      <c r="I10" s="300">
        <f t="shared" si="21"/>
        <v>126</v>
      </c>
      <c r="J10" s="301">
        <f t="shared" si="21"/>
        <v>141</v>
      </c>
      <c r="K10" s="300">
        <f t="shared" si="21"/>
        <v>213</v>
      </c>
      <c r="L10" s="300">
        <f t="shared" si="21"/>
        <v>3</v>
      </c>
      <c r="M10" s="300">
        <f t="shared" si="21"/>
        <v>216</v>
      </c>
      <c r="N10" s="301">
        <f t="shared" si="21"/>
        <v>226</v>
      </c>
      <c r="O10" s="136"/>
      <c r="P10" s="300">
        <f t="shared" ref="P10:U10" si="22">sum(P6:P9)</f>
        <v>109</v>
      </c>
      <c r="Q10" s="300">
        <f t="shared" si="22"/>
        <v>468</v>
      </c>
      <c r="R10" s="300">
        <f t="shared" si="22"/>
        <v>10</v>
      </c>
      <c r="S10" s="300">
        <f t="shared" si="22"/>
        <v>587</v>
      </c>
      <c r="T10" s="302">
        <f t="shared" si="22"/>
        <v>485</v>
      </c>
      <c r="U10" s="303">
        <f t="shared" si="22"/>
        <v>-102</v>
      </c>
      <c r="X10" s="149"/>
      <c r="Y10" s="103" t="s">
        <v>17</v>
      </c>
      <c r="Z10" s="301">
        <f t="shared" ref="Z10:AI10" si="23">sum(Z6:Z9)</f>
        <v>17</v>
      </c>
      <c r="AA10" s="301">
        <f t="shared" si="23"/>
        <v>2</v>
      </c>
      <c r="AB10" s="301">
        <f t="shared" si="23"/>
        <v>2</v>
      </c>
      <c r="AC10" s="300">
        <f t="shared" si="23"/>
        <v>26</v>
      </c>
      <c r="AD10" s="300">
        <f t="shared" si="23"/>
        <v>2</v>
      </c>
      <c r="AE10" s="300">
        <f t="shared" si="23"/>
        <v>2</v>
      </c>
      <c r="AF10" s="300">
        <f t="shared" si="23"/>
        <v>4</v>
      </c>
      <c r="AG10" s="300">
        <f t="shared" si="23"/>
        <v>0</v>
      </c>
      <c r="AH10" s="300">
        <f t="shared" si="23"/>
        <v>0</v>
      </c>
      <c r="AI10" s="300">
        <f t="shared" si="23"/>
        <v>0</v>
      </c>
      <c r="AJ10" s="136"/>
      <c r="AK10" s="301">
        <f t="shared" ref="AK10:AO10" si="24">sum(AK6:AK9)</f>
        <v>17</v>
      </c>
      <c r="AL10" s="301">
        <f t="shared" si="24"/>
        <v>4</v>
      </c>
      <c r="AM10" s="301">
        <f t="shared" si="24"/>
        <v>21</v>
      </c>
      <c r="AN10" s="304">
        <f t="shared" si="24"/>
        <v>30</v>
      </c>
      <c r="AO10" s="303">
        <f t="shared" si="24"/>
        <v>9</v>
      </c>
    </row>
    <row r="11">
      <c r="A11" s="95" t="s">
        <v>18</v>
      </c>
      <c r="B11" s="284">
        <v>27.0</v>
      </c>
      <c r="C11" s="149">
        <v>13.0</v>
      </c>
      <c r="D11" s="149"/>
      <c r="E11" s="286">
        <f t="shared" ref="E11:E14" si="26">SUM(C11:D11)</f>
        <v>13</v>
      </c>
      <c r="F11" s="287">
        <f>Targets!B62</f>
        <v>26</v>
      </c>
      <c r="G11" s="288">
        <f>'Regs Q2'!D31</f>
        <v>40</v>
      </c>
      <c r="H11" s="285">
        <f>'Regs Q2'!E31</f>
        <v>1</v>
      </c>
      <c r="I11" s="286">
        <f t="shared" ref="I11:I14" si="27">SUM(G11:H11)</f>
        <v>41</v>
      </c>
      <c r="J11" s="287">
        <f>Targets!C62</f>
        <v>30</v>
      </c>
      <c r="K11" s="288">
        <f>'Regs Q2'!D8</f>
        <v>53</v>
      </c>
      <c r="L11" s="285" t="str">
        <f>'Regs Q2'!E8</f>
        <v/>
      </c>
      <c r="M11" s="286">
        <f t="shared" ref="M11:M14" si="28">SUM(K11:L11)</f>
        <v>53</v>
      </c>
      <c r="N11" s="287">
        <f>Targets!D62</f>
        <v>47</v>
      </c>
      <c r="O11" s="136"/>
      <c r="P11" s="289">
        <f t="shared" ref="P11:P14" si="29">B11</f>
        <v>27</v>
      </c>
      <c r="Q11" s="149">
        <f t="shared" ref="Q11:R11" si="25">K11+G11+C11</f>
        <v>106</v>
      </c>
      <c r="R11" s="149">
        <f t="shared" si="25"/>
        <v>1</v>
      </c>
      <c r="S11" s="286">
        <f t="shared" ref="S11:S14" si="30">sum(P11:R11)</f>
        <v>134</v>
      </c>
      <c r="T11" s="290">
        <f t="shared" ref="T11:T14" si="31">N11+J11+F11</f>
        <v>103</v>
      </c>
      <c r="U11" s="291">
        <f t="shared" ref="U11:U14" si="32">T11-S11</f>
        <v>-31</v>
      </c>
      <c r="V11" s="292">
        <f t="shared" ref="V11:V14" si="33">(Q11+R11)/T11</f>
        <v>1.038834951</v>
      </c>
      <c r="W11" s="43">
        <v>45298.0</v>
      </c>
      <c r="X11" s="149" t="s">
        <v>177</v>
      </c>
      <c r="Y11" s="95" t="s">
        <v>18</v>
      </c>
      <c r="Z11" s="293">
        <f>Targets!AC33</f>
        <v>6</v>
      </c>
      <c r="AA11" s="294">
        <f>'Regs Q2'!P31</f>
        <v>0</v>
      </c>
      <c r="AB11" s="295">
        <f t="shared" ref="AB11:AB14" si="34">SUM(AA11)</f>
        <v>0</v>
      </c>
      <c r="AC11" s="296">
        <f>Targets!T48+Targets!U48</f>
        <v>7</v>
      </c>
      <c r="AD11" s="149"/>
      <c r="AE11" s="286">
        <f t="shared" ref="AE11:AE14" si="35">SUM(AD11)</f>
        <v>0</v>
      </c>
      <c r="AF11" s="296">
        <f>Targets!V48</f>
        <v>1</v>
      </c>
      <c r="AG11" s="149"/>
      <c r="AH11" s="286">
        <f t="shared" ref="AH11:AH14" si="36">SUM(AG11)</f>
        <v>0</v>
      </c>
      <c r="AI11" s="296" t="str">
        <f>Targets!W48</f>
        <v/>
      </c>
      <c r="AJ11" s="136"/>
      <c r="AK11" s="297">
        <f t="shared" ref="AK11:AK14" si="37">Z11</f>
        <v>6</v>
      </c>
      <c r="AL11" s="298">
        <f t="shared" ref="AL11:AL14" si="38">AG11+AD11+AA11</f>
        <v>0</v>
      </c>
      <c r="AM11" s="295">
        <f t="shared" ref="AM11:AM14" si="39">AL11+AK11</f>
        <v>6</v>
      </c>
      <c r="AN11" s="299">
        <f t="shared" ref="AN11:AN14" si="40">AI11+AF11+AC11</f>
        <v>8</v>
      </c>
      <c r="AO11" s="291">
        <f t="shared" ref="AO11:AO14" si="41">AN11-AM11</f>
        <v>2</v>
      </c>
      <c r="AP11" s="43">
        <v>45298.0</v>
      </c>
      <c r="AQ11" s="12" t="s">
        <v>177</v>
      </c>
    </row>
    <row r="12">
      <c r="A12" s="95" t="s">
        <v>19</v>
      </c>
      <c r="B12" s="284">
        <v>10.0</v>
      </c>
      <c r="C12" s="149">
        <v>29.0</v>
      </c>
      <c r="D12" s="149">
        <v>2.0</v>
      </c>
      <c r="E12" s="286">
        <f t="shared" si="26"/>
        <v>31</v>
      </c>
      <c r="F12" s="287">
        <f>Targets!B61</f>
        <v>26</v>
      </c>
      <c r="G12" s="288">
        <f>'Regs Q2'!D32</f>
        <v>27</v>
      </c>
      <c r="H12" s="285" t="str">
        <f>'Regs Q2'!E32</f>
        <v/>
      </c>
      <c r="I12" s="286">
        <f t="shared" si="27"/>
        <v>27</v>
      </c>
      <c r="J12" s="287">
        <f>Targets!C61</f>
        <v>29</v>
      </c>
      <c r="K12" s="288">
        <f>'Regs Q2'!D9</f>
        <v>54</v>
      </c>
      <c r="L12" s="285">
        <f>'Regs Q2'!E9</f>
        <v>1</v>
      </c>
      <c r="M12" s="286">
        <f t="shared" si="28"/>
        <v>55</v>
      </c>
      <c r="N12" s="287">
        <f>Targets!D61</f>
        <v>48</v>
      </c>
      <c r="O12" s="136"/>
      <c r="P12" s="289">
        <f t="shared" si="29"/>
        <v>10</v>
      </c>
      <c r="Q12" s="149">
        <f t="shared" ref="Q12:Q13" si="42">K12+G12+O20+C12</f>
        <v>110</v>
      </c>
      <c r="R12" s="149">
        <f t="shared" ref="R12:R13" si="43">L12+H12+D12</f>
        <v>3</v>
      </c>
      <c r="S12" s="286">
        <f t="shared" si="30"/>
        <v>123</v>
      </c>
      <c r="T12" s="290">
        <f t="shared" si="31"/>
        <v>103</v>
      </c>
      <c r="U12" s="291">
        <f t="shared" si="32"/>
        <v>-20</v>
      </c>
      <c r="V12" s="292">
        <f t="shared" si="33"/>
        <v>1.097087379</v>
      </c>
      <c r="W12" s="43">
        <v>45298.0</v>
      </c>
      <c r="X12" s="149" t="s">
        <v>177</v>
      </c>
      <c r="Y12" s="95" t="s">
        <v>19</v>
      </c>
      <c r="Z12" s="293">
        <f>Targets!AC32</f>
        <v>2</v>
      </c>
      <c r="AA12" s="294">
        <f>'Regs Q2'!P32</f>
        <v>0</v>
      </c>
      <c r="AB12" s="295">
        <f t="shared" si="34"/>
        <v>0</v>
      </c>
      <c r="AC12" s="296">
        <f>Targets!T49+Targets!U49</f>
        <v>7</v>
      </c>
      <c r="AD12" s="149"/>
      <c r="AE12" s="286">
        <f t="shared" si="35"/>
        <v>0</v>
      </c>
      <c r="AF12" s="296">
        <f>Targets!V49</f>
        <v>1</v>
      </c>
      <c r="AG12" s="149"/>
      <c r="AH12" s="286">
        <f t="shared" si="36"/>
        <v>0</v>
      </c>
      <c r="AI12" s="296" t="str">
        <f>Targets!W49</f>
        <v/>
      </c>
      <c r="AJ12" s="136"/>
      <c r="AK12" s="297">
        <f t="shared" si="37"/>
        <v>2</v>
      </c>
      <c r="AL12" s="298">
        <f t="shared" si="38"/>
        <v>0</v>
      </c>
      <c r="AM12" s="295">
        <f t="shared" si="39"/>
        <v>2</v>
      </c>
      <c r="AN12" s="299">
        <f t="shared" si="40"/>
        <v>8</v>
      </c>
      <c r="AO12" s="291">
        <f t="shared" si="41"/>
        <v>6</v>
      </c>
      <c r="AP12" s="43">
        <v>45298.0</v>
      </c>
      <c r="AQ12" s="12" t="s">
        <v>177</v>
      </c>
    </row>
    <row r="13">
      <c r="A13" s="95" t="s">
        <v>20</v>
      </c>
      <c r="B13" s="284">
        <v>12.0</v>
      </c>
      <c r="C13" s="149">
        <v>40.0</v>
      </c>
      <c r="D13" s="149"/>
      <c r="E13" s="286">
        <f t="shared" si="26"/>
        <v>40</v>
      </c>
      <c r="F13" s="287">
        <f>Targets!B60</f>
        <v>19</v>
      </c>
      <c r="G13" s="288">
        <f>'Regs Q2'!D33</f>
        <v>24</v>
      </c>
      <c r="H13" s="285">
        <f>'Regs Q2'!E33</f>
        <v>0</v>
      </c>
      <c r="I13" s="286">
        <f t="shared" si="27"/>
        <v>24</v>
      </c>
      <c r="J13" s="287">
        <f>Targets!C60</f>
        <v>24</v>
      </c>
      <c r="K13" s="288">
        <f>'Regs Q2'!D10</f>
        <v>49</v>
      </c>
      <c r="L13" s="285">
        <f>'Regs Q2'!E10</f>
        <v>1</v>
      </c>
      <c r="M13" s="286">
        <f t="shared" si="28"/>
        <v>50</v>
      </c>
      <c r="N13" s="287">
        <f>Targets!D60</f>
        <v>36</v>
      </c>
      <c r="O13" s="136"/>
      <c r="P13" s="289">
        <f t="shared" si="29"/>
        <v>12</v>
      </c>
      <c r="Q13" s="149">
        <f t="shared" si="42"/>
        <v>113</v>
      </c>
      <c r="R13" s="149">
        <f t="shared" si="43"/>
        <v>1</v>
      </c>
      <c r="S13" s="286">
        <f t="shared" si="30"/>
        <v>126</v>
      </c>
      <c r="T13" s="290">
        <f t="shared" si="31"/>
        <v>79</v>
      </c>
      <c r="U13" s="291">
        <f t="shared" si="32"/>
        <v>-47</v>
      </c>
      <c r="V13" s="292">
        <f t="shared" si="33"/>
        <v>1.443037975</v>
      </c>
      <c r="W13" s="43">
        <v>45298.0</v>
      </c>
      <c r="X13" s="149" t="s">
        <v>177</v>
      </c>
      <c r="Y13" s="95" t="s">
        <v>20</v>
      </c>
      <c r="Z13" s="293">
        <f>Targets!AC31</f>
        <v>2</v>
      </c>
      <c r="AA13" s="294">
        <f>'Regs Q2'!P33</f>
        <v>1</v>
      </c>
      <c r="AB13" s="295">
        <f t="shared" si="34"/>
        <v>1</v>
      </c>
      <c r="AC13" s="296">
        <f>Targets!T50+Targets!U50</f>
        <v>5</v>
      </c>
      <c r="AD13" s="149"/>
      <c r="AE13" s="286">
        <f t="shared" si="35"/>
        <v>0</v>
      </c>
      <c r="AF13" s="296">
        <f>Targets!V50</f>
        <v>1</v>
      </c>
      <c r="AG13" s="149"/>
      <c r="AH13" s="286">
        <f t="shared" si="36"/>
        <v>0</v>
      </c>
      <c r="AI13" s="296" t="str">
        <f>Targets!W50</f>
        <v/>
      </c>
      <c r="AJ13" s="136"/>
      <c r="AK13" s="297">
        <f t="shared" si="37"/>
        <v>2</v>
      </c>
      <c r="AL13" s="298">
        <f t="shared" si="38"/>
        <v>1</v>
      </c>
      <c r="AM13" s="295">
        <f t="shared" si="39"/>
        <v>3</v>
      </c>
      <c r="AN13" s="299">
        <f t="shared" si="40"/>
        <v>6</v>
      </c>
      <c r="AO13" s="291">
        <f t="shared" si="41"/>
        <v>3</v>
      </c>
      <c r="AP13" s="43">
        <v>45298.0</v>
      </c>
      <c r="AQ13" s="12" t="s">
        <v>177</v>
      </c>
    </row>
    <row r="14">
      <c r="A14" s="95" t="s">
        <v>21</v>
      </c>
      <c r="B14" s="284">
        <v>7.0</v>
      </c>
      <c r="C14" s="149">
        <v>45.0</v>
      </c>
      <c r="D14" s="149"/>
      <c r="E14" s="286">
        <f t="shared" si="26"/>
        <v>45</v>
      </c>
      <c r="F14" s="287">
        <f>Targets!B63</f>
        <v>36</v>
      </c>
      <c r="G14" s="288">
        <f>'Regs Q2'!D34</f>
        <v>43</v>
      </c>
      <c r="H14" s="285" t="str">
        <f>'Regs Q2'!E34</f>
        <v/>
      </c>
      <c r="I14" s="286">
        <f t="shared" si="27"/>
        <v>43</v>
      </c>
      <c r="J14" s="287">
        <f>Targets!C63</f>
        <v>46</v>
      </c>
      <c r="K14" s="288">
        <f>'Regs Q2'!D11</f>
        <v>68</v>
      </c>
      <c r="L14" s="285" t="str">
        <f>'Regs Q2'!E11</f>
        <v/>
      </c>
      <c r="M14" s="286">
        <f t="shared" si="28"/>
        <v>68</v>
      </c>
      <c r="N14" s="287">
        <f>Targets!D63</f>
        <v>72</v>
      </c>
      <c r="O14" s="136"/>
      <c r="P14" s="289">
        <f t="shared" si="29"/>
        <v>7</v>
      </c>
      <c r="Q14" s="149">
        <f t="shared" ref="Q14:R14" si="44">K14+G14+C14</f>
        <v>156</v>
      </c>
      <c r="R14" s="149">
        <f t="shared" si="44"/>
        <v>0</v>
      </c>
      <c r="S14" s="286">
        <f t="shared" si="30"/>
        <v>163</v>
      </c>
      <c r="T14" s="290">
        <f t="shared" si="31"/>
        <v>154</v>
      </c>
      <c r="U14" s="291">
        <f t="shared" si="32"/>
        <v>-9</v>
      </c>
      <c r="V14" s="292">
        <f t="shared" si="33"/>
        <v>1.012987013</v>
      </c>
      <c r="W14" s="43">
        <v>45298.0</v>
      </c>
      <c r="X14" s="149" t="s">
        <v>177</v>
      </c>
      <c r="Y14" s="95" t="s">
        <v>21</v>
      </c>
      <c r="Z14" s="293">
        <f>Targets!AC34</f>
        <v>7</v>
      </c>
      <c r="AA14" s="294">
        <f>'Regs Q2'!P34</f>
        <v>1</v>
      </c>
      <c r="AB14" s="295">
        <f t="shared" si="34"/>
        <v>1</v>
      </c>
      <c r="AC14" s="296">
        <f>Targets!T51+Targets!U51</f>
        <v>9</v>
      </c>
      <c r="AD14" s="149"/>
      <c r="AE14" s="286">
        <f t="shared" si="35"/>
        <v>0</v>
      </c>
      <c r="AF14" s="296">
        <f>Targets!V51</f>
        <v>2</v>
      </c>
      <c r="AG14" s="149"/>
      <c r="AH14" s="286">
        <f t="shared" si="36"/>
        <v>0</v>
      </c>
      <c r="AI14" s="296" t="str">
        <f>Targets!W51</f>
        <v/>
      </c>
      <c r="AJ14" s="136"/>
      <c r="AK14" s="297">
        <f t="shared" si="37"/>
        <v>7</v>
      </c>
      <c r="AL14" s="298">
        <f t="shared" si="38"/>
        <v>1</v>
      </c>
      <c r="AM14" s="295">
        <f t="shared" si="39"/>
        <v>8</v>
      </c>
      <c r="AN14" s="299">
        <f t="shared" si="40"/>
        <v>11</v>
      </c>
      <c r="AO14" s="291">
        <f t="shared" si="41"/>
        <v>3</v>
      </c>
      <c r="AP14" s="43">
        <v>45298.0</v>
      </c>
      <c r="AQ14" s="12" t="s">
        <v>177</v>
      </c>
    </row>
    <row r="15">
      <c r="A15" s="103" t="s">
        <v>22</v>
      </c>
      <c r="B15" s="300">
        <f t="shared" ref="B15:N15" si="45">sum(B11:B14)</f>
        <v>56</v>
      </c>
      <c r="C15" s="300">
        <f t="shared" si="45"/>
        <v>127</v>
      </c>
      <c r="D15" s="300">
        <f t="shared" si="45"/>
        <v>2</v>
      </c>
      <c r="E15" s="300">
        <f t="shared" si="45"/>
        <v>129</v>
      </c>
      <c r="F15" s="301">
        <f t="shared" si="45"/>
        <v>107</v>
      </c>
      <c r="G15" s="300">
        <f t="shared" si="45"/>
        <v>134</v>
      </c>
      <c r="H15" s="300">
        <f t="shared" si="45"/>
        <v>1</v>
      </c>
      <c r="I15" s="300">
        <f t="shared" si="45"/>
        <v>135</v>
      </c>
      <c r="J15" s="301">
        <f t="shared" si="45"/>
        <v>129</v>
      </c>
      <c r="K15" s="300">
        <f t="shared" si="45"/>
        <v>224</v>
      </c>
      <c r="L15" s="300">
        <f t="shared" si="45"/>
        <v>2</v>
      </c>
      <c r="M15" s="300">
        <f t="shared" si="45"/>
        <v>226</v>
      </c>
      <c r="N15" s="301">
        <f t="shared" si="45"/>
        <v>203</v>
      </c>
      <c r="O15" s="136"/>
      <c r="P15" s="300">
        <f t="shared" ref="P15:U15" si="46">sum(P11:P14)</f>
        <v>56</v>
      </c>
      <c r="Q15" s="300">
        <f t="shared" si="46"/>
        <v>485</v>
      </c>
      <c r="R15" s="300">
        <f t="shared" si="46"/>
        <v>5</v>
      </c>
      <c r="S15" s="300">
        <f t="shared" si="46"/>
        <v>546</v>
      </c>
      <c r="T15" s="302">
        <f t="shared" si="46"/>
        <v>439</v>
      </c>
      <c r="U15" s="303">
        <f t="shared" si="46"/>
        <v>-107</v>
      </c>
      <c r="X15" s="240"/>
      <c r="Y15" s="103" t="s">
        <v>22</v>
      </c>
      <c r="Z15" s="301">
        <f t="shared" ref="Z15:AI15" si="47">sum(Z11:Z14)</f>
        <v>17</v>
      </c>
      <c r="AA15" s="301">
        <f t="shared" si="47"/>
        <v>2</v>
      </c>
      <c r="AB15" s="301">
        <f t="shared" si="47"/>
        <v>2</v>
      </c>
      <c r="AC15" s="300">
        <f t="shared" si="47"/>
        <v>28</v>
      </c>
      <c r="AD15" s="300">
        <f t="shared" si="47"/>
        <v>0</v>
      </c>
      <c r="AE15" s="300">
        <f t="shared" si="47"/>
        <v>0</v>
      </c>
      <c r="AF15" s="300">
        <f t="shared" si="47"/>
        <v>5</v>
      </c>
      <c r="AG15" s="300">
        <f t="shared" si="47"/>
        <v>0</v>
      </c>
      <c r="AH15" s="300">
        <f t="shared" si="47"/>
        <v>0</v>
      </c>
      <c r="AI15" s="300">
        <f t="shared" si="47"/>
        <v>0</v>
      </c>
      <c r="AJ15" s="136"/>
      <c r="AK15" s="301">
        <f t="shared" ref="AK15:AO15" si="48">sum(AK11:AK14)</f>
        <v>17</v>
      </c>
      <c r="AL15" s="301">
        <f t="shared" si="48"/>
        <v>2</v>
      </c>
      <c r="AM15" s="301">
        <f t="shared" si="48"/>
        <v>19</v>
      </c>
      <c r="AN15" s="304">
        <f t="shared" si="48"/>
        <v>33</v>
      </c>
      <c r="AO15" s="303">
        <f t="shared" si="48"/>
        <v>14</v>
      </c>
    </row>
    <row r="16">
      <c r="A16" s="95" t="s">
        <v>23</v>
      </c>
      <c r="B16" s="284">
        <v>-4.0</v>
      </c>
      <c r="C16" s="149">
        <v>29.0</v>
      </c>
      <c r="D16" s="149">
        <v>9.0</v>
      </c>
      <c r="E16" s="286">
        <f t="shared" ref="E16:E18" si="50">SUM(C16:D16)</f>
        <v>38</v>
      </c>
      <c r="F16" s="287">
        <f>Targets!B64</f>
        <v>24</v>
      </c>
      <c r="G16" s="288">
        <f>'Regs Q2'!D36</f>
        <v>27</v>
      </c>
      <c r="H16" s="285">
        <f>'Regs Q2'!E36</f>
        <v>7</v>
      </c>
      <c r="I16" s="286">
        <f t="shared" ref="I16:I18" si="51">SUM(G16:H16)</f>
        <v>34</v>
      </c>
      <c r="J16" s="287">
        <f>Targets!C64</f>
        <v>31</v>
      </c>
      <c r="K16" s="288">
        <f>'Regs Q2'!D13</f>
        <v>32</v>
      </c>
      <c r="L16" s="285">
        <f>'Regs Q2'!E13</f>
        <v>23</v>
      </c>
      <c r="M16" s="286">
        <f t="shared" ref="M16:M18" si="52">SUM(K16:L16)</f>
        <v>55</v>
      </c>
      <c r="N16" s="287">
        <f>Targets!D64</f>
        <v>48</v>
      </c>
      <c r="O16" s="136"/>
      <c r="P16" s="289">
        <f t="shared" ref="P16:P18" si="53">B16</f>
        <v>-4</v>
      </c>
      <c r="Q16" s="149">
        <f t="shared" ref="Q16:R16" si="49">K16+G16+C16</f>
        <v>88</v>
      </c>
      <c r="R16" s="149">
        <f t="shared" si="49"/>
        <v>39</v>
      </c>
      <c r="S16" s="286">
        <f t="shared" ref="S16:S18" si="55">sum(P16:R16)</f>
        <v>123</v>
      </c>
      <c r="T16" s="290">
        <f t="shared" ref="T16:T18" si="56">N16+J16+F16</f>
        <v>103</v>
      </c>
      <c r="U16" s="291">
        <f t="shared" ref="U16:U18" si="57">T16-S16</f>
        <v>-20</v>
      </c>
      <c r="V16" s="292">
        <f t="shared" ref="V16:V18" si="58">(Q16+R16)/T16</f>
        <v>1.233009709</v>
      </c>
      <c r="W16" s="43">
        <v>45298.0</v>
      </c>
      <c r="X16" s="149" t="s">
        <v>177</v>
      </c>
      <c r="Y16" s="95" t="s">
        <v>23</v>
      </c>
      <c r="Z16" s="293">
        <f>Targets!AC35</f>
        <v>3</v>
      </c>
      <c r="AA16" s="294">
        <f>'Regs Q2'!P36</f>
        <v>0</v>
      </c>
      <c r="AB16" s="295">
        <f t="shared" ref="AB16:AB18" si="59">SUM(AA16)</f>
        <v>0</v>
      </c>
      <c r="AC16" s="296">
        <f>Targets!T53+Targets!U53</f>
        <v>6</v>
      </c>
      <c r="AD16" s="149">
        <v>0.0</v>
      </c>
      <c r="AE16" s="286">
        <f t="shared" ref="AE16:AE18" si="60">SUM(AD16)</f>
        <v>0</v>
      </c>
      <c r="AF16" s="296">
        <f>Targets!V53</f>
        <v>1</v>
      </c>
      <c r="AG16" s="149">
        <v>0.0</v>
      </c>
      <c r="AH16" s="286">
        <f t="shared" ref="AH16:AH18" si="61">SUM(AG16)</f>
        <v>0</v>
      </c>
      <c r="AI16" s="296" t="str">
        <f>Targets!W53</f>
        <v/>
      </c>
      <c r="AJ16" s="136"/>
      <c r="AK16" s="297">
        <f t="shared" ref="AK16:AK18" si="62">Z16</f>
        <v>3</v>
      </c>
      <c r="AL16" s="298">
        <f t="shared" ref="AL16:AL18" si="63">AG16+AD16+AA16</f>
        <v>0</v>
      </c>
      <c r="AM16" s="295">
        <f t="shared" ref="AM16:AM18" si="64">AL16+AK16</f>
        <v>3</v>
      </c>
      <c r="AN16" s="299">
        <f t="shared" ref="AN16:AN18" si="65">AI16+AF16+AC16</f>
        <v>7</v>
      </c>
      <c r="AO16" s="291">
        <f t="shared" ref="AO16:AO18" si="66">AN16-AM16</f>
        <v>4</v>
      </c>
      <c r="AP16" s="43">
        <v>45298.0</v>
      </c>
      <c r="AQ16" s="12" t="s">
        <v>177</v>
      </c>
    </row>
    <row r="17">
      <c r="A17" s="95" t="s">
        <v>24</v>
      </c>
      <c r="B17" s="284">
        <v>6.0</v>
      </c>
      <c r="C17" s="149">
        <v>26.0</v>
      </c>
      <c r="D17" s="149"/>
      <c r="E17" s="286">
        <f t="shared" si="50"/>
        <v>26</v>
      </c>
      <c r="F17" s="287">
        <f>Targets!B65</f>
        <v>30</v>
      </c>
      <c r="G17" s="288">
        <f>'Regs Q2'!D37</f>
        <v>32</v>
      </c>
      <c r="H17" s="285">
        <f>'Regs Q2'!E37</f>
        <v>1</v>
      </c>
      <c r="I17" s="286">
        <f t="shared" si="51"/>
        <v>33</v>
      </c>
      <c r="J17" s="287">
        <f>Targets!C65</f>
        <v>34</v>
      </c>
      <c r="K17" s="288">
        <f>'Regs Q2'!D14</f>
        <v>53</v>
      </c>
      <c r="L17" s="285" t="str">
        <f>'Regs Q2'!E14</f>
        <v/>
      </c>
      <c r="M17" s="286">
        <f t="shared" si="52"/>
        <v>53</v>
      </c>
      <c r="N17" s="287">
        <f>Targets!D65</f>
        <v>54</v>
      </c>
      <c r="O17" s="136"/>
      <c r="P17" s="289">
        <f t="shared" si="53"/>
        <v>6</v>
      </c>
      <c r="Q17" s="149">
        <f t="shared" ref="Q17:R17" si="54">K17+G17+C17</f>
        <v>111</v>
      </c>
      <c r="R17" s="149">
        <f t="shared" si="54"/>
        <v>1</v>
      </c>
      <c r="S17" s="286">
        <f t="shared" si="55"/>
        <v>118</v>
      </c>
      <c r="T17" s="290">
        <f t="shared" si="56"/>
        <v>118</v>
      </c>
      <c r="U17" s="291">
        <f t="shared" si="57"/>
        <v>0</v>
      </c>
      <c r="V17" s="292">
        <f t="shared" si="58"/>
        <v>0.9491525424</v>
      </c>
      <c r="W17" s="43">
        <v>45298.0</v>
      </c>
      <c r="X17" s="149" t="s">
        <v>177</v>
      </c>
      <c r="Y17" s="95" t="s">
        <v>24</v>
      </c>
      <c r="Z17" s="293">
        <f>Targets!AC36</f>
        <v>4</v>
      </c>
      <c r="AA17" s="294">
        <f>'Regs Q2'!P37</f>
        <v>0</v>
      </c>
      <c r="AB17" s="295">
        <f t="shared" si="59"/>
        <v>0</v>
      </c>
      <c r="AC17" s="296">
        <f>Targets!T54+Targets!U54</f>
        <v>7</v>
      </c>
      <c r="AD17" s="149">
        <v>0.0</v>
      </c>
      <c r="AE17" s="286">
        <f t="shared" si="60"/>
        <v>0</v>
      </c>
      <c r="AF17" s="296">
        <f>Targets!V54</f>
        <v>1</v>
      </c>
      <c r="AG17" s="149">
        <v>0.0</v>
      </c>
      <c r="AH17" s="286">
        <f t="shared" si="61"/>
        <v>0</v>
      </c>
      <c r="AI17" s="296" t="str">
        <f>Targets!W54</f>
        <v/>
      </c>
      <c r="AJ17" s="136"/>
      <c r="AK17" s="297">
        <f t="shared" si="62"/>
        <v>4</v>
      </c>
      <c r="AL17" s="298">
        <f t="shared" si="63"/>
        <v>0</v>
      </c>
      <c r="AM17" s="295">
        <f t="shared" si="64"/>
        <v>4</v>
      </c>
      <c r="AN17" s="299">
        <f t="shared" si="65"/>
        <v>8</v>
      </c>
      <c r="AO17" s="291">
        <f t="shared" si="66"/>
        <v>4</v>
      </c>
      <c r="AP17" s="43">
        <v>45298.0</v>
      </c>
      <c r="AQ17" s="12" t="s">
        <v>177</v>
      </c>
    </row>
    <row r="18">
      <c r="A18" s="95" t="s">
        <v>25</v>
      </c>
      <c r="B18" s="284">
        <v>14.0</v>
      </c>
      <c r="C18" s="149">
        <v>10.0</v>
      </c>
      <c r="D18" s="149"/>
      <c r="E18" s="286">
        <f t="shared" si="50"/>
        <v>10</v>
      </c>
      <c r="F18" s="287">
        <f>Targets!B66</f>
        <v>11</v>
      </c>
      <c r="G18" s="288">
        <f>'Regs Q2'!D38</f>
        <v>12</v>
      </c>
      <c r="H18" s="285" t="str">
        <f>'Regs Q2'!E38</f>
        <v/>
      </c>
      <c r="I18" s="286">
        <f t="shared" si="51"/>
        <v>12</v>
      </c>
      <c r="J18" s="287">
        <f>Targets!C66</f>
        <v>13</v>
      </c>
      <c r="K18" s="288">
        <f>'Regs Q2'!D15</f>
        <v>25</v>
      </c>
      <c r="L18" s="285" t="str">
        <f>'Regs Q2'!E15</f>
        <v/>
      </c>
      <c r="M18" s="286">
        <f t="shared" si="52"/>
        <v>25</v>
      </c>
      <c r="N18" s="287">
        <f>Targets!D66</f>
        <v>23</v>
      </c>
      <c r="O18" s="136"/>
      <c r="P18" s="289">
        <f t="shared" si="53"/>
        <v>14</v>
      </c>
      <c r="Q18" s="149">
        <f t="shared" ref="Q18:R18" si="67">K18+G18+C18</f>
        <v>47</v>
      </c>
      <c r="R18" s="149">
        <f t="shared" si="67"/>
        <v>0</v>
      </c>
      <c r="S18" s="286">
        <f t="shared" si="55"/>
        <v>61</v>
      </c>
      <c r="T18" s="290">
        <f t="shared" si="56"/>
        <v>47</v>
      </c>
      <c r="U18" s="291">
        <f t="shared" si="57"/>
        <v>-14</v>
      </c>
      <c r="V18" s="292">
        <f t="shared" si="58"/>
        <v>1</v>
      </c>
      <c r="W18" s="43">
        <v>45298.0</v>
      </c>
      <c r="X18" s="149" t="s">
        <v>177</v>
      </c>
      <c r="Y18" s="95" t="s">
        <v>25</v>
      </c>
      <c r="Z18" s="293">
        <f>Targets!AC37</f>
        <v>1</v>
      </c>
      <c r="AA18" s="294">
        <f>'Regs Q2'!P38</f>
        <v>1</v>
      </c>
      <c r="AB18" s="295">
        <f t="shared" si="59"/>
        <v>1</v>
      </c>
      <c r="AC18" s="296">
        <f>Targets!T55+Targets!U55</f>
        <v>2</v>
      </c>
      <c r="AD18" s="149">
        <v>0.0</v>
      </c>
      <c r="AE18" s="286">
        <f t="shared" si="60"/>
        <v>0</v>
      </c>
      <c r="AF18" s="296">
        <f>Targets!V55</f>
        <v>1</v>
      </c>
      <c r="AG18" s="149">
        <v>0.0</v>
      </c>
      <c r="AH18" s="286">
        <f t="shared" si="61"/>
        <v>0</v>
      </c>
      <c r="AI18" s="296" t="str">
        <f>Targets!W55</f>
        <v/>
      </c>
      <c r="AJ18" s="136"/>
      <c r="AK18" s="297">
        <f t="shared" si="62"/>
        <v>1</v>
      </c>
      <c r="AL18" s="298">
        <f t="shared" si="63"/>
        <v>1</v>
      </c>
      <c r="AM18" s="295">
        <f t="shared" si="64"/>
        <v>2</v>
      </c>
      <c r="AN18" s="299">
        <f t="shared" si="65"/>
        <v>3</v>
      </c>
      <c r="AO18" s="291">
        <f t="shared" si="66"/>
        <v>1</v>
      </c>
      <c r="AP18" s="43">
        <v>45298.0</v>
      </c>
      <c r="AQ18" s="12" t="s">
        <v>177</v>
      </c>
    </row>
    <row r="19">
      <c r="A19" s="103" t="s">
        <v>26</v>
      </c>
      <c r="B19" s="300">
        <f t="shared" ref="B19:N19" si="68">sum(B16:B18)</f>
        <v>16</v>
      </c>
      <c r="C19" s="300">
        <f t="shared" si="68"/>
        <v>65</v>
      </c>
      <c r="D19" s="300">
        <f t="shared" si="68"/>
        <v>9</v>
      </c>
      <c r="E19" s="300">
        <f t="shared" si="68"/>
        <v>74</v>
      </c>
      <c r="F19" s="301">
        <f t="shared" si="68"/>
        <v>65</v>
      </c>
      <c r="G19" s="300">
        <f t="shared" si="68"/>
        <v>71</v>
      </c>
      <c r="H19" s="300">
        <f t="shared" si="68"/>
        <v>8</v>
      </c>
      <c r="I19" s="300">
        <f t="shared" si="68"/>
        <v>79</v>
      </c>
      <c r="J19" s="301">
        <f t="shared" si="68"/>
        <v>78</v>
      </c>
      <c r="K19" s="300">
        <f t="shared" si="68"/>
        <v>110</v>
      </c>
      <c r="L19" s="300">
        <f t="shared" si="68"/>
        <v>23</v>
      </c>
      <c r="M19" s="300">
        <f t="shared" si="68"/>
        <v>133</v>
      </c>
      <c r="N19" s="301">
        <f t="shared" si="68"/>
        <v>125</v>
      </c>
      <c r="O19" s="136"/>
      <c r="P19" s="300">
        <f t="shared" ref="P19:U19" si="69">sum(P16:P18)</f>
        <v>16</v>
      </c>
      <c r="Q19" s="300">
        <f t="shared" si="69"/>
        <v>246</v>
      </c>
      <c r="R19" s="300">
        <f t="shared" si="69"/>
        <v>40</v>
      </c>
      <c r="S19" s="300">
        <f t="shared" si="69"/>
        <v>302</v>
      </c>
      <c r="T19" s="302">
        <f t="shared" si="69"/>
        <v>268</v>
      </c>
      <c r="U19" s="303">
        <f t="shared" si="69"/>
        <v>-34</v>
      </c>
      <c r="X19" s="240"/>
      <c r="Y19" s="103" t="s">
        <v>26</v>
      </c>
      <c r="Z19" s="301">
        <f t="shared" ref="Z19:AI19" si="70">sum(Z16:Z18)</f>
        <v>8</v>
      </c>
      <c r="AA19" s="301">
        <f t="shared" si="70"/>
        <v>1</v>
      </c>
      <c r="AB19" s="301">
        <f t="shared" si="70"/>
        <v>1</v>
      </c>
      <c r="AC19" s="300">
        <f t="shared" si="70"/>
        <v>15</v>
      </c>
      <c r="AD19" s="300">
        <f t="shared" si="70"/>
        <v>0</v>
      </c>
      <c r="AE19" s="300">
        <f t="shared" si="70"/>
        <v>0</v>
      </c>
      <c r="AF19" s="300">
        <f t="shared" si="70"/>
        <v>3</v>
      </c>
      <c r="AG19" s="300">
        <f t="shared" si="70"/>
        <v>0</v>
      </c>
      <c r="AH19" s="300">
        <f t="shared" si="70"/>
        <v>0</v>
      </c>
      <c r="AI19" s="300">
        <f t="shared" si="70"/>
        <v>0</v>
      </c>
      <c r="AJ19" s="136"/>
      <c r="AK19" s="301">
        <f t="shared" ref="AK19:AO19" si="71">sum(AK16:AK18)</f>
        <v>8</v>
      </c>
      <c r="AL19" s="301">
        <f t="shared" si="71"/>
        <v>1</v>
      </c>
      <c r="AM19" s="301">
        <f t="shared" si="71"/>
        <v>9</v>
      </c>
      <c r="AN19" s="304">
        <f t="shared" si="71"/>
        <v>18</v>
      </c>
      <c r="AO19" s="303">
        <f t="shared" si="71"/>
        <v>9</v>
      </c>
    </row>
    <row r="20">
      <c r="A20" s="103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305"/>
      <c r="U20" s="306"/>
      <c r="X20" s="260"/>
      <c r="Y20" s="15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305"/>
      <c r="AO20" s="306"/>
    </row>
    <row r="21">
      <c r="A21" s="13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305"/>
      <c r="U21" s="306"/>
      <c r="X21" s="136"/>
      <c r="Y21" s="13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305"/>
      <c r="AO21" s="306"/>
    </row>
    <row r="22">
      <c r="A22" s="108" t="s">
        <v>8</v>
      </c>
      <c r="B22" s="307">
        <f t="shared" ref="B22:N22" si="72">B19+B15+B10</f>
        <v>181</v>
      </c>
      <c r="C22" s="307">
        <f t="shared" si="72"/>
        <v>325</v>
      </c>
      <c r="D22" s="307">
        <f t="shared" si="72"/>
        <v>14</v>
      </c>
      <c r="E22" s="307">
        <f t="shared" si="72"/>
        <v>339</v>
      </c>
      <c r="F22" s="307">
        <f t="shared" si="72"/>
        <v>290</v>
      </c>
      <c r="G22" s="307">
        <f t="shared" si="72"/>
        <v>327</v>
      </c>
      <c r="H22" s="307">
        <f t="shared" si="72"/>
        <v>13</v>
      </c>
      <c r="I22" s="307">
        <f t="shared" si="72"/>
        <v>340</v>
      </c>
      <c r="J22" s="307">
        <f t="shared" si="72"/>
        <v>348</v>
      </c>
      <c r="K22" s="307">
        <f t="shared" si="72"/>
        <v>547</v>
      </c>
      <c r="L22" s="307">
        <f t="shared" si="72"/>
        <v>28</v>
      </c>
      <c r="M22" s="307">
        <f t="shared" si="72"/>
        <v>575</v>
      </c>
      <c r="N22" s="307">
        <f t="shared" si="72"/>
        <v>554</v>
      </c>
      <c r="O22" s="205"/>
      <c r="P22" s="307">
        <f t="shared" ref="P22:U22" si="73">P19+P15+P10</f>
        <v>181</v>
      </c>
      <c r="Q22" s="307">
        <f t="shared" si="73"/>
        <v>1199</v>
      </c>
      <c r="R22" s="307">
        <f t="shared" si="73"/>
        <v>55</v>
      </c>
      <c r="S22" s="307">
        <f t="shared" si="73"/>
        <v>1435</v>
      </c>
      <c r="T22" s="308">
        <f t="shared" si="73"/>
        <v>1192</v>
      </c>
      <c r="U22" s="309">
        <f t="shared" si="73"/>
        <v>-243</v>
      </c>
      <c r="X22" s="240"/>
      <c r="Y22" s="108" t="s">
        <v>8</v>
      </c>
      <c r="Z22" s="307">
        <f t="shared" ref="Z22:AI22" si="74">Z19+Z15+Z10</f>
        <v>42</v>
      </c>
      <c r="AA22" s="307">
        <f t="shared" si="74"/>
        <v>5</v>
      </c>
      <c r="AB22" s="307">
        <f t="shared" si="74"/>
        <v>5</v>
      </c>
      <c r="AC22" s="307">
        <f t="shared" si="74"/>
        <v>69</v>
      </c>
      <c r="AD22" s="307">
        <f t="shared" si="74"/>
        <v>2</v>
      </c>
      <c r="AE22" s="307">
        <f t="shared" si="74"/>
        <v>2</v>
      </c>
      <c r="AF22" s="307">
        <f t="shared" si="74"/>
        <v>12</v>
      </c>
      <c r="AG22" s="307">
        <f t="shared" si="74"/>
        <v>0</v>
      </c>
      <c r="AH22" s="307">
        <f t="shared" si="74"/>
        <v>0</v>
      </c>
      <c r="AI22" s="307">
        <f t="shared" si="74"/>
        <v>0</v>
      </c>
      <c r="AJ22" s="205"/>
      <c r="AK22" s="307">
        <f t="shared" ref="AK22:AO22" si="75">AK19+AK15+AK10</f>
        <v>42</v>
      </c>
      <c r="AL22" s="307">
        <f t="shared" si="75"/>
        <v>7</v>
      </c>
      <c r="AM22" s="307">
        <f t="shared" si="75"/>
        <v>49</v>
      </c>
      <c r="AN22" s="308">
        <f t="shared" si="75"/>
        <v>81</v>
      </c>
      <c r="AO22" s="309">
        <f t="shared" si="75"/>
        <v>32</v>
      </c>
    </row>
    <row r="24">
      <c r="A24" s="187" t="s">
        <v>52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8"/>
      <c r="V24" s="110"/>
      <c r="W24" s="110" t="s">
        <v>29</v>
      </c>
      <c r="X24" s="111" t="s">
        <v>30</v>
      </c>
    </row>
    <row r="25">
      <c r="A25" s="13"/>
      <c r="B25" s="190"/>
      <c r="C25" s="89" t="s">
        <v>174</v>
      </c>
      <c r="D25" s="90"/>
      <c r="E25" s="90"/>
      <c r="F25" s="90"/>
      <c r="G25" s="91" t="s">
        <v>65</v>
      </c>
      <c r="H25" s="90"/>
      <c r="I25" s="90"/>
      <c r="J25" s="90"/>
      <c r="K25" s="91" t="s">
        <v>66</v>
      </c>
      <c r="L25" s="90"/>
      <c r="M25" s="90"/>
      <c r="N25" s="90"/>
      <c r="O25" s="136"/>
      <c r="P25" s="178"/>
      <c r="Q25" s="91" t="s">
        <v>8</v>
      </c>
      <c r="R25" s="90"/>
      <c r="S25" s="90"/>
      <c r="T25" s="92"/>
      <c r="X25" s="136"/>
    </row>
    <row r="26">
      <c r="A26" s="15"/>
      <c r="B26" s="190"/>
      <c r="C26" s="179" t="s">
        <v>54</v>
      </c>
      <c r="D26" s="179" t="s">
        <v>55</v>
      </c>
      <c r="E26" s="179" t="s">
        <v>37</v>
      </c>
      <c r="F26" s="179"/>
      <c r="G26" s="179" t="s">
        <v>54</v>
      </c>
      <c r="H26" s="179" t="s">
        <v>55</v>
      </c>
      <c r="I26" s="179" t="s">
        <v>37</v>
      </c>
      <c r="J26" s="179"/>
      <c r="K26" s="179" t="s">
        <v>54</v>
      </c>
      <c r="L26" s="179" t="s">
        <v>178</v>
      </c>
      <c r="M26" s="179" t="s">
        <v>37</v>
      </c>
      <c r="N26" s="179"/>
      <c r="O26" s="204"/>
      <c r="P26" s="179"/>
      <c r="Q26" s="179" t="s">
        <v>54</v>
      </c>
      <c r="R26" s="179" t="s">
        <v>55</v>
      </c>
      <c r="S26" s="179" t="s">
        <v>37</v>
      </c>
      <c r="T26" s="181"/>
      <c r="X26" s="260"/>
    </row>
    <row r="27">
      <c r="A27" s="95" t="s">
        <v>13</v>
      </c>
      <c r="B27" s="190"/>
      <c r="C27" s="285">
        <f>'Regs Q2'!V72</f>
        <v>78</v>
      </c>
      <c r="D27" s="285"/>
      <c r="E27" s="286">
        <f t="shared" ref="E27:E30" si="77">SUM(C27:D27)</f>
        <v>78</v>
      </c>
      <c r="F27" s="179"/>
      <c r="G27" s="93">
        <f>'Regs Q2'!V49</f>
        <v>89</v>
      </c>
      <c r="H27" s="285"/>
      <c r="I27" s="286">
        <f t="shared" ref="I27:I30" si="78">SUM(G27:H27)</f>
        <v>89</v>
      </c>
      <c r="J27" s="179"/>
      <c r="K27" s="93">
        <f>'Regs Q2'!V26</f>
        <v>136</v>
      </c>
      <c r="L27" s="285"/>
      <c r="M27" s="286">
        <f t="shared" ref="M27:M30" si="79">SUM(K27:L27)</f>
        <v>136</v>
      </c>
      <c r="N27" s="179"/>
      <c r="O27" s="136"/>
      <c r="P27" s="289" t="str">
        <f t="shared" ref="P27:P41" si="80">B27</f>
        <v/>
      </c>
      <c r="Q27" s="149">
        <f t="shared" ref="Q27:R27" si="76">K27+G27+C27</f>
        <v>303</v>
      </c>
      <c r="R27" s="149">
        <f t="shared" si="76"/>
        <v>0</v>
      </c>
      <c r="S27" s="286">
        <f t="shared" ref="S27:S30" si="82">sum(P27:R27)</f>
        <v>303</v>
      </c>
      <c r="T27" s="181"/>
      <c r="V27" s="43"/>
      <c r="W27" s="43">
        <v>45298.0</v>
      </c>
      <c r="X27" s="149" t="s">
        <v>177</v>
      </c>
    </row>
    <row r="28">
      <c r="A28" s="95" t="s">
        <v>14</v>
      </c>
      <c r="B28" s="190"/>
      <c r="C28" s="285">
        <f>'Regs Q2'!V73</f>
        <v>7</v>
      </c>
      <c r="D28" s="285"/>
      <c r="E28" s="286">
        <f t="shared" si="77"/>
        <v>7</v>
      </c>
      <c r="F28" s="179"/>
      <c r="G28" s="93">
        <f>'Regs Q2'!V50</f>
        <v>5</v>
      </c>
      <c r="H28" s="285"/>
      <c r="I28" s="286">
        <f t="shared" si="78"/>
        <v>5</v>
      </c>
      <c r="J28" s="179"/>
      <c r="K28" s="93">
        <f>'Regs Q2'!V27</f>
        <v>27</v>
      </c>
      <c r="L28" s="285"/>
      <c r="M28" s="286">
        <f t="shared" si="79"/>
        <v>27</v>
      </c>
      <c r="N28" s="179"/>
      <c r="O28" s="136"/>
      <c r="P28" s="289" t="str">
        <f t="shared" si="80"/>
        <v/>
      </c>
      <c r="Q28" s="149">
        <f t="shared" ref="Q28:R28" si="81">K28+G28+C28</f>
        <v>39</v>
      </c>
      <c r="R28" s="149">
        <f t="shared" si="81"/>
        <v>0</v>
      </c>
      <c r="S28" s="286">
        <f t="shared" si="82"/>
        <v>39</v>
      </c>
      <c r="T28" s="181"/>
      <c r="V28" s="43"/>
      <c r="W28" s="43">
        <v>45298.0</v>
      </c>
      <c r="X28" s="149" t="s">
        <v>177</v>
      </c>
    </row>
    <row r="29">
      <c r="A29" s="95" t="s">
        <v>15</v>
      </c>
      <c r="B29" s="190"/>
      <c r="C29" s="285" t="str">
        <f>'Regs Q2'!V74</f>
        <v/>
      </c>
      <c r="D29" s="285"/>
      <c r="E29" s="286">
        <f t="shared" si="77"/>
        <v>0</v>
      </c>
      <c r="F29" s="179"/>
      <c r="G29" s="93" t="str">
        <f>'Regs Q2'!V51</f>
        <v/>
      </c>
      <c r="H29" s="285"/>
      <c r="I29" s="286">
        <f t="shared" si="78"/>
        <v>0</v>
      </c>
      <c r="J29" s="179"/>
      <c r="K29" s="93" t="str">
        <f>'Regs Q2'!V28</f>
        <v/>
      </c>
      <c r="L29" s="285"/>
      <c r="M29" s="286">
        <f t="shared" si="79"/>
        <v>0</v>
      </c>
      <c r="N29" s="179"/>
      <c r="O29" s="136"/>
      <c r="P29" s="289" t="str">
        <f t="shared" si="80"/>
        <v/>
      </c>
      <c r="Q29" s="149">
        <f t="shared" ref="Q29:R29" si="83">K29+G29+C29</f>
        <v>0</v>
      </c>
      <c r="R29" s="149">
        <f t="shared" si="83"/>
        <v>0</v>
      </c>
      <c r="S29" s="286">
        <f t="shared" si="82"/>
        <v>0</v>
      </c>
      <c r="T29" s="181"/>
      <c r="V29" s="43"/>
      <c r="W29" s="43">
        <v>45298.0</v>
      </c>
      <c r="X29" s="149" t="s">
        <v>177</v>
      </c>
    </row>
    <row r="30">
      <c r="A30" s="95" t="s">
        <v>16</v>
      </c>
      <c r="B30" s="190"/>
      <c r="C30" s="285" t="str">
        <f>'Regs Q2'!V75</f>
        <v/>
      </c>
      <c r="D30" s="285"/>
      <c r="E30" s="286">
        <f t="shared" si="77"/>
        <v>0</v>
      </c>
      <c r="F30" s="179"/>
      <c r="G30" s="93" t="str">
        <f>'Regs Q2'!V52</f>
        <v/>
      </c>
      <c r="H30" s="285"/>
      <c r="I30" s="286">
        <f t="shared" si="78"/>
        <v>0</v>
      </c>
      <c r="J30" s="179"/>
      <c r="K30" s="93">
        <f>'Regs Q2'!V29</f>
        <v>1</v>
      </c>
      <c r="L30" s="285"/>
      <c r="M30" s="286">
        <f t="shared" si="79"/>
        <v>1</v>
      </c>
      <c r="N30" s="179"/>
      <c r="O30" s="136"/>
      <c r="P30" s="289" t="str">
        <f t="shared" si="80"/>
        <v/>
      </c>
      <c r="Q30" s="149">
        <f t="shared" ref="Q30:R30" si="84">K30+G30+C30</f>
        <v>1</v>
      </c>
      <c r="R30" s="149">
        <f t="shared" si="84"/>
        <v>0</v>
      </c>
      <c r="S30" s="286">
        <f t="shared" si="82"/>
        <v>1</v>
      </c>
      <c r="T30" s="181"/>
      <c r="V30" s="43"/>
      <c r="W30" s="43">
        <v>45298.0</v>
      </c>
      <c r="X30" s="149" t="s">
        <v>177</v>
      </c>
    </row>
    <row r="31">
      <c r="A31" s="103" t="s">
        <v>17</v>
      </c>
      <c r="B31" s="190"/>
      <c r="C31" s="300">
        <f t="shared" ref="C31:E31" si="85">sum(C27:C30)</f>
        <v>85</v>
      </c>
      <c r="D31" s="300">
        <f t="shared" si="85"/>
        <v>0</v>
      </c>
      <c r="E31" s="300">
        <f t="shared" si="85"/>
        <v>85</v>
      </c>
      <c r="F31" s="179"/>
      <c r="G31" s="300">
        <f t="shared" ref="G31:I31" si="86">sum(G27:G30)</f>
        <v>94</v>
      </c>
      <c r="H31" s="300">
        <f t="shared" si="86"/>
        <v>0</v>
      </c>
      <c r="I31" s="300">
        <f t="shared" si="86"/>
        <v>94</v>
      </c>
      <c r="J31" s="179"/>
      <c r="K31" s="300">
        <f t="shared" ref="K31:M31" si="87">sum(K27:K30)</f>
        <v>164</v>
      </c>
      <c r="L31" s="300">
        <f t="shared" si="87"/>
        <v>0</v>
      </c>
      <c r="M31" s="300">
        <f t="shared" si="87"/>
        <v>164</v>
      </c>
      <c r="N31" s="179"/>
      <c r="O31" s="136"/>
      <c r="P31" s="289" t="str">
        <f t="shared" si="80"/>
        <v/>
      </c>
      <c r="Q31" s="300">
        <f t="shared" ref="Q31:S31" si="88">sum(Q27:Q30)</f>
        <v>343</v>
      </c>
      <c r="R31" s="300">
        <f t="shared" si="88"/>
        <v>0</v>
      </c>
      <c r="S31" s="300">
        <f t="shared" si="88"/>
        <v>343</v>
      </c>
      <c r="T31" s="181"/>
      <c r="X31" s="240"/>
    </row>
    <row r="32">
      <c r="A32" s="95" t="s">
        <v>18</v>
      </c>
      <c r="B32" s="190"/>
      <c r="C32" s="294" t="str">
        <f>'Regs Q2'!V77</f>
        <v/>
      </c>
      <c r="D32" s="149"/>
      <c r="E32" s="295">
        <f t="shared" ref="E32:E35" si="90">SUM(C32:D32)</f>
        <v>0</v>
      </c>
      <c r="F32" s="179"/>
      <c r="G32" s="310" t="str">
        <f>'Regs Q2'!V54</f>
        <v/>
      </c>
      <c r="H32" s="149"/>
      <c r="I32" s="295">
        <f t="shared" ref="I32:I35" si="91">SUM(G32:H32)</f>
        <v>0</v>
      </c>
      <c r="J32" s="179"/>
      <c r="K32" s="310" t="str">
        <f>'Regs Q2'!V31</f>
        <v/>
      </c>
      <c r="L32" s="149"/>
      <c r="M32" s="295">
        <f t="shared" ref="M32:M35" si="92">SUM(K32:L32)</f>
        <v>0</v>
      </c>
      <c r="N32" s="179"/>
      <c r="O32" s="136"/>
      <c r="P32" s="289" t="str">
        <f t="shared" si="80"/>
        <v/>
      </c>
      <c r="Q32" s="298">
        <f t="shared" ref="Q32:R32" si="89">K32+G32+C32</f>
        <v>0</v>
      </c>
      <c r="R32" s="149">
        <f t="shared" si="89"/>
        <v>0</v>
      </c>
      <c r="S32" s="286">
        <f t="shared" ref="S32:S35" si="93">sum(P32:R32)</f>
        <v>0</v>
      </c>
      <c r="T32" s="181"/>
      <c r="V32" s="43"/>
      <c r="W32" s="43">
        <v>45298.0</v>
      </c>
      <c r="X32" s="149" t="s">
        <v>177</v>
      </c>
    </row>
    <row r="33">
      <c r="A33" s="95" t="s">
        <v>19</v>
      </c>
      <c r="B33" s="190"/>
      <c r="C33" s="294">
        <f>'Regs Q2'!V78</f>
        <v>24</v>
      </c>
      <c r="D33" s="149"/>
      <c r="E33" s="295">
        <f t="shared" si="90"/>
        <v>24</v>
      </c>
      <c r="F33" s="179"/>
      <c r="G33" s="310">
        <f>'Regs Q2'!V55</f>
        <v>30</v>
      </c>
      <c r="H33" s="149"/>
      <c r="I33" s="295">
        <f t="shared" si="91"/>
        <v>30</v>
      </c>
      <c r="J33" s="179"/>
      <c r="K33" s="310">
        <f>'Regs Q2'!V32</f>
        <v>19</v>
      </c>
      <c r="L33" s="149">
        <v>8.0</v>
      </c>
      <c r="M33" s="295">
        <f t="shared" si="92"/>
        <v>27</v>
      </c>
      <c r="N33" s="179"/>
      <c r="O33" s="136"/>
      <c r="P33" s="289" t="str">
        <f t="shared" si="80"/>
        <v/>
      </c>
      <c r="Q33" s="298">
        <f t="shared" ref="Q33:Q34" si="94">K33+G33+O41+C33</f>
        <v>73</v>
      </c>
      <c r="R33" s="149">
        <f>L33+H33+D33</f>
        <v>8</v>
      </c>
      <c r="S33" s="286">
        <f t="shared" si="93"/>
        <v>81</v>
      </c>
      <c r="T33" s="181"/>
      <c r="V33" s="43"/>
      <c r="W33" s="43">
        <v>45298.0</v>
      </c>
      <c r="X33" s="149" t="s">
        <v>177</v>
      </c>
      <c r="AA33" s="20">
        <f>192-643</f>
        <v>-451</v>
      </c>
    </row>
    <row r="34">
      <c r="A34" s="95" t="s">
        <v>20</v>
      </c>
      <c r="B34" s="190"/>
      <c r="C34" s="294" t="str">
        <f>'Regs Q2'!V79</f>
        <v/>
      </c>
      <c r="D34" s="149"/>
      <c r="E34" s="295">
        <f t="shared" si="90"/>
        <v>0</v>
      </c>
      <c r="F34" s="179"/>
      <c r="G34" s="310" t="str">
        <f>'Regs Q2'!V56</f>
        <v/>
      </c>
      <c r="H34" s="149"/>
      <c r="I34" s="295">
        <f t="shared" si="91"/>
        <v>0</v>
      </c>
      <c r="J34" s="179"/>
      <c r="K34" s="310" t="str">
        <f>'Regs Q2'!V33</f>
        <v/>
      </c>
      <c r="L34" s="149"/>
      <c r="M34" s="295">
        <f t="shared" si="92"/>
        <v>0</v>
      </c>
      <c r="N34" s="179"/>
      <c r="O34" s="136"/>
      <c r="P34" s="289" t="str">
        <f t="shared" si="80"/>
        <v/>
      </c>
      <c r="Q34" s="298">
        <f t="shared" si="94"/>
        <v>0</v>
      </c>
      <c r="R34" s="149">
        <v>0.0</v>
      </c>
      <c r="S34" s="286">
        <f t="shared" si="93"/>
        <v>0</v>
      </c>
      <c r="T34" s="181"/>
      <c r="V34" s="43"/>
      <c r="W34" s="43">
        <v>45298.0</v>
      </c>
      <c r="X34" s="149" t="s">
        <v>177</v>
      </c>
    </row>
    <row r="35">
      <c r="A35" s="95" t="s">
        <v>21</v>
      </c>
      <c r="B35" s="190"/>
      <c r="C35" s="294" t="str">
        <f>'Regs Q2'!V80</f>
        <v/>
      </c>
      <c r="D35" s="149"/>
      <c r="E35" s="295">
        <f t="shared" si="90"/>
        <v>0</v>
      </c>
      <c r="F35" s="179"/>
      <c r="G35" s="310" t="str">
        <f>'Regs Q2'!V57</f>
        <v/>
      </c>
      <c r="H35" s="149"/>
      <c r="I35" s="295">
        <f t="shared" si="91"/>
        <v>0</v>
      </c>
      <c r="J35" s="179"/>
      <c r="K35" s="310" t="str">
        <f>'Regs Q2'!V34</f>
        <v/>
      </c>
      <c r="L35" s="149"/>
      <c r="M35" s="295">
        <f t="shared" si="92"/>
        <v>0</v>
      </c>
      <c r="N35" s="179"/>
      <c r="O35" s="136"/>
      <c r="P35" s="289" t="str">
        <f t="shared" si="80"/>
        <v/>
      </c>
      <c r="Q35" s="298">
        <f t="shared" ref="Q35:R35" si="95">K35+G35+C35</f>
        <v>0</v>
      </c>
      <c r="R35" s="149">
        <f t="shared" si="95"/>
        <v>0</v>
      </c>
      <c r="S35" s="286">
        <f t="shared" si="93"/>
        <v>0</v>
      </c>
      <c r="T35" s="181"/>
      <c r="V35" s="43"/>
      <c r="W35" s="43">
        <v>45298.0</v>
      </c>
      <c r="X35" s="149" t="s">
        <v>177</v>
      </c>
    </row>
    <row r="36">
      <c r="A36" s="103" t="s">
        <v>22</v>
      </c>
      <c r="B36" s="190"/>
      <c r="C36" s="301">
        <f t="shared" ref="C36:E36" si="96">sum(C32:C35)</f>
        <v>24</v>
      </c>
      <c r="D36" s="300">
        <f t="shared" si="96"/>
        <v>0</v>
      </c>
      <c r="E36" s="301">
        <f t="shared" si="96"/>
        <v>24</v>
      </c>
      <c r="F36" s="179"/>
      <c r="G36" s="301">
        <f t="shared" ref="G36:I36" si="97">sum(G32:G35)</f>
        <v>30</v>
      </c>
      <c r="H36" s="300">
        <f t="shared" si="97"/>
        <v>0</v>
      </c>
      <c r="I36" s="301">
        <f t="shared" si="97"/>
        <v>30</v>
      </c>
      <c r="J36" s="179"/>
      <c r="K36" s="301">
        <f t="shared" ref="K36:M36" si="98">sum(K32:K35)</f>
        <v>19</v>
      </c>
      <c r="L36" s="300">
        <f t="shared" si="98"/>
        <v>8</v>
      </c>
      <c r="M36" s="301">
        <f t="shared" si="98"/>
        <v>27</v>
      </c>
      <c r="N36" s="179"/>
      <c r="O36" s="136"/>
      <c r="P36" s="289" t="str">
        <f t="shared" si="80"/>
        <v/>
      </c>
      <c r="Q36" s="301">
        <f t="shared" ref="Q36:S36" si="99">sum(Q32:Q35)</f>
        <v>73</v>
      </c>
      <c r="R36" s="300">
        <f t="shared" si="99"/>
        <v>8</v>
      </c>
      <c r="S36" s="300">
        <f t="shared" si="99"/>
        <v>81</v>
      </c>
      <c r="T36" s="181"/>
      <c r="X36" s="240"/>
    </row>
    <row r="37">
      <c r="A37" s="95" t="s">
        <v>23</v>
      </c>
      <c r="B37" s="190"/>
      <c r="C37" s="294">
        <f>'Regs Q2'!V82</f>
        <v>33</v>
      </c>
      <c r="D37" s="149"/>
      <c r="E37" s="295">
        <f t="shared" ref="E37:E39" si="101">SUM(C37:D37)</f>
        <v>33</v>
      </c>
      <c r="F37" s="179"/>
      <c r="G37" s="310">
        <f>'Regs Q2'!V59</f>
        <v>42</v>
      </c>
      <c r="H37" s="149">
        <v>0.0</v>
      </c>
      <c r="I37" s="295">
        <f t="shared" ref="I37:I39" si="102">SUM(G37:H37)</f>
        <v>42</v>
      </c>
      <c r="J37" s="179"/>
      <c r="K37" s="310">
        <f>'Regs Q2'!V36</f>
        <v>64</v>
      </c>
      <c r="L37" s="149">
        <v>0.0</v>
      </c>
      <c r="M37" s="295">
        <f t="shared" ref="M37:M39" si="103">SUM(K37:L37)</f>
        <v>64</v>
      </c>
      <c r="N37" s="179"/>
      <c r="O37" s="136"/>
      <c r="P37" s="289" t="str">
        <f t="shared" si="80"/>
        <v/>
      </c>
      <c r="Q37" s="298">
        <f t="shared" ref="Q37:R37" si="100">K37+G37+C37</f>
        <v>139</v>
      </c>
      <c r="R37" s="149">
        <f t="shared" si="100"/>
        <v>0</v>
      </c>
      <c r="S37" s="286">
        <f t="shared" ref="S37:S39" si="105">sum(P37:R37)</f>
        <v>139</v>
      </c>
      <c r="T37" s="181"/>
      <c r="V37" s="43"/>
      <c r="W37" s="43">
        <v>45298.0</v>
      </c>
      <c r="X37" s="149" t="s">
        <v>177</v>
      </c>
    </row>
    <row r="38">
      <c r="A38" s="95" t="s">
        <v>24</v>
      </c>
      <c r="B38" s="190"/>
      <c r="C38" s="294" t="str">
        <f>'Regs Q2'!V83</f>
        <v/>
      </c>
      <c r="D38" s="149"/>
      <c r="E38" s="295">
        <f t="shared" si="101"/>
        <v>0</v>
      </c>
      <c r="F38" s="179"/>
      <c r="G38" s="310" t="str">
        <f>'Regs Q2'!V60</f>
        <v/>
      </c>
      <c r="H38" s="149"/>
      <c r="I38" s="295">
        <f t="shared" si="102"/>
        <v>0</v>
      </c>
      <c r="J38" s="179"/>
      <c r="K38" s="310" t="str">
        <f>'Regs Q2'!V37</f>
        <v/>
      </c>
      <c r="L38" s="149"/>
      <c r="M38" s="295">
        <f t="shared" si="103"/>
        <v>0</v>
      </c>
      <c r="N38" s="179"/>
      <c r="O38" s="136"/>
      <c r="P38" s="289" t="str">
        <f t="shared" si="80"/>
        <v/>
      </c>
      <c r="Q38" s="298">
        <f t="shared" ref="Q38:R38" si="104">K38+G38+C38</f>
        <v>0</v>
      </c>
      <c r="R38" s="149">
        <f t="shared" si="104"/>
        <v>0</v>
      </c>
      <c r="S38" s="286">
        <f t="shared" si="105"/>
        <v>0</v>
      </c>
      <c r="T38" s="181"/>
      <c r="V38" s="43"/>
      <c r="W38" s="43">
        <v>45298.0</v>
      </c>
      <c r="X38" s="149" t="s">
        <v>177</v>
      </c>
    </row>
    <row r="39">
      <c r="A39" s="95" t="s">
        <v>25</v>
      </c>
      <c r="B39" s="190"/>
      <c r="C39" s="294" t="str">
        <f>'Regs Q2'!V84</f>
        <v/>
      </c>
      <c r="D39" s="149"/>
      <c r="E39" s="295">
        <f t="shared" si="101"/>
        <v>0</v>
      </c>
      <c r="F39" s="179"/>
      <c r="G39" s="310">
        <f>'Regs Q2'!V61</f>
        <v>1</v>
      </c>
      <c r="H39" s="149"/>
      <c r="I39" s="295">
        <f t="shared" si="102"/>
        <v>1</v>
      </c>
      <c r="J39" s="179"/>
      <c r="K39" s="310" t="str">
        <f>'Regs Q2'!V38</f>
        <v/>
      </c>
      <c r="L39" s="149"/>
      <c r="M39" s="295">
        <f t="shared" si="103"/>
        <v>0</v>
      </c>
      <c r="N39" s="179"/>
      <c r="O39" s="136"/>
      <c r="P39" s="289" t="str">
        <f t="shared" si="80"/>
        <v/>
      </c>
      <c r="Q39" s="298">
        <f t="shared" ref="Q39:R39" si="106">K39+G39+C39</f>
        <v>1</v>
      </c>
      <c r="R39" s="149">
        <f t="shared" si="106"/>
        <v>0</v>
      </c>
      <c r="S39" s="286">
        <f t="shared" si="105"/>
        <v>1</v>
      </c>
      <c r="T39" s="181"/>
      <c r="V39" s="43"/>
      <c r="W39" s="43">
        <v>45298.0</v>
      </c>
      <c r="X39" s="149" t="s">
        <v>177</v>
      </c>
    </row>
    <row r="40">
      <c r="A40" s="103" t="s">
        <v>26</v>
      </c>
      <c r="B40" s="190"/>
      <c r="C40" s="301">
        <f t="shared" ref="C40:E40" si="107">sum(C37:C39)</f>
        <v>33</v>
      </c>
      <c r="D40" s="300">
        <f t="shared" si="107"/>
        <v>0</v>
      </c>
      <c r="E40" s="301">
        <f t="shared" si="107"/>
        <v>33</v>
      </c>
      <c r="F40" s="179"/>
      <c r="G40" s="301">
        <f t="shared" ref="G40:I40" si="108">sum(G37:G39)</f>
        <v>43</v>
      </c>
      <c r="H40" s="300">
        <f t="shared" si="108"/>
        <v>0</v>
      </c>
      <c r="I40" s="301">
        <f t="shared" si="108"/>
        <v>43</v>
      </c>
      <c r="J40" s="179"/>
      <c r="K40" s="301">
        <f t="shared" ref="K40:M40" si="109">sum(K37:K39)</f>
        <v>64</v>
      </c>
      <c r="L40" s="300">
        <f t="shared" si="109"/>
        <v>0</v>
      </c>
      <c r="M40" s="301">
        <f t="shared" si="109"/>
        <v>64</v>
      </c>
      <c r="N40" s="179"/>
      <c r="O40" s="136"/>
      <c r="P40" s="289" t="str">
        <f t="shared" si="80"/>
        <v/>
      </c>
      <c r="Q40" s="301">
        <f t="shared" ref="Q40:S40" si="110">sum(Q37:Q39)</f>
        <v>140</v>
      </c>
      <c r="R40" s="300">
        <f t="shared" si="110"/>
        <v>0</v>
      </c>
      <c r="S40" s="300">
        <f t="shared" si="110"/>
        <v>140</v>
      </c>
      <c r="T40" s="181"/>
    </row>
    <row r="41">
      <c r="A41" s="103"/>
      <c r="B41" s="190"/>
      <c r="C41" s="136"/>
      <c r="D41" s="136"/>
      <c r="E41" s="136"/>
      <c r="F41" s="179"/>
      <c r="G41" s="136"/>
      <c r="H41" s="136"/>
      <c r="I41" s="136"/>
      <c r="J41" s="179"/>
      <c r="K41" s="136"/>
      <c r="L41" s="136"/>
      <c r="M41" s="136"/>
      <c r="N41" s="179"/>
      <c r="O41" s="136"/>
      <c r="P41" s="289" t="str">
        <f t="shared" si="80"/>
        <v/>
      </c>
      <c r="Q41" s="136"/>
      <c r="R41" s="136"/>
      <c r="S41" s="136"/>
      <c r="T41" s="181"/>
    </row>
    <row r="42">
      <c r="A42" s="13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305"/>
    </row>
    <row r="43">
      <c r="A43" s="108" t="s">
        <v>8</v>
      </c>
      <c r="B43" s="205"/>
      <c r="C43" s="307">
        <f t="shared" ref="C43:E43" si="111">C40+C36+C31</f>
        <v>142</v>
      </c>
      <c r="D43" s="307">
        <f t="shared" si="111"/>
        <v>0</v>
      </c>
      <c r="E43" s="307">
        <f t="shared" si="111"/>
        <v>142</v>
      </c>
      <c r="F43" s="205"/>
      <c r="G43" s="307">
        <f t="shared" ref="G43:I43" si="112">G40+G36+G31</f>
        <v>167</v>
      </c>
      <c r="H43" s="307">
        <f t="shared" si="112"/>
        <v>0</v>
      </c>
      <c r="I43" s="307">
        <f t="shared" si="112"/>
        <v>167</v>
      </c>
      <c r="J43" s="205"/>
      <c r="K43" s="307">
        <f t="shared" ref="K43:M43" si="113">K40+K36+K31</f>
        <v>247</v>
      </c>
      <c r="L43" s="307">
        <f t="shared" si="113"/>
        <v>8</v>
      </c>
      <c r="M43" s="307">
        <f t="shared" si="113"/>
        <v>255</v>
      </c>
      <c r="N43" s="205"/>
      <c r="O43" s="205"/>
      <c r="P43" s="205"/>
      <c r="Q43" s="307">
        <f t="shared" ref="Q43:S43" si="114">Q40+Q36+Q31</f>
        <v>556</v>
      </c>
      <c r="R43" s="307">
        <f t="shared" si="114"/>
        <v>8</v>
      </c>
      <c r="S43" s="307">
        <f t="shared" si="114"/>
        <v>564</v>
      </c>
      <c r="T43" s="311"/>
    </row>
  </sheetData>
  <mergeCells count="15">
    <mergeCell ref="AD4:AF4"/>
    <mergeCell ref="AG4:AI4"/>
    <mergeCell ref="A24:T24"/>
    <mergeCell ref="C25:F25"/>
    <mergeCell ref="G25:J25"/>
    <mergeCell ref="K25:N25"/>
    <mergeCell ref="Q25:T25"/>
    <mergeCell ref="A3:T3"/>
    <mergeCell ref="Y3:AN3"/>
    <mergeCell ref="C4:F4"/>
    <mergeCell ref="G4:J4"/>
    <mergeCell ref="K4:N4"/>
    <mergeCell ref="Q4:T4"/>
    <mergeCell ref="AA4:AC4"/>
    <mergeCell ref="AL4:A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8" t="s">
        <v>179</v>
      </c>
      <c r="T1" s="196"/>
      <c r="U1" s="196"/>
      <c r="V1" s="196"/>
      <c r="W1" s="196"/>
      <c r="X1" s="196"/>
    </row>
    <row r="2">
      <c r="B2" s="8" t="s">
        <v>180</v>
      </c>
      <c r="D2" s="179" t="s">
        <v>34</v>
      </c>
      <c r="E2" s="179" t="s">
        <v>36</v>
      </c>
      <c r="F2" s="8" t="s">
        <v>37</v>
      </c>
      <c r="G2" s="8" t="s">
        <v>181</v>
      </c>
      <c r="H2" s="8" t="s">
        <v>182</v>
      </c>
      <c r="J2" s="12" t="s">
        <v>141</v>
      </c>
      <c r="K2" s="12" t="s">
        <v>143</v>
      </c>
      <c r="L2" s="12" t="s">
        <v>183</v>
      </c>
      <c r="M2" s="12" t="s">
        <v>145</v>
      </c>
      <c r="N2" s="12" t="s">
        <v>146</v>
      </c>
      <c r="O2" s="12" t="s">
        <v>147</v>
      </c>
      <c r="P2" s="12" t="s">
        <v>148</v>
      </c>
      <c r="T2" s="196"/>
      <c r="U2" s="196"/>
      <c r="V2" s="196"/>
      <c r="W2" s="196"/>
      <c r="X2" s="196"/>
    </row>
    <row r="3">
      <c r="B3" s="12" t="s">
        <v>13</v>
      </c>
      <c r="D3" s="12">
        <f t="shared" ref="D3:D6" si="1">R3-N3</f>
        <v>69</v>
      </c>
      <c r="E3" s="20">
        <f t="shared" ref="E3:E6" si="2">N3</f>
        <v>2</v>
      </c>
      <c r="F3" s="44">
        <f t="shared" ref="F3:F16" si="3">sum(D3:E3)</f>
        <v>71</v>
      </c>
      <c r="G3" s="20">
        <f t="shared" ref="G3:G16" si="4">F3+F26+F48</f>
        <v>157</v>
      </c>
      <c r="H3" s="20">
        <f>'2024 - Q2'!Q6+'2024 - Q2'!R6-G3</f>
        <v>0</v>
      </c>
      <c r="J3" s="12">
        <v>46.0</v>
      </c>
      <c r="K3" s="12">
        <v>14.0</v>
      </c>
      <c r="L3" s="12">
        <v>7.0</v>
      </c>
      <c r="M3" s="12">
        <v>2.0</v>
      </c>
      <c r="N3" s="12">
        <v>2.0</v>
      </c>
      <c r="R3" s="20">
        <f t="shared" ref="R3:R6" si="5">sum(J3:Q3)</f>
        <v>71</v>
      </c>
      <c r="T3" s="196"/>
      <c r="U3" s="196"/>
      <c r="V3" s="196"/>
      <c r="W3" s="196"/>
      <c r="X3" s="196"/>
    </row>
    <row r="4">
      <c r="B4" s="12" t="s">
        <v>14</v>
      </c>
      <c r="D4" s="12">
        <f t="shared" si="1"/>
        <v>37</v>
      </c>
      <c r="E4" s="20">
        <f t="shared" si="2"/>
        <v>1</v>
      </c>
      <c r="F4" s="44">
        <f t="shared" si="3"/>
        <v>38</v>
      </c>
      <c r="G4" s="20">
        <f t="shared" si="4"/>
        <v>115</v>
      </c>
      <c r="H4" s="20">
        <f>'2024 - Q2'!Q7+'2024 - Q2'!R7-G4</f>
        <v>0</v>
      </c>
      <c r="J4" s="12">
        <v>26.0</v>
      </c>
      <c r="K4" s="12">
        <v>7.0</v>
      </c>
      <c r="L4" s="12">
        <v>1.0</v>
      </c>
      <c r="M4" s="12">
        <v>1.0</v>
      </c>
      <c r="N4" s="12">
        <v>1.0</v>
      </c>
      <c r="O4" s="12">
        <v>2.0</v>
      </c>
      <c r="R4" s="20">
        <f t="shared" si="5"/>
        <v>38</v>
      </c>
      <c r="T4" s="196"/>
      <c r="U4" s="196"/>
      <c r="V4" s="196"/>
      <c r="W4" s="196"/>
      <c r="X4" s="196"/>
    </row>
    <row r="5">
      <c r="B5" s="12" t="s">
        <v>15</v>
      </c>
      <c r="D5" s="12">
        <f t="shared" si="1"/>
        <v>42</v>
      </c>
      <c r="E5" s="20" t="str">
        <f t="shared" si="2"/>
        <v/>
      </c>
      <c r="F5" s="44">
        <f t="shared" si="3"/>
        <v>42</v>
      </c>
      <c r="G5" s="20">
        <f t="shared" si="4"/>
        <v>92</v>
      </c>
      <c r="H5" s="20">
        <f>'2024 - Q2'!Q8+'2024 - Q2'!R8-G5</f>
        <v>0</v>
      </c>
      <c r="J5" s="12">
        <v>33.0</v>
      </c>
      <c r="K5" s="12">
        <v>4.0</v>
      </c>
      <c r="L5" s="12">
        <v>4.0</v>
      </c>
      <c r="M5" s="12">
        <v>1.0</v>
      </c>
      <c r="R5" s="20">
        <f t="shared" si="5"/>
        <v>42</v>
      </c>
      <c r="T5" s="196"/>
      <c r="U5" s="196"/>
      <c r="V5" s="196"/>
      <c r="W5" s="196"/>
      <c r="X5" s="196"/>
    </row>
    <row r="6">
      <c r="B6" s="12" t="s">
        <v>16</v>
      </c>
      <c r="D6" s="12">
        <f t="shared" si="1"/>
        <v>65</v>
      </c>
      <c r="E6" s="20" t="str">
        <f t="shared" si="2"/>
        <v/>
      </c>
      <c r="F6" s="44">
        <f t="shared" si="3"/>
        <v>65</v>
      </c>
      <c r="G6" s="20">
        <f t="shared" si="4"/>
        <v>114</v>
      </c>
      <c r="H6" s="20">
        <f>'2024 - Q2'!Q9+'2024 - Q2'!R9-G6</f>
        <v>0</v>
      </c>
      <c r="J6" s="12">
        <v>43.0</v>
      </c>
      <c r="K6" s="12">
        <v>17.0</v>
      </c>
      <c r="L6" s="12">
        <v>4.0</v>
      </c>
      <c r="M6" s="12">
        <v>1.0</v>
      </c>
      <c r="R6" s="20">
        <f t="shared" si="5"/>
        <v>65</v>
      </c>
      <c r="T6" s="196"/>
      <c r="U6" s="196"/>
      <c r="V6" s="196"/>
      <c r="W6" s="196"/>
      <c r="X6" s="196"/>
    </row>
    <row r="7">
      <c r="B7" s="8" t="s">
        <v>17</v>
      </c>
      <c r="D7" s="312">
        <f t="shared" ref="D7:E7" si="6">sum(D3:D6)</f>
        <v>213</v>
      </c>
      <c r="E7" s="312">
        <f t="shared" si="6"/>
        <v>3</v>
      </c>
      <c r="F7" s="239">
        <f t="shared" si="3"/>
        <v>216</v>
      </c>
      <c r="G7" s="239">
        <f t="shared" si="4"/>
        <v>478</v>
      </c>
      <c r="H7" s="239">
        <f>'2024 - Q2'!Q10+'2024 - Q2'!R10-G7</f>
        <v>0</v>
      </c>
      <c r="T7" s="196"/>
      <c r="U7" s="196"/>
      <c r="V7" s="196"/>
      <c r="W7" s="196"/>
      <c r="X7" s="196"/>
    </row>
    <row r="8">
      <c r="B8" s="12" t="s">
        <v>18</v>
      </c>
      <c r="D8" s="12">
        <f t="shared" ref="D8:D11" si="7">R8-N8</f>
        <v>53</v>
      </c>
      <c r="E8" s="20" t="str">
        <f t="shared" ref="E8:E11" si="8">N8</f>
        <v/>
      </c>
      <c r="F8" s="44">
        <f t="shared" si="3"/>
        <v>53</v>
      </c>
      <c r="G8" s="20">
        <f t="shared" si="4"/>
        <v>107</v>
      </c>
      <c r="H8" s="20">
        <f>'2024 - Q2'!Q11+'2024 - Q2'!R11-G8</f>
        <v>0</v>
      </c>
      <c r="J8" s="12">
        <v>44.0</v>
      </c>
      <c r="K8" s="12">
        <v>7.0</v>
      </c>
      <c r="M8" s="12">
        <v>2.0</v>
      </c>
      <c r="R8" s="20">
        <f t="shared" ref="R8:R11" si="9">sum(J8:Q8)</f>
        <v>53</v>
      </c>
      <c r="T8" s="196"/>
      <c r="U8" s="196"/>
      <c r="V8" s="196"/>
      <c r="W8" s="196"/>
      <c r="X8" s="196"/>
    </row>
    <row r="9">
      <c r="B9" s="12" t="s">
        <v>19</v>
      </c>
      <c r="D9" s="12">
        <f t="shared" si="7"/>
        <v>54</v>
      </c>
      <c r="E9" s="20">
        <f t="shared" si="8"/>
        <v>1</v>
      </c>
      <c r="F9" s="44">
        <f t="shared" si="3"/>
        <v>55</v>
      </c>
      <c r="G9" s="20">
        <f t="shared" si="4"/>
        <v>113</v>
      </c>
      <c r="H9" s="20">
        <f>'2024 - Q2'!Q12+'2024 - Q2'!R12-G9</f>
        <v>0</v>
      </c>
      <c r="J9" s="12">
        <v>38.0</v>
      </c>
      <c r="K9" s="12">
        <v>12.0</v>
      </c>
      <c r="L9" s="12">
        <v>3.0</v>
      </c>
      <c r="M9" s="12">
        <v>1.0</v>
      </c>
      <c r="N9" s="12">
        <v>1.0</v>
      </c>
      <c r="R9" s="20">
        <f t="shared" si="9"/>
        <v>55</v>
      </c>
      <c r="T9" s="196"/>
      <c r="U9" s="196"/>
      <c r="V9" s="196"/>
      <c r="W9" s="196"/>
      <c r="X9" s="196"/>
    </row>
    <row r="10">
      <c r="B10" s="12" t="s">
        <v>20</v>
      </c>
      <c r="D10" s="12">
        <f t="shared" si="7"/>
        <v>49</v>
      </c>
      <c r="E10" s="20">
        <f t="shared" si="8"/>
        <v>1</v>
      </c>
      <c r="F10" s="44">
        <f t="shared" si="3"/>
        <v>50</v>
      </c>
      <c r="G10" s="20">
        <f t="shared" si="4"/>
        <v>114</v>
      </c>
      <c r="H10" s="20">
        <f>'2024 - Q2'!Q13+'2024 - Q2'!R13-G10</f>
        <v>0</v>
      </c>
      <c r="J10" s="12">
        <v>38.0</v>
      </c>
      <c r="K10" s="12">
        <v>6.0</v>
      </c>
      <c r="L10" s="12">
        <v>3.0</v>
      </c>
      <c r="M10" s="12">
        <v>2.0</v>
      </c>
      <c r="N10" s="12">
        <v>1.0</v>
      </c>
      <c r="R10" s="20">
        <f t="shared" si="9"/>
        <v>50</v>
      </c>
      <c r="T10" s="196"/>
      <c r="U10" s="196"/>
      <c r="V10" s="196"/>
      <c r="W10" s="196"/>
      <c r="X10" s="196"/>
    </row>
    <row r="11">
      <c r="B11" s="12" t="s">
        <v>21</v>
      </c>
      <c r="D11" s="12">
        <f t="shared" si="7"/>
        <v>68</v>
      </c>
      <c r="E11" s="20" t="str">
        <f t="shared" si="8"/>
        <v/>
      </c>
      <c r="F11" s="44">
        <f t="shared" si="3"/>
        <v>68</v>
      </c>
      <c r="G11" s="20">
        <f t="shared" si="4"/>
        <v>156</v>
      </c>
      <c r="H11" s="20">
        <f>'2024 - Q2'!Q14+'2024 - Q2'!R14-G11</f>
        <v>0</v>
      </c>
      <c r="J11" s="12">
        <v>50.0</v>
      </c>
      <c r="K11" s="12">
        <v>11.0</v>
      </c>
      <c r="L11" s="12">
        <v>6.0</v>
      </c>
      <c r="M11" s="12">
        <v>1.0</v>
      </c>
      <c r="R11" s="20">
        <f t="shared" si="9"/>
        <v>68</v>
      </c>
      <c r="T11" s="196"/>
      <c r="U11" s="196"/>
      <c r="V11" s="196"/>
      <c r="W11" s="196"/>
      <c r="X11" s="196"/>
    </row>
    <row r="12">
      <c r="B12" s="8" t="s">
        <v>22</v>
      </c>
      <c r="D12" s="312">
        <f t="shared" ref="D12:E12" si="10">sum(D8:D11)</f>
        <v>224</v>
      </c>
      <c r="E12" s="312">
        <f t="shared" si="10"/>
        <v>2</v>
      </c>
      <c r="F12" s="239">
        <f t="shared" si="3"/>
        <v>226</v>
      </c>
      <c r="G12" s="239">
        <f t="shared" si="4"/>
        <v>490</v>
      </c>
      <c r="H12" s="239">
        <f>'2024 - Q2'!Q15+'2024 - Q2'!R15-G12</f>
        <v>0</v>
      </c>
      <c r="T12" s="196"/>
      <c r="U12" s="196"/>
      <c r="V12" s="196"/>
      <c r="W12" s="196"/>
      <c r="X12" s="196"/>
    </row>
    <row r="13">
      <c r="B13" s="12" t="s">
        <v>23</v>
      </c>
      <c r="D13" s="12">
        <f t="shared" ref="D13:D15" si="11">R13-N13</f>
        <v>32</v>
      </c>
      <c r="E13" s="20">
        <f t="shared" ref="E13:E15" si="12">N13</f>
        <v>23</v>
      </c>
      <c r="F13" s="44">
        <f t="shared" si="3"/>
        <v>55</v>
      </c>
      <c r="G13" s="20">
        <f t="shared" si="4"/>
        <v>127</v>
      </c>
      <c r="H13" s="20">
        <f>'2024 - Q2'!Q16+'2024 - Q2'!R16-G13</f>
        <v>0</v>
      </c>
      <c r="J13" s="12">
        <v>18.0</v>
      </c>
      <c r="K13" s="12">
        <v>8.0</v>
      </c>
      <c r="L13" s="12">
        <v>1.0</v>
      </c>
      <c r="M13" s="12">
        <v>4.0</v>
      </c>
      <c r="N13" s="12">
        <v>23.0</v>
      </c>
      <c r="P13" s="12">
        <v>1.0</v>
      </c>
      <c r="R13" s="20">
        <f t="shared" ref="R13:R15" si="13">sum(J13:Q13)</f>
        <v>55</v>
      </c>
      <c r="T13" s="196"/>
      <c r="U13" s="196"/>
      <c r="V13" s="196"/>
      <c r="W13" s="196"/>
      <c r="X13" s="196"/>
    </row>
    <row r="14">
      <c r="B14" s="12" t="s">
        <v>24</v>
      </c>
      <c r="D14" s="12">
        <f t="shared" si="11"/>
        <v>53</v>
      </c>
      <c r="E14" s="20" t="str">
        <f t="shared" si="12"/>
        <v/>
      </c>
      <c r="F14" s="44">
        <f t="shared" si="3"/>
        <v>53</v>
      </c>
      <c r="G14" s="20">
        <f t="shared" si="4"/>
        <v>112</v>
      </c>
      <c r="H14" s="20">
        <f>'2024 - Q2'!Q17+'2024 - Q2'!R17-G14</f>
        <v>0</v>
      </c>
      <c r="J14" s="12">
        <v>26.0</v>
      </c>
      <c r="K14" s="12">
        <v>15.0</v>
      </c>
      <c r="L14" s="12">
        <v>7.0</v>
      </c>
      <c r="M14" s="12">
        <v>5.0</v>
      </c>
      <c r="R14" s="20">
        <f t="shared" si="13"/>
        <v>53</v>
      </c>
      <c r="T14" s="196"/>
      <c r="U14" s="196"/>
      <c r="V14" s="196"/>
      <c r="W14" s="196"/>
      <c r="X14" s="196"/>
    </row>
    <row r="15">
      <c r="B15" s="12" t="s">
        <v>25</v>
      </c>
      <c r="D15" s="12">
        <f t="shared" si="11"/>
        <v>25</v>
      </c>
      <c r="E15" s="20" t="str">
        <f t="shared" si="12"/>
        <v/>
      </c>
      <c r="F15" s="44">
        <f t="shared" si="3"/>
        <v>25</v>
      </c>
      <c r="G15" s="20">
        <f t="shared" si="4"/>
        <v>47</v>
      </c>
      <c r="H15" s="20">
        <f>'2024 - Q2'!Q18+'2024 - Q2'!R18-G15</f>
        <v>0</v>
      </c>
      <c r="J15" s="12">
        <v>23.0</v>
      </c>
      <c r="K15" s="12">
        <v>2.0</v>
      </c>
      <c r="R15" s="20">
        <f t="shared" si="13"/>
        <v>25</v>
      </c>
      <c r="T15" s="196"/>
      <c r="U15" s="196"/>
      <c r="V15" s="196"/>
      <c r="W15" s="196"/>
      <c r="X15" s="196"/>
    </row>
    <row r="16">
      <c r="B16" s="8" t="s">
        <v>26</v>
      </c>
      <c r="D16" s="312">
        <f t="shared" ref="D16:E16" si="14">sum(D13:D15)</f>
        <v>110</v>
      </c>
      <c r="E16" s="312">
        <f t="shared" si="14"/>
        <v>23</v>
      </c>
      <c r="F16" s="239">
        <f t="shared" si="3"/>
        <v>133</v>
      </c>
      <c r="G16" s="239">
        <f t="shared" si="4"/>
        <v>286</v>
      </c>
      <c r="H16" s="239">
        <f>'2024 - Q2'!Q19+'2024 - Q2'!R19-G16</f>
        <v>0</v>
      </c>
      <c r="T16" s="196"/>
      <c r="U16" s="196"/>
      <c r="V16" s="196"/>
      <c r="W16" s="196"/>
      <c r="X16" s="196"/>
    </row>
    <row r="17">
      <c r="T17" s="196"/>
      <c r="U17" s="196"/>
      <c r="V17" s="196"/>
      <c r="W17" s="196"/>
      <c r="X17" s="196"/>
    </row>
    <row r="18">
      <c r="T18" s="196"/>
      <c r="U18" s="196"/>
      <c r="V18" s="196"/>
      <c r="W18" s="196"/>
      <c r="X18" s="196"/>
    </row>
    <row r="19">
      <c r="B19" s="8" t="s">
        <v>8</v>
      </c>
      <c r="D19" s="312">
        <f t="shared" ref="D19:E19" si="15">D16+D12+D7</f>
        <v>547</v>
      </c>
      <c r="E19" s="312">
        <f t="shared" si="15"/>
        <v>28</v>
      </c>
      <c r="F19" s="239">
        <f>sum(D19:E19)</f>
        <v>575</v>
      </c>
      <c r="G19" s="239">
        <f>F19+F42+F64</f>
        <v>1254</v>
      </c>
      <c r="H19" s="239">
        <f>'2024 - Q2'!Q22+'2024 - Q2'!R22-G19</f>
        <v>0</v>
      </c>
      <c r="T19" s="196"/>
      <c r="U19" s="196"/>
      <c r="V19" s="196"/>
      <c r="W19" s="196"/>
      <c r="X19" s="196"/>
    </row>
    <row r="20">
      <c r="T20" s="196"/>
      <c r="U20" s="196"/>
      <c r="V20" s="196"/>
      <c r="W20" s="196"/>
      <c r="X20" s="196"/>
    </row>
    <row r="21">
      <c r="T21" s="196"/>
      <c r="U21" s="196"/>
      <c r="V21" s="196"/>
      <c r="W21" s="196"/>
      <c r="X21" s="196"/>
    </row>
    <row r="22">
      <c r="T22" s="196"/>
      <c r="U22" s="196"/>
      <c r="V22" s="196"/>
      <c r="W22" s="196"/>
      <c r="X22" s="196"/>
    </row>
    <row r="23">
      <c r="T23" s="196" t="s">
        <v>184</v>
      </c>
    </row>
    <row r="24">
      <c r="B24" s="8" t="s">
        <v>185</v>
      </c>
      <c r="J24" s="8" t="s">
        <v>186</v>
      </c>
      <c r="K24" s="8" t="s">
        <v>186</v>
      </c>
      <c r="L24" s="8" t="s">
        <v>187</v>
      </c>
      <c r="M24" s="8" t="s">
        <v>187</v>
      </c>
      <c r="N24" s="8" t="s">
        <v>188</v>
      </c>
      <c r="O24" s="8" t="s">
        <v>188</v>
      </c>
      <c r="P24" s="8" t="s">
        <v>172</v>
      </c>
      <c r="Q24" s="8" t="s">
        <v>172</v>
      </c>
      <c r="T24" s="8" t="s">
        <v>189</v>
      </c>
    </row>
    <row r="25">
      <c r="B25" s="8" t="s">
        <v>180</v>
      </c>
      <c r="D25" s="179" t="s">
        <v>34</v>
      </c>
      <c r="E25" s="179" t="s">
        <v>36</v>
      </c>
      <c r="F25" s="8" t="s">
        <v>37</v>
      </c>
      <c r="H25" s="8" t="s">
        <v>180</v>
      </c>
      <c r="I25" s="12" t="s">
        <v>190</v>
      </c>
      <c r="J25" s="8" t="s">
        <v>191</v>
      </c>
      <c r="K25" s="8" t="s">
        <v>192</v>
      </c>
      <c r="L25" s="8" t="s">
        <v>191</v>
      </c>
      <c r="M25" s="8" t="s">
        <v>192</v>
      </c>
      <c r="N25" s="8" t="s">
        <v>191</v>
      </c>
      <c r="O25" s="8" t="s">
        <v>192</v>
      </c>
      <c r="P25" s="8" t="s">
        <v>191</v>
      </c>
      <c r="Q25" s="8" t="s">
        <v>192</v>
      </c>
      <c r="R25" s="8" t="s">
        <v>8</v>
      </c>
      <c r="T25" s="8" t="s">
        <v>180</v>
      </c>
      <c r="V25" s="179" t="s">
        <v>193</v>
      </c>
      <c r="W25" s="179"/>
      <c r="X25" s="8" t="s">
        <v>37</v>
      </c>
    </row>
    <row r="26">
      <c r="B26" s="12" t="s">
        <v>13</v>
      </c>
      <c r="D26" s="12">
        <v>50.0</v>
      </c>
      <c r="E26" s="12">
        <v>2.0</v>
      </c>
      <c r="F26" s="44">
        <f t="shared" ref="F26:F39" si="16">sum(D26:E26)</f>
        <v>52</v>
      </c>
      <c r="H26" s="12" t="s">
        <v>13</v>
      </c>
      <c r="I26" s="12">
        <v>5.0</v>
      </c>
      <c r="J26" s="41">
        <v>1.0</v>
      </c>
      <c r="K26" s="12">
        <v>1.0</v>
      </c>
      <c r="M26" s="12">
        <v>2.0</v>
      </c>
      <c r="P26" s="21">
        <f t="shared" ref="P26:P29" si="17">J26+L26+N26</f>
        <v>1</v>
      </c>
      <c r="Q26" s="20">
        <f t="shared" ref="Q26:Q29" si="18">O26+M26+K26</f>
        <v>3</v>
      </c>
      <c r="R26" s="21">
        <f t="shared" ref="R26:R29" si="19">P26+I26</f>
        <v>6</v>
      </c>
      <c r="T26" s="12" t="s">
        <v>13</v>
      </c>
      <c r="V26" s="12">
        <v>136.0</v>
      </c>
      <c r="X26" s="44">
        <f t="shared" ref="X26:X39" si="20">sum(V26:W26)</f>
        <v>136</v>
      </c>
    </row>
    <row r="27">
      <c r="B27" s="12" t="s">
        <v>14</v>
      </c>
      <c r="D27" s="12">
        <v>30.0</v>
      </c>
      <c r="E27" s="12">
        <v>1.0</v>
      </c>
      <c r="F27" s="44">
        <f t="shared" si="16"/>
        <v>31</v>
      </c>
      <c r="H27" s="12" t="s">
        <v>14</v>
      </c>
      <c r="I27" s="12">
        <v>3.0</v>
      </c>
      <c r="J27" s="41"/>
      <c r="K27" s="12">
        <v>1.0</v>
      </c>
      <c r="M27" s="12">
        <v>3.0</v>
      </c>
      <c r="O27" s="12">
        <v>1.0</v>
      </c>
      <c r="P27" s="21">
        <f t="shared" si="17"/>
        <v>0</v>
      </c>
      <c r="Q27" s="20">
        <f t="shared" si="18"/>
        <v>5</v>
      </c>
      <c r="R27" s="21">
        <f t="shared" si="19"/>
        <v>3</v>
      </c>
      <c r="T27" s="12" t="s">
        <v>14</v>
      </c>
      <c r="V27" s="12">
        <v>27.0</v>
      </c>
      <c r="X27" s="44">
        <f t="shared" si="20"/>
        <v>27</v>
      </c>
    </row>
    <row r="28">
      <c r="B28" s="12" t="s">
        <v>15</v>
      </c>
      <c r="D28" s="12">
        <v>15.0</v>
      </c>
      <c r="E28" s="12"/>
      <c r="F28" s="44">
        <f t="shared" si="16"/>
        <v>15</v>
      </c>
      <c r="H28" s="12" t="s">
        <v>15</v>
      </c>
      <c r="I28" s="12">
        <v>8.0</v>
      </c>
      <c r="J28" s="41"/>
      <c r="K28" s="12">
        <v>4.0</v>
      </c>
      <c r="P28" s="21">
        <f t="shared" si="17"/>
        <v>0</v>
      </c>
      <c r="Q28" s="20">
        <f t="shared" si="18"/>
        <v>4</v>
      </c>
      <c r="R28" s="21">
        <f t="shared" si="19"/>
        <v>8</v>
      </c>
      <c r="T28" s="12" t="s">
        <v>15</v>
      </c>
      <c r="X28" s="44">
        <f t="shared" si="20"/>
        <v>0</v>
      </c>
    </row>
    <row r="29">
      <c r="B29" s="12" t="s">
        <v>16</v>
      </c>
      <c r="D29" s="12">
        <v>27.0</v>
      </c>
      <c r="E29" s="12">
        <v>1.0</v>
      </c>
      <c r="F29" s="44">
        <f t="shared" si="16"/>
        <v>28</v>
      </c>
      <c r="H29" s="12" t="s">
        <v>16</v>
      </c>
      <c r="I29" s="12">
        <v>1.0</v>
      </c>
      <c r="J29" s="41"/>
      <c r="K29" s="12">
        <v>1.0</v>
      </c>
      <c r="L29" s="12">
        <v>1.0</v>
      </c>
      <c r="M29" s="12">
        <v>1.0</v>
      </c>
      <c r="O29" s="12">
        <v>4.0</v>
      </c>
      <c r="P29" s="21">
        <f t="shared" si="17"/>
        <v>1</v>
      </c>
      <c r="Q29" s="20">
        <f t="shared" si="18"/>
        <v>6</v>
      </c>
      <c r="R29" s="21">
        <f t="shared" si="19"/>
        <v>2</v>
      </c>
      <c r="T29" s="12" t="s">
        <v>16</v>
      </c>
      <c r="V29" s="12">
        <v>1.0</v>
      </c>
      <c r="X29" s="44">
        <f t="shared" si="20"/>
        <v>1</v>
      </c>
    </row>
    <row r="30">
      <c r="B30" s="8" t="s">
        <v>17</v>
      </c>
      <c r="D30" s="312">
        <f t="shared" ref="D30:E30" si="21">sum(D26:D29)</f>
        <v>122</v>
      </c>
      <c r="E30" s="312">
        <f t="shared" si="21"/>
        <v>4</v>
      </c>
      <c r="F30" s="239">
        <f t="shared" si="16"/>
        <v>126</v>
      </c>
      <c r="H30" s="8" t="s">
        <v>17</v>
      </c>
      <c r="I30" s="312">
        <f t="shared" ref="I30:R30" si="22">sum(I26:I29)</f>
        <v>17</v>
      </c>
      <c r="J30" s="312">
        <f t="shared" si="22"/>
        <v>1</v>
      </c>
      <c r="K30" s="312">
        <f t="shared" si="22"/>
        <v>7</v>
      </c>
      <c r="L30" s="312">
        <f t="shared" si="22"/>
        <v>1</v>
      </c>
      <c r="M30" s="312">
        <f t="shared" si="22"/>
        <v>6</v>
      </c>
      <c r="N30" s="312">
        <f t="shared" si="22"/>
        <v>0</v>
      </c>
      <c r="O30" s="312">
        <f t="shared" si="22"/>
        <v>5</v>
      </c>
      <c r="P30" s="312">
        <f t="shared" si="22"/>
        <v>2</v>
      </c>
      <c r="Q30" s="312">
        <f t="shared" si="22"/>
        <v>18</v>
      </c>
      <c r="R30" s="312">
        <f t="shared" si="22"/>
        <v>19</v>
      </c>
      <c r="T30" s="8" t="s">
        <v>17</v>
      </c>
      <c r="V30" s="312">
        <f t="shared" ref="V30:W30" si="23">sum(V26:V29)</f>
        <v>164</v>
      </c>
      <c r="W30" s="312">
        <f t="shared" si="23"/>
        <v>0</v>
      </c>
      <c r="X30" s="239">
        <f t="shared" si="20"/>
        <v>164</v>
      </c>
    </row>
    <row r="31">
      <c r="B31" s="12" t="s">
        <v>18</v>
      </c>
      <c r="D31" s="12">
        <v>40.0</v>
      </c>
      <c r="E31" s="12">
        <v>1.0</v>
      </c>
      <c r="F31" s="44">
        <f t="shared" si="16"/>
        <v>41</v>
      </c>
      <c r="H31" s="12" t="s">
        <v>18</v>
      </c>
      <c r="I31" s="12">
        <v>6.0</v>
      </c>
      <c r="J31" s="41"/>
      <c r="K31" s="12">
        <v>1.0</v>
      </c>
      <c r="O31" s="12">
        <v>1.0</v>
      </c>
      <c r="P31" s="21">
        <f t="shared" ref="P31:P34" si="24">J31+L31+N31</f>
        <v>0</v>
      </c>
      <c r="Q31" s="20">
        <f t="shared" ref="Q31:Q34" si="25">O31+M31+K31</f>
        <v>2</v>
      </c>
      <c r="R31" s="21">
        <f t="shared" ref="R31:R34" si="26">P31+I31</f>
        <v>6</v>
      </c>
      <c r="T31" s="12" t="s">
        <v>18</v>
      </c>
      <c r="V31" s="41"/>
      <c r="X31" s="239">
        <f t="shared" si="20"/>
        <v>0</v>
      </c>
    </row>
    <row r="32">
      <c r="B32" s="12" t="s">
        <v>19</v>
      </c>
      <c r="D32" s="12">
        <v>27.0</v>
      </c>
      <c r="E32" s="12"/>
      <c r="F32" s="44">
        <f t="shared" si="16"/>
        <v>27</v>
      </c>
      <c r="H32" s="12" t="s">
        <v>19</v>
      </c>
      <c r="I32" s="12">
        <v>2.0</v>
      </c>
      <c r="J32" s="41"/>
      <c r="K32" s="12">
        <v>5.0</v>
      </c>
      <c r="O32" s="12">
        <v>1.0</v>
      </c>
      <c r="P32" s="21">
        <f t="shared" si="24"/>
        <v>0</v>
      </c>
      <c r="Q32" s="20">
        <f t="shared" si="25"/>
        <v>6</v>
      </c>
      <c r="R32" s="21">
        <f t="shared" si="26"/>
        <v>2</v>
      </c>
      <c r="T32" s="12" t="s">
        <v>19</v>
      </c>
      <c r="V32" s="41">
        <v>19.0</v>
      </c>
      <c r="X32" s="239">
        <f t="shared" si="20"/>
        <v>19</v>
      </c>
    </row>
    <row r="33">
      <c r="B33" s="12" t="s">
        <v>20</v>
      </c>
      <c r="D33" s="12">
        <v>24.0</v>
      </c>
      <c r="E33" s="12">
        <v>0.0</v>
      </c>
      <c r="F33" s="44">
        <f t="shared" si="16"/>
        <v>24</v>
      </c>
      <c r="H33" s="12" t="s">
        <v>20</v>
      </c>
      <c r="I33" s="12">
        <v>2.0</v>
      </c>
      <c r="J33" s="41"/>
      <c r="K33" s="12">
        <v>3.0</v>
      </c>
      <c r="N33" s="12">
        <v>1.0</v>
      </c>
      <c r="P33" s="21">
        <f t="shared" si="24"/>
        <v>1</v>
      </c>
      <c r="Q33" s="20">
        <f t="shared" si="25"/>
        <v>3</v>
      </c>
      <c r="R33" s="21">
        <f t="shared" si="26"/>
        <v>3</v>
      </c>
      <c r="T33" s="12" t="s">
        <v>20</v>
      </c>
      <c r="V33" s="41"/>
      <c r="X33" s="239">
        <f t="shared" si="20"/>
        <v>0</v>
      </c>
    </row>
    <row r="34">
      <c r="B34" s="12" t="s">
        <v>21</v>
      </c>
      <c r="D34" s="12">
        <v>43.0</v>
      </c>
      <c r="E34" s="12"/>
      <c r="F34" s="44">
        <f t="shared" si="16"/>
        <v>43</v>
      </c>
      <c r="H34" s="12" t="s">
        <v>21</v>
      </c>
      <c r="I34" s="12">
        <v>7.0</v>
      </c>
      <c r="J34" s="41">
        <v>1.0</v>
      </c>
      <c r="M34" s="12">
        <v>1.0</v>
      </c>
      <c r="O34" s="12">
        <v>3.0</v>
      </c>
      <c r="P34" s="21">
        <f t="shared" si="24"/>
        <v>1</v>
      </c>
      <c r="Q34" s="20">
        <f t="shared" si="25"/>
        <v>4</v>
      </c>
      <c r="R34" s="21">
        <f t="shared" si="26"/>
        <v>8</v>
      </c>
      <c r="T34" s="12" t="s">
        <v>21</v>
      </c>
      <c r="V34" s="41"/>
      <c r="X34" s="239">
        <f t="shared" si="20"/>
        <v>0</v>
      </c>
    </row>
    <row r="35">
      <c r="B35" s="8" t="s">
        <v>22</v>
      </c>
      <c r="D35" s="312">
        <f t="shared" ref="D35:E35" si="27">sum(D31:D34)</f>
        <v>134</v>
      </c>
      <c r="E35" s="312">
        <f t="shared" si="27"/>
        <v>1</v>
      </c>
      <c r="F35" s="239">
        <f t="shared" si="16"/>
        <v>135</v>
      </c>
      <c r="H35" s="8" t="s">
        <v>22</v>
      </c>
      <c r="I35" s="312">
        <f t="shared" ref="I35:R35" si="28">sum(I31:I34)</f>
        <v>17</v>
      </c>
      <c r="J35" s="312">
        <f t="shared" si="28"/>
        <v>1</v>
      </c>
      <c r="K35" s="312">
        <f t="shared" si="28"/>
        <v>9</v>
      </c>
      <c r="L35" s="312">
        <f t="shared" si="28"/>
        <v>0</v>
      </c>
      <c r="M35" s="312">
        <f t="shared" si="28"/>
        <v>1</v>
      </c>
      <c r="N35" s="312">
        <f t="shared" si="28"/>
        <v>1</v>
      </c>
      <c r="O35" s="312">
        <f t="shared" si="28"/>
        <v>5</v>
      </c>
      <c r="P35" s="312">
        <f t="shared" si="28"/>
        <v>2</v>
      </c>
      <c r="Q35" s="312">
        <f t="shared" si="28"/>
        <v>15</v>
      </c>
      <c r="R35" s="312">
        <f t="shared" si="28"/>
        <v>19</v>
      </c>
      <c r="T35" s="8" t="s">
        <v>22</v>
      </c>
      <c r="V35" s="312">
        <f t="shared" ref="V35:W35" si="29">sum(V31:V34)</f>
        <v>19</v>
      </c>
      <c r="W35" s="312">
        <f t="shared" si="29"/>
        <v>0</v>
      </c>
      <c r="X35" s="239">
        <f t="shared" si="20"/>
        <v>19</v>
      </c>
    </row>
    <row r="36">
      <c r="B36" s="12" t="s">
        <v>23</v>
      </c>
      <c r="D36" s="12">
        <v>27.0</v>
      </c>
      <c r="E36" s="12">
        <v>7.0</v>
      </c>
      <c r="F36" s="44">
        <f t="shared" si="16"/>
        <v>34</v>
      </c>
      <c r="H36" s="12" t="s">
        <v>23</v>
      </c>
      <c r="I36" s="12">
        <v>3.0</v>
      </c>
      <c r="J36" s="41"/>
      <c r="K36" s="12">
        <v>8.0</v>
      </c>
      <c r="M36" s="12">
        <v>1.0</v>
      </c>
      <c r="P36" s="21">
        <f t="shared" ref="P36:P38" si="30">J36+L36+N36</f>
        <v>0</v>
      </c>
      <c r="Q36" s="20">
        <f t="shared" ref="Q36:Q38" si="31">O36+M36+K36</f>
        <v>9</v>
      </c>
      <c r="R36" s="21">
        <f t="shared" ref="R36:R38" si="32">P36+I36</f>
        <v>3</v>
      </c>
      <c r="T36" s="12" t="s">
        <v>23</v>
      </c>
      <c r="V36" s="41">
        <v>64.0</v>
      </c>
      <c r="X36" s="239">
        <f t="shared" si="20"/>
        <v>64</v>
      </c>
    </row>
    <row r="37">
      <c r="B37" s="12" t="s">
        <v>24</v>
      </c>
      <c r="D37" s="12">
        <v>32.0</v>
      </c>
      <c r="E37" s="12">
        <v>1.0</v>
      </c>
      <c r="F37" s="44">
        <f t="shared" si="16"/>
        <v>33</v>
      </c>
      <c r="H37" s="12" t="s">
        <v>24</v>
      </c>
      <c r="I37" s="12">
        <v>4.0</v>
      </c>
      <c r="J37" s="41"/>
      <c r="K37" s="12">
        <v>2.0</v>
      </c>
      <c r="M37" s="12">
        <v>1.0</v>
      </c>
      <c r="P37" s="21">
        <f t="shared" si="30"/>
        <v>0</v>
      </c>
      <c r="Q37" s="20">
        <f t="shared" si="31"/>
        <v>3</v>
      </c>
      <c r="R37" s="21">
        <f t="shared" si="32"/>
        <v>4</v>
      </c>
      <c r="T37" s="12" t="s">
        <v>24</v>
      </c>
      <c r="V37" s="41"/>
      <c r="X37" s="239">
        <f t="shared" si="20"/>
        <v>0</v>
      </c>
    </row>
    <row r="38">
      <c r="B38" s="12" t="s">
        <v>25</v>
      </c>
      <c r="D38" s="12">
        <v>12.0</v>
      </c>
      <c r="E38" s="12"/>
      <c r="F38" s="44">
        <f t="shared" si="16"/>
        <v>12</v>
      </c>
      <c r="H38" s="12" t="s">
        <v>25</v>
      </c>
      <c r="I38" s="12">
        <v>1.0</v>
      </c>
      <c r="J38" s="41"/>
      <c r="N38" s="12">
        <v>1.0</v>
      </c>
      <c r="P38" s="21">
        <f t="shared" si="30"/>
        <v>1</v>
      </c>
      <c r="Q38" s="20">
        <f t="shared" si="31"/>
        <v>0</v>
      </c>
      <c r="R38" s="21">
        <f t="shared" si="32"/>
        <v>2</v>
      </c>
      <c r="T38" s="12" t="s">
        <v>25</v>
      </c>
      <c r="V38" s="41"/>
      <c r="X38" s="239">
        <f t="shared" si="20"/>
        <v>0</v>
      </c>
    </row>
    <row r="39">
      <c r="B39" s="8" t="s">
        <v>26</v>
      </c>
      <c r="D39" s="312">
        <f t="shared" ref="D39:E39" si="33">sum(D36:D38)</f>
        <v>71</v>
      </c>
      <c r="E39" s="312">
        <f t="shared" si="33"/>
        <v>8</v>
      </c>
      <c r="F39" s="239">
        <f t="shared" si="16"/>
        <v>79</v>
      </c>
      <c r="H39" s="8" t="s">
        <v>26</v>
      </c>
      <c r="I39" s="312">
        <f t="shared" ref="I39:R39" si="34">sum(I36:I38)</f>
        <v>8</v>
      </c>
      <c r="J39" s="312">
        <f t="shared" si="34"/>
        <v>0</v>
      </c>
      <c r="K39" s="312">
        <f t="shared" si="34"/>
        <v>10</v>
      </c>
      <c r="L39" s="312">
        <f t="shared" si="34"/>
        <v>0</v>
      </c>
      <c r="M39" s="312">
        <f t="shared" si="34"/>
        <v>2</v>
      </c>
      <c r="N39" s="312">
        <f t="shared" si="34"/>
        <v>1</v>
      </c>
      <c r="O39" s="312">
        <f t="shared" si="34"/>
        <v>0</v>
      </c>
      <c r="P39" s="312">
        <f t="shared" si="34"/>
        <v>1</v>
      </c>
      <c r="Q39" s="312">
        <f t="shared" si="34"/>
        <v>12</v>
      </c>
      <c r="R39" s="312">
        <f t="shared" si="34"/>
        <v>9</v>
      </c>
      <c r="T39" s="8" t="s">
        <v>26</v>
      </c>
      <c r="V39" s="312">
        <f t="shared" ref="V39:W39" si="35">sum(V36:V38)</f>
        <v>64</v>
      </c>
      <c r="W39" s="312">
        <f t="shared" si="35"/>
        <v>0</v>
      </c>
      <c r="X39" s="239">
        <f t="shared" si="20"/>
        <v>64</v>
      </c>
    </row>
    <row r="42">
      <c r="B42" s="8" t="s">
        <v>8</v>
      </c>
      <c r="D42" s="312">
        <f t="shared" ref="D42:E42" si="36">D39+D35+D30</f>
        <v>327</v>
      </c>
      <c r="E42" s="312">
        <f t="shared" si="36"/>
        <v>13</v>
      </c>
      <c r="F42" s="239">
        <f>sum(D42:E42)</f>
        <v>340</v>
      </c>
      <c r="H42" s="8" t="s">
        <v>8</v>
      </c>
      <c r="I42" s="312">
        <f t="shared" ref="I42:R42" si="37">I39+I35+I30</f>
        <v>42</v>
      </c>
      <c r="J42" s="312">
        <f t="shared" si="37"/>
        <v>2</v>
      </c>
      <c r="K42" s="312">
        <f t="shared" si="37"/>
        <v>26</v>
      </c>
      <c r="L42" s="312">
        <f t="shared" si="37"/>
        <v>1</v>
      </c>
      <c r="M42" s="312">
        <f t="shared" si="37"/>
        <v>9</v>
      </c>
      <c r="N42" s="312">
        <f t="shared" si="37"/>
        <v>2</v>
      </c>
      <c r="O42" s="312">
        <f t="shared" si="37"/>
        <v>10</v>
      </c>
      <c r="P42" s="312">
        <f t="shared" si="37"/>
        <v>5</v>
      </c>
      <c r="Q42" s="312">
        <f t="shared" si="37"/>
        <v>45</v>
      </c>
      <c r="R42" s="312">
        <f t="shared" si="37"/>
        <v>47</v>
      </c>
      <c r="T42" s="8" t="s">
        <v>8</v>
      </c>
      <c r="V42" s="312">
        <f t="shared" ref="V42:W42" si="38">V39+V35+V30</f>
        <v>247</v>
      </c>
      <c r="W42" s="312">
        <f t="shared" si="38"/>
        <v>0</v>
      </c>
      <c r="X42" s="239">
        <f>sum(V42:W42)</f>
        <v>247</v>
      </c>
    </row>
    <row r="44">
      <c r="H44" s="8" t="s">
        <v>194</v>
      </c>
      <c r="O44" s="313"/>
      <c r="P44" s="314">
        <f>P42+'2024 - Q2'!Z22</f>
        <v>47</v>
      </c>
      <c r="Q44" s="8"/>
      <c r="R44" s="8" t="s">
        <v>195</v>
      </c>
      <c r="T44" s="8" t="s">
        <v>150</v>
      </c>
      <c r="X44" s="315">
        <f>X42+F19</f>
        <v>822</v>
      </c>
      <c r="Y44" s="8">
        <v>824.0</v>
      </c>
      <c r="AA44" s="8"/>
    </row>
    <row r="46">
      <c r="B46" s="8" t="s">
        <v>196</v>
      </c>
      <c r="T46" s="196" t="s">
        <v>184</v>
      </c>
    </row>
    <row r="47">
      <c r="B47" s="8" t="s">
        <v>180</v>
      </c>
      <c r="D47" s="179" t="s">
        <v>34</v>
      </c>
      <c r="E47" s="179" t="s">
        <v>36</v>
      </c>
      <c r="F47" s="8" t="s">
        <v>37</v>
      </c>
      <c r="T47" s="8" t="s">
        <v>197</v>
      </c>
    </row>
    <row r="48">
      <c r="B48" s="12" t="s">
        <v>13</v>
      </c>
      <c r="D48" s="12">
        <v>33.0</v>
      </c>
      <c r="E48" s="12">
        <v>1.0</v>
      </c>
      <c r="F48" s="44">
        <f t="shared" ref="F48:F61" si="39">sum(D48:E48)</f>
        <v>34</v>
      </c>
      <c r="T48" s="8" t="s">
        <v>180</v>
      </c>
      <c r="V48" s="179" t="s">
        <v>193</v>
      </c>
      <c r="W48" s="179"/>
      <c r="X48" s="8" t="s">
        <v>37</v>
      </c>
    </row>
    <row r="49">
      <c r="B49" s="12" t="s">
        <v>14</v>
      </c>
      <c r="D49" s="12">
        <v>45.0</v>
      </c>
      <c r="E49" s="12">
        <v>1.0</v>
      </c>
      <c r="F49" s="44">
        <f t="shared" si="39"/>
        <v>46</v>
      </c>
      <c r="T49" s="12" t="s">
        <v>13</v>
      </c>
      <c r="V49" s="12">
        <v>89.0</v>
      </c>
      <c r="X49" s="44">
        <f t="shared" ref="X49:X62" si="40">sum(V49:W49)</f>
        <v>89</v>
      </c>
    </row>
    <row r="50">
      <c r="B50" s="12" t="s">
        <v>15</v>
      </c>
      <c r="D50" s="12">
        <v>34.0</v>
      </c>
      <c r="E50" s="12">
        <v>1.0</v>
      </c>
      <c r="F50" s="44">
        <f t="shared" si="39"/>
        <v>35</v>
      </c>
      <c r="T50" s="12" t="s">
        <v>14</v>
      </c>
      <c r="V50" s="12">
        <f>12-V73</f>
        <v>5</v>
      </c>
      <c r="X50" s="44">
        <f t="shared" si="40"/>
        <v>5</v>
      </c>
    </row>
    <row r="51">
      <c r="B51" s="12" t="s">
        <v>16</v>
      </c>
      <c r="D51" s="12">
        <v>21.0</v>
      </c>
      <c r="E51" s="12"/>
      <c r="F51" s="44">
        <f t="shared" si="39"/>
        <v>21</v>
      </c>
      <c r="T51" s="12" t="s">
        <v>15</v>
      </c>
      <c r="X51" s="44">
        <f t="shared" si="40"/>
        <v>0</v>
      </c>
    </row>
    <row r="52">
      <c r="B52" s="8" t="s">
        <v>17</v>
      </c>
      <c r="D52" s="312">
        <f t="shared" ref="D52:E52" si="41">sum(D48:D51)</f>
        <v>133</v>
      </c>
      <c r="E52" s="312">
        <f t="shared" si="41"/>
        <v>3</v>
      </c>
      <c r="F52" s="239">
        <f t="shared" si="39"/>
        <v>136</v>
      </c>
      <c r="T52" s="12" t="s">
        <v>16</v>
      </c>
      <c r="X52" s="44">
        <f t="shared" si="40"/>
        <v>0</v>
      </c>
    </row>
    <row r="53">
      <c r="B53" s="12" t="s">
        <v>18</v>
      </c>
      <c r="D53" s="149">
        <v>13.0</v>
      </c>
      <c r="E53" s="149"/>
      <c r="F53" s="44">
        <f t="shared" si="39"/>
        <v>13</v>
      </c>
      <c r="T53" s="8" t="s">
        <v>17</v>
      </c>
      <c r="V53" s="312">
        <f t="shared" ref="V53:W53" si="42">sum(V49:V52)</f>
        <v>94</v>
      </c>
      <c r="W53" s="312">
        <f t="shared" si="42"/>
        <v>0</v>
      </c>
      <c r="X53" s="239">
        <f t="shared" si="40"/>
        <v>94</v>
      </c>
    </row>
    <row r="54">
      <c r="B54" s="12" t="s">
        <v>19</v>
      </c>
      <c r="D54" s="149">
        <v>29.0</v>
      </c>
      <c r="E54" s="149">
        <v>2.0</v>
      </c>
      <c r="F54" s="44">
        <f t="shared" si="39"/>
        <v>31</v>
      </c>
      <c r="T54" s="12" t="s">
        <v>18</v>
      </c>
      <c r="V54" s="41"/>
      <c r="X54" s="239">
        <f t="shared" si="40"/>
        <v>0</v>
      </c>
    </row>
    <row r="55">
      <c r="B55" s="12" t="s">
        <v>20</v>
      </c>
      <c r="D55" s="149">
        <v>40.0</v>
      </c>
      <c r="E55" s="149"/>
      <c r="F55" s="44">
        <f t="shared" si="39"/>
        <v>40</v>
      </c>
      <c r="T55" s="12" t="s">
        <v>19</v>
      </c>
      <c r="V55" s="41">
        <f>54-V78</f>
        <v>30</v>
      </c>
      <c r="X55" s="239">
        <f t="shared" si="40"/>
        <v>30</v>
      </c>
    </row>
    <row r="56">
      <c r="B56" s="12" t="s">
        <v>21</v>
      </c>
      <c r="D56" s="149">
        <v>45.0</v>
      </c>
      <c r="E56" s="149"/>
      <c r="F56" s="44">
        <f t="shared" si="39"/>
        <v>45</v>
      </c>
      <c r="T56" s="12" t="s">
        <v>20</v>
      </c>
      <c r="V56" s="41"/>
      <c r="X56" s="239">
        <f t="shared" si="40"/>
        <v>0</v>
      </c>
    </row>
    <row r="57">
      <c r="B57" s="8" t="s">
        <v>22</v>
      </c>
      <c r="D57" s="312">
        <f t="shared" ref="D57:E57" si="43">sum(D53:D56)</f>
        <v>127</v>
      </c>
      <c r="E57" s="312">
        <f t="shared" si="43"/>
        <v>2</v>
      </c>
      <c r="F57" s="239">
        <f t="shared" si="39"/>
        <v>129</v>
      </c>
      <c r="T57" s="12" t="s">
        <v>21</v>
      </c>
      <c r="V57" s="41"/>
      <c r="X57" s="239">
        <f t="shared" si="40"/>
        <v>0</v>
      </c>
    </row>
    <row r="58">
      <c r="B58" s="12" t="s">
        <v>23</v>
      </c>
      <c r="D58" s="149">
        <v>29.0</v>
      </c>
      <c r="E58" s="149">
        <v>9.0</v>
      </c>
      <c r="F58" s="44">
        <f t="shared" si="39"/>
        <v>38</v>
      </c>
      <c r="T58" s="8" t="s">
        <v>22</v>
      </c>
      <c r="V58" s="312">
        <f t="shared" ref="V58:W58" si="44">sum(V54:V57)</f>
        <v>30</v>
      </c>
      <c r="W58" s="312">
        <f t="shared" si="44"/>
        <v>0</v>
      </c>
      <c r="X58" s="239">
        <f t="shared" si="40"/>
        <v>30</v>
      </c>
    </row>
    <row r="59">
      <c r="B59" s="12" t="s">
        <v>24</v>
      </c>
      <c r="D59" s="149">
        <v>26.0</v>
      </c>
      <c r="E59" s="149"/>
      <c r="F59" s="44">
        <f t="shared" si="39"/>
        <v>26</v>
      </c>
      <c r="T59" s="12" t="s">
        <v>23</v>
      </c>
      <c r="V59" s="41">
        <f>75-V82</f>
        <v>42</v>
      </c>
      <c r="X59" s="239">
        <f t="shared" si="40"/>
        <v>42</v>
      </c>
    </row>
    <row r="60">
      <c r="B60" s="12" t="s">
        <v>25</v>
      </c>
      <c r="D60" s="149">
        <v>10.0</v>
      </c>
      <c r="E60" s="149"/>
      <c r="F60" s="44">
        <f t="shared" si="39"/>
        <v>10</v>
      </c>
      <c r="T60" s="12" t="s">
        <v>24</v>
      </c>
      <c r="V60" s="41"/>
      <c r="X60" s="239">
        <f t="shared" si="40"/>
        <v>0</v>
      </c>
    </row>
    <row r="61">
      <c r="B61" s="8" t="s">
        <v>26</v>
      </c>
      <c r="D61" s="312">
        <f t="shared" ref="D61:E61" si="45">sum(D58:D60)</f>
        <v>65</v>
      </c>
      <c r="E61" s="312">
        <f t="shared" si="45"/>
        <v>9</v>
      </c>
      <c r="F61" s="239">
        <f t="shared" si="39"/>
        <v>74</v>
      </c>
      <c r="T61" s="12" t="s">
        <v>25</v>
      </c>
      <c r="V61" s="41">
        <f>1-V84</f>
        <v>1</v>
      </c>
      <c r="X61" s="239">
        <f t="shared" si="40"/>
        <v>1</v>
      </c>
    </row>
    <row r="62">
      <c r="T62" s="8" t="s">
        <v>26</v>
      </c>
      <c r="V62" s="312">
        <f t="shared" ref="V62:W62" si="46">sum(V59:V61)</f>
        <v>43</v>
      </c>
      <c r="W62" s="312">
        <f t="shared" si="46"/>
        <v>0</v>
      </c>
      <c r="X62" s="239">
        <f t="shared" si="40"/>
        <v>43</v>
      </c>
    </row>
    <row r="64">
      <c r="B64" s="8" t="s">
        <v>8</v>
      </c>
      <c r="D64" s="312">
        <f t="shared" ref="D64:E64" si="47">D61+D57+D52</f>
        <v>325</v>
      </c>
      <c r="E64" s="312">
        <f t="shared" si="47"/>
        <v>14</v>
      </c>
      <c r="F64" s="239">
        <f>sum(D64:E64)</f>
        <v>339</v>
      </c>
    </row>
    <row r="65">
      <c r="T65" s="8" t="s">
        <v>8</v>
      </c>
      <c r="V65" s="312">
        <f t="shared" ref="V65:W65" si="48">V62+V58+V53</f>
        <v>167</v>
      </c>
      <c r="W65" s="312">
        <f t="shared" si="48"/>
        <v>0</v>
      </c>
      <c r="X65" s="239">
        <f>sum(V65:W65)</f>
        <v>167</v>
      </c>
    </row>
    <row r="67">
      <c r="T67" s="8" t="s">
        <v>150</v>
      </c>
      <c r="X67" s="315">
        <f>X65+F42</f>
        <v>507</v>
      </c>
      <c r="Y67" s="8">
        <v>506.0</v>
      </c>
    </row>
    <row r="69">
      <c r="T69" s="196" t="s">
        <v>184</v>
      </c>
    </row>
    <row r="70">
      <c r="T70" s="8" t="s">
        <v>198</v>
      </c>
    </row>
    <row r="71">
      <c r="T71" s="8" t="s">
        <v>180</v>
      </c>
      <c r="V71" s="179" t="s">
        <v>193</v>
      </c>
      <c r="W71" s="179"/>
      <c r="X71" s="8" t="s">
        <v>37</v>
      </c>
    </row>
    <row r="72">
      <c r="T72" s="12" t="s">
        <v>13</v>
      </c>
      <c r="V72" s="12">
        <v>78.0</v>
      </c>
      <c r="X72" s="44">
        <f t="shared" ref="X72:X85" si="49">sum(V72:W72)</f>
        <v>78</v>
      </c>
    </row>
    <row r="73">
      <c r="T73" s="12" t="s">
        <v>14</v>
      </c>
      <c r="V73" s="12">
        <v>7.0</v>
      </c>
      <c r="X73" s="44">
        <f t="shared" si="49"/>
        <v>7</v>
      </c>
    </row>
    <row r="74">
      <c r="T74" s="12" t="s">
        <v>15</v>
      </c>
      <c r="X74" s="44">
        <f t="shared" si="49"/>
        <v>0</v>
      </c>
    </row>
    <row r="75">
      <c r="T75" s="12" t="s">
        <v>16</v>
      </c>
      <c r="X75" s="44">
        <f t="shared" si="49"/>
        <v>0</v>
      </c>
    </row>
    <row r="76">
      <c r="T76" s="8" t="s">
        <v>17</v>
      </c>
      <c r="V76" s="312">
        <f t="shared" ref="V76:W76" si="50">sum(V72:V75)</f>
        <v>85</v>
      </c>
      <c r="W76" s="312">
        <f t="shared" si="50"/>
        <v>0</v>
      </c>
      <c r="X76" s="239">
        <f t="shared" si="49"/>
        <v>85</v>
      </c>
      <c r="Z76" s="239"/>
    </row>
    <row r="77">
      <c r="T77" s="12" t="s">
        <v>18</v>
      </c>
      <c r="V77" s="41"/>
      <c r="X77" s="239">
        <f t="shared" si="49"/>
        <v>0</v>
      </c>
    </row>
    <row r="78">
      <c r="T78" s="12" t="s">
        <v>19</v>
      </c>
      <c r="V78" s="41">
        <v>24.0</v>
      </c>
      <c r="X78" s="239">
        <f t="shared" si="49"/>
        <v>24</v>
      </c>
    </row>
    <row r="79">
      <c r="T79" s="12" t="s">
        <v>20</v>
      </c>
      <c r="V79" s="41"/>
      <c r="X79" s="239">
        <f t="shared" si="49"/>
        <v>0</v>
      </c>
    </row>
    <row r="80">
      <c r="T80" s="12" t="s">
        <v>21</v>
      </c>
      <c r="V80" s="41"/>
      <c r="X80" s="239">
        <f t="shared" si="49"/>
        <v>0</v>
      </c>
    </row>
    <row r="81">
      <c r="T81" s="8" t="s">
        <v>22</v>
      </c>
      <c r="V81" s="312">
        <f t="shared" ref="V81:W81" si="51">sum(V77:V80)</f>
        <v>24</v>
      </c>
      <c r="W81" s="312">
        <f t="shared" si="51"/>
        <v>0</v>
      </c>
      <c r="X81" s="239">
        <f t="shared" si="49"/>
        <v>24</v>
      </c>
    </row>
    <row r="82">
      <c r="T82" s="12" t="s">
        <v>23</v>
      </c>
      <c r="V82" s="41">
        <v>33.0</v>
      </c>
      <c r="X82" s="239">
        <f t="shared" si="49"/>
        <v>33</v>
      </c>
    </row>
    <row r="83">
      <c r="T83" s="12" t="s">
        <v>24</v>
      </c>
      <c r="V83" s="41"/>
      <c r="X83" s="239">
        <f t="shared" si="49"/>
        <v>0</v>
      </c>
    </row>
    <row r="84">
      <c r="T84" s="12" t="s">
        <v>25</v>
      </c>
      <c r="V84" s="41"/>
      <c r="X84" s="239">
        <f t="shared" si="49"/>
        <v>0</v>
      </c>
    </row>
    <row r="85">
      <c r="T85" s="8" t="s">
        <v>26</v>
      </c>
      <c r="V85" s="312">
        <f t="shared" ref="V85:W85" si="52">sum(V82:V84)</f>
        <v>33</v>
      </c>
      <c r="W85" s="312">
        <f t="shared" si="52"/>
        <v>0</v>
      </c>
      <c r="X85" s="239">
        <f t="shared" si="49"/>
        <v>33</v>
      </c>
    </row>
    <row r="88">
      <c r="T88" s="8" t="s">
        <v>8</v>
      </c>
      <c r="V88" s="312">
        <f t="shared" ref="V88:W88" si="53">V85+V81+V76</f>
        <v>142</v>
      </c>
      <c r="W88" s="312">
        <f t="shared" si="53"/>
        <v>0</v>
      </c>
      <c r="X88" s="239">
        <f>sum(V88:W88)</f>
        <v>142</v>
      </c>
    </row>
    <row r="90">
      <c r="T90" s="8" t="s">
        <v>150</v>
      </c>
      <c r="X90" s="315">
        <f>X88+F64</f>
        <v>481</v>
      </c>
      <c r="Y90" s="8">
        <v>480.0</v>
      </c>
    </row>
    <row r="92">
      <c r="X92" s="239">
        <f t="shared" ref="X92:Y92" si="54">X90+X67+X44</f>
        <v>1810</v>
      </c>
      <c r="Y92" s="44">
        <f t="shared" si="54"/>
        <v>1810</v>
      </c>
    </row>
  </sheetData>
  <mergeCells count="3">
    <mergeCell ref="T23:X23"/>
    <mergeCell ref="T46:X46"/>
    <mergeCell ref="T69:X6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8"/>
      <c r="H1" s="8" t="s">
        <v>88</v>
      </c>
      <c r="I1" s="8" t="s">
        <v>89</v>
      </c>
      <c r="J1" s="8" t="s">
        <v>90</v>
      </c>
      <c r="N1" s="8"/>
      <c r="T1" s="8"/>
      <c r="Z1" s="8"/>
    </row>
    <row r="2">
      <c r="B2" s="8" t="s">
        <v>199</v>
      </c>
      <c r="G2" s="31" t="s">
        <v>13</v>
      </c>
      <c r="H2" s="41">
        <f t="shared" ref="H2:J2" si="1">B7</f>
        <v>34</v>
      </c>
      <c r="I2" s="41">
        <f t="shared" si="1"/>
        <v>40</v>
      </c>
      <c r="J2" s="41">
        <f t="shared" si="1"/>
        <v>25</v>
      </c>
      <c r="N2" s="8"/>
      <c r="T2" s="8"/>
      <c r="Z2" s="8"/>
    </row>
    <row r="3">
      <c r="B3" s="8" t="s">
        <v>88</v>
      </c>
      <c r="C3" s="8" t="s">
        <v>89</v>
      </c>
      <c r="D3" s="8" t="s">
        <v>90</v>
      </c>
      <c r="E3" s="8" t="s">
        <v>37</v>
      </c>
      <c r="G3" s="31" t="s">
        <v>14</v>
      </c>
      <c r="H3" s="41">
        <f t="shared" ref="H3:J3" si="2">B4</f>
        <v>28</v>
      </c>
      <c r="I3" s="41">
        <f t="shared" si="2"/>
        <v>37</v>
      </c>
      <c r="J3" s="41">
        <f t="shared" si="2"/>
        <v>29</v>
      </c>
      <c r="N3" s="8"/>
      <c r="T3" s="8"/>
      <c r="Z3" s="8"/>
    </row>
    <row r="4">
      <c r="A4" s="12" t="s">
        <v>14</v>
      </c>
      <c r="B4" s="41">
        <v>28.0</v>
      </c>
      <c r="C4" s="41">
        <v>37.0</v>
      </c>
      <c r="D4" s="41">
        <v>29.0</v>
      </c>
      <c r="E4" s="239">
        <f t="shared" ref="E4:E15" si="4">sum(B4:D4)</f>
        <v>94</v>
      </c>
      <c r="G4" s="31" t="s">
        <v>15</v>
      </c>
      <c r="H4" s="41">
        <f t="shared" ref="H4:J4" si="3">B5</f>
        <v>19</v>
      </c>
      <c r="I4" s="41">
        <f t="shared" si="3"/>
        <v>26</v>
      </c>
      <c r="J4" s="41">
        <f t="shared" si="3"/>
        <v>20</v>
      </c>
      <c r="N4" s="8"/>
      <c r="T4" s="8"/>
      <c r="Z4" s="8"/>
    </row>
    <row r="5">
      <c r="A5" s="12" t="s">
        <v>15</v>
      </c>
      <c r="B5" s="41">
        <v>19.0</v>
      </c>
      <c r="C5" s="41">
        <v>26.0</v>
      </c>
      <c r="D5" s="41">
        <v>20.0</v>
      </c>
      <c r="E5" s="239">
        <f t="shared" si="4"/>
        <v>65</v>
      </c>
      <c r="G5" s="31" t="s">
        <v>16</v>
      </c>
      <c r="H5" s="41">
        <f t="shared" ref="H5:J5" si="5">B6</f>
        <v>26</v>
      </c>
      <c r="I5" s="41">
        <f t="shared" si="5"/>
        <v>34</v>
      </c>
      <c r="J5" s="41">
        <f t="shared" si="5"/>
        <v>24</v>
      </c>
      <c r="N5" s="8"/>
      <c r="T5" s="8"/>
      <c r="Z5" s="8"/>
    </row>
    <row r="6">
      <c r="A6" s="12" t="s">
        <v>16</v>
      </c>
      <c r="B6" s="41">
        <v>26.0</v>
      </c>
      <c r="C6" s="41">
        <v>34.0</v>
      </c>
      <c r="D6" s="41">
        <v>24.0</v>
      </c>
      <c r="E6" s="239">
        <f t="shared" si="4"/>
        <v>84</v>
      </c>
      <c r="G6" s="199" t="s">
        <v>17</v>
      </c>
      <c r="H6" s="12"/>
      <c r="I6" s="12"/>
      <c r="J6" s="12"/>
      <c r="N6" s="8"/>
      <c r="T6" s="8"/>
      <c r="Z6" s="8"/>
    </row>
    <row r="7">
      <c r="A7" s="12" t="s">
        <v>13</v>
      </c>
      <c r="B7" s="41">
        <v>34.0</v>
      </c>
      <c r="C7" s="41">
        <v>40.0</v>
      </c>
      <c r="D7" s="41">
        <v>25.0</v>
      </c>
      <c r="E7" s="239">
        <f t="shared" si="4"/>
        <v>99</v>
      </c>
      <c r="G7" s="31" t="s">
        <v>18</v>
      </c>
      <c r="H7" s="41">
        <f t="shared" ref="H7:J7" si="6">B10</f>
        <v>29</v>
      </c>
      <c r="I7" s="41">
        <f t="shared" si="6"/>
        <v>34</v>
      </c>
      <c r="J7" s="41">
        <f t="shared" si="6"/>
        <v>20</v>
      </c>
      <c r="N7" s="8"/>
      <c r="T7" s="8"/>
      <c r="Z7" s="8"/>
    </row>
    <row r="8">
      <c r="A8" s="12" t="s">
        <v>20</v>
      </c>
      <c r="B8" s="41">
        <v>20.0</v>
      </c>
      <c r="C8" s="41">
        <v>21.0</v>
      </c>
      <c r="D8" s="41">
        <v>13.0</v>
      </c>
      <c r="E8" s="239">
        <f t="shared" si="4"/>
        <v>54</v>
      </c>
      <c r="G8" s="31" t="s">
        <v>19</v>
      </c>
      <c r="H8" s="41">
        <f t="shared" ref="H8:J8" si="7">B9</f>
        <v>22</v>
      </c>
      <c r="I8" s="41">
        <f t="shared" si="7"/>
        <v>31</v>
      </c>
      <c r="J8" s="41">
        <f t="shared" si="7"/>
        <v>21</v>
      </c>
      <c r="N8" s="8"/>
      <c r="T8" s="8"/>
      <c r="Z8" s="8"/>
    </row>
    <row r="9">
      <c r="A9" s="12" t="s">
        <v>19</v>
      </c>
      <c r="B9" s="41">
        <v>22.0</v>
      </c>
      <c r="C9" s="41">
        <v>31.0</v>
      </c>
      <c r="D9" s="41">
        <v>21.0</v>
      </c>
      <c r="E9" s="239">
        <f t="shared" si="4"/>
        <v>74</v>
      </c>
      <c r="G9" s="31" t="s">
        <v>20</v>
      </c>
      <c r="H9" s="41">
        <f t="shared" ref="H9:J9" si="8">B8</f>
        <v>20</v>
      </c>
      <c r="I9" s="41">
        <f t="shared" si="8"/>
        <v>21</v>
      </c>
      <c r="J9" s="41">
        <f t="shared" si="8"/>
        <v>13</v>
      </c>
      <c r="N9" s="8"/>
      <c r="T9" s="8"/>
      <c r="Z9" s="8"/>
    </row>
    <row r="10">
      <c r="A10" s="12" t="s">
        <v>18</v>
      </c>
      <c r="B10" s="41">
        <v>29.0</v>
      </c>
      <c r="C10" s="41">
        <v>34.0</v>
      </c>
      <c r="D10" s="41">
        <v>20.0</v>
      </c>
      <c r="E10" s="239">
        <f t="shared" si="4"/>
        <v>83</v>
      </c>
      <c r="G10" s="31" t="s">
        <v>21</v>
      </c>
      <c r="H10" s="41">
        <f t="shared" ref="H10:J10" si="9">B11</f>
        <v>33</v>
      </c>
      <c r="I10" s="41">
        <f t="shared" si="9"/>
        <v>45</v>
      </c>
      <c r="J10" s="41">
        <f t="shared" si="9"/>
        <v>27</v>
      </c>
      <c r="N10" s="8"/>
      <c r="T10" s="8"/>
      <c r="Z10" s="8"/>
    </row>
    <row r="11">
      <c r="A11" s="12" t="s">
        <v>21</v>
      </c>
      <c r="B11" s="41">
        <v>33.0</v>
      </c>
      <c r="C11" s="41">
        <v>45.0</v>
      </c>
      <c r="D11" s="41">
        <v>27.0</v>
      </c>
      <c r="E11" s="239">
        <f t="shared" si="4"/>
        <v>105</v>
      </c>
      <c r="G11" s="199" t="s">
        <v>22</v>
      </c>
      <c r="H11" s="12"/>
      <c r="I11" s="12"/>
      <c r="J11" s="12"/>
      <c r="N11" s="8"/>
      <c r="T11" s="8"/>
      <c r="Z11" s="8"/>
    </row>
    <row r="12">
      <c r="A12" s="12" t="s">
        <v>23</v>
      </c>
      <c r="B12" s="41">
        <v>20.0</v>
      </c>
      <c r="C12" s="41">
        <v>31.0</v>
      </c>
      <c r="D12" s="41">
        <v>24.0</v>
      </c>
      <c r="E12" s="239">
        <f t="shared" si="4"/>
        <v>75</v>
      </c>
      <c r="G12" s="31" t="s">
        <v>23</v>
      </c>
      <c r="H12" s="41">
        <f t="shared" ref="H12:J12" si="10">B12</f>
        <v>20</v>
      </c>
      <c r="I12" s="41">
        <f t="shared" si="10"/>
        <v>31</v>
      </c>
      <c r="J12" s="41">
        <f t="shared" si="10"/>
        <v>24</v>
      </c>
      <c r="N12" s="8"/>
      <c r="T12" s="8"/>
      <c r="Z12" s="8"/>
    </row>
    <row r="13">
      <c r="A13" s="12" t="s">
        <v>24</v>
      </c>
      <c r="B13" s="41">
        <v>28.0</v>
      </c>
      <c r="C13" s="41">
        <v>36.0</v>
      </c>
      <c r="D13" s="41">
        <v>24.0</v>
      </c>
      <c r="E13" s="239">
        <f t="shared" si="4"/>
        <v>88</v>
      </c>
      <c r="G13" s="31" t="s">
        <v>24</v>
      </c>
      <c r="H13" s="41">
        <f t="shared" ref="H13:J13" si="11">B13</f>
        <v>28</v>
      </c>
      <c r="I13" s="41">
        <f t="shared" si="11"/>
        <v>36</v>
      </c>
      <c r="J13" s="41">
        <f t="shared" si="11"/>
        <v>24</v>
      </c>
      <c r="N13" s="8"/>
      <c r="T13" s="8"/>
      <c r="Z13" s="8"/>
    </row>
    <row r="14">
      <c r="A14" s="12" t="s">
        <v>25</v>
      </c>
      <c r="B14" s="41">
        <v>9.0</v>
      </c>
      <c r="C14" s="41">
        <v>16.0</v>
      </c>
      <c r="D14" s="41">
        <v>9.0</v>
      </c>
      <c r="E14" s="239">
        <f t="shared" si="4"/>
        <v>34</v>
      </c>
      <c r="G14" s="31" t="s">
        <v>25</v>
      </c>
      <c r="H14" s="41">
        <f t="shared" ref="H14:J14" si="12">B14</f>
        <v>9</v>
      </c>
      <c r="I14" s="41">
        <f t="shared" si="12"/>
        <v>16</v>
      </c>
      <c r="J14" s="41">
        <f t="shared" si="12"/>
        <v>9</v>
      </c>
      <c r="N14" s="8"/>
      <c r="T14" s="8"/>
      <c r="Z14" s="8"/>
    </row>
    <row r="15">
      <c r="B15" s="239">
        <f t="shared" ref="B15:D15" si="13">sum(B4:B14)</f>
        <v>268</v>
      </c>
      <c r="C15" s="239">
        <f t="shared" si="13"/>
        <v>351</v>
      </c>
      <c r="D15" s="239">
        <f t="shared" si="13"/>
        <v>236</v>
      </c>
      <c r="E15" s="239">
        <f t="shared" si="4"/>
        <v>855</v>
      </c>
      <c r="G15" s="199" t="s">
        <v>26</v>
      </c>
      <c r="H15" s="8"/>
      <c r="N15" s="8"/>
      <c r="T15" s="8"/>
      <c r="Z15" s="8"/>
    </row>
    <row r="16">
      <c r="B16" s="8"/>
      <c r="H16" s="8"/>
      <c r="N16" s="8"/>
      <c r="T16" s="8"/>
      <c r="Z16" s="8"/>
    </row>
    <row r="17">
      <c r="B17" s="8"/>
      <c r="H17" s="8"/>
      <c r="N17" s="8"/>
      <c r="T17" s="8"/>
      <c r="Z17" s="8"/>
    </row>
    <row r="18">
      <c r="B18" s="8"/>
      <c r="H18" s="8"/>
      <c r="N18" s="8"/>
      <c r="T18" s="8"/>
      <c r="Z18" s="8"/>
    </row>
    <row r="19">
      <c r="B19" s="8"/>
      <c r="H19" s="8"/>
      <c r="N19" s="8"/>
      <c r="T19" s="8"/>
      <c r="Z19" s="8"/>
    </row>
    <row r="20">
      <c r="B20" s="8"/>
      <c r="H20" s="8"/>
      <c r="N20" s="8"/>
      <c r="T20" s="8"/>
      <c r="Z20" s="8"/>
    </row>
    <row r="21">
      <c r="B21" s="8"/>
      <c r="H21" s="8"/>
      <c r="N21" s="8"/>
      <c r="T21" s="8"/>
      <c r="Z21" s="8"/>
    </row>
    <row r="22">
      <c r="B22" s="8"/>
      <c r="H22" s="8"/>
      <c r="N22" s="8"/>
      <c r="T22" s="8"/>
      <c r="Z22" s="8"/>
    </row>
    <row r="23">
      <c r="B23" s="8"/>
      <c r="H23" s="8"/>
      <c r="N23" s="8"/>
      <c r="T23" s="8"/>
      <c r="Z23" s="8"/>
    </row>
    <row r="24">
      <c r="B24" s="8"/>
      <c r="H24" s="8"/>
      <c r="N24" s="8"/>
      <c r="T24" s="8"/>
      <c r="Z24" s="8"/>
    </row>
    <row r="25">
      <c r="B25" s="8" t="s">
        <v>199</v>
      </c>
      <c r="H25" s="8" t="s">
        <v>200</v>
      </c>
      <c r="N25" s="8" t="s">
        <v>201</v>
      </c>
      <c r="T25" s="8" t="s">
        <v>202</v>
      </c>
      <c r="Z25" s="8" t="s">
        <v>203</v>
      </c>
    </row>
    <row r="26">
      <c r="B26" s="8" t="s">
        <v>100</v>
      </c>
      <c r="C26" s="8" t="s">
        <v>165</v>
      </c>
      <c r="D26" s="8" t="s">
        <v>87</v>
      </c>
      <c r="E26" s="8" t="s">
        <v>37</v>
      </c>
      <c r="H26" s="8" t="s">
        <v>204</v>
      </c>
      <c r="I26" s="8" t="s">
        <v>187</v>
      </c>
      <c r="J26" s="8" t="s">
        <v>188</v>
      </c>
      <c r="K26" s="8" t="s">
        <v>37</v>
      </c>
      <c r="N26" s="8" t="s">
        <v>205</v>
      </c>
      <c r="O26" s="8" t="s">
        <v>206</v>
      </c>
      <c r="P26" s="8" t="s">
        <v>207</v>
      </c>
      <c r="Q26" s="8" t="s">
        <v>37</v>
      </c>
      <c r="T26" s="8" t="s">
        <v>205</v>
      </c>
      <c r="U26" s="8" t="s">
        <v>206</v>
      </c>
      <c r="V26" s="8" t="s">
        <v>207</v>
      </c>
      <c r="W26" s="8" t="s">
        <v>37</v>
      </c>
      <c r="Z26" s="8" t="s">
        <v>205</v>
      </c>
      <c r="AA26" s="8" t="s">
        <v>206</v>
      </c>
      <c r="AB26" s="8" t="s">
        <v>207</v>
      </c>
      <c r="AC26" s="8" t="s">
        <v>37</v>
      </c>
    </row>
    <row r="27">
      <c r="A27" s="12" t="s">
        <v>14</v>
      </c>
      <c r="B27" s="41">
        <v>37.0</v>
      </c>
      <c r="C27" s="41">
        <v>16.0</v>
      </c>
      <c r="D27" s="41">
        <v>115.0</v>
      </c>
      <c r="E27" s="239">
        <f t="shared" ref="E27:E38" si="14">sum(B27:D27)</f>
        <v>168</v>
      </c>
      <c r="G27" s="12" t="s">
        <v>14</v>
      </c>
      <c r="H27" s="41">
        <v>2.0</v>
      </c>
      <c r="I27" s="41">
        <v>2.0</v>
      </c>
      <c r="J27" s="41">
        <v>2.0</v>
      </c>
      <c r="K27" s="239">
        <f t="shared" ref="K27:K38" si="15">sum(H27:J27)</f>
        <v>6</v>
      </c>
      <c r="M27" s="12" t="s">
        <v>14</v>
      </c>
      <c r="N27" s="41">
        <v>4.0</v>
      </c>
      <c r="O27" s="41">
        <v>1.0</v>
      </c>
      <c r="P27" s="41">
        <v>9.0</v>
      </c>
      <c r="Q27" s="239">
        <f t="shared" ref="Q27:Q38" si="16">sum(N27:P27)</f>
        <v>14</v>
      </c>
      <c r="S27" s="12" t="s">
        <v>14</v>
      </c>
      <c r="T27" s="41">
        <v>13.0</v>
      </c>
      <c r="U27" s="41">
        <v>2.0</v>
      </c>
      <c r="V27" s="41">
        <v>15.0</v>
      </c>
      <c r="W27" s="239">
        <f t="shared" ref="W27:W38" si="17">sum(T27:V27)</f>
        <v>30</v>
      </c>
      <c r="Y27" s="12" t="s">
        <v>14</v>
      </c>
      <c r="Z27" s="41">
        <v>1.0</v>
      </c>
      <c r="AA27" s="41"/>
      <c r="AB27" s="41">
        <v>2.0</v>
      </c>
      <c r="AC27" s="239">
        <f t="shared" ref="AC27:AC38" si="18">sum(Z27:AB27)</f>
        <v>3</v>
      </c>
    </row>
    <row r="28">
      <c r="A28" s="12" t="s">
        <v>15</v>
      </c>
      <c r="B28" s="41">
        <v>26.0</v>
      </c>
      <c r="C28" s="41">
        <v>13.0</v>
      </c>
      <c r="D28" s="41">
        <v>79.0</v>
      </c>
      <c r="E28" s="239">
        <f t="shared" si="14"/>
        <v>118</v>
      </c>
      <c r="G28" s="12" t="s">
        <v>15</v>
      </c>
      <c r="H28" s="41">
        <v>1.0</v>
      </c>
      <c r="I28" s="41">
        <v>1.0</v>
      </c>
      <c r="J28" s="41">
        <v>2.0</v>
      </c>
      <c r="K28" s="239">
        <f t="shared" si="15"/>
        <v>4</v>
      </c>
      <c r="M28" s="12" t="s">
        <v>15</v>
      </c>
      <c r="N28" s="41">
        <v>3.0</v>
      </c>
      <c r="O28" s="41">
        <v>1.0</v>
      </c>
      <c r="P28" s="41">
        <v>5.0</v>
      </c>
      <c r="Q28" s="239">
        <f t="shared" si="16"/>
        <v>9</v>
      </c>
      <c r="S28" s="12" t="s">
        <v>15</v>
      </c>
      <c r="T28" s="41">
        <v>10.0</v>
      </c>
      <c r="U28" s="41">
        <v>1.0</v>
      </c>
      <c r="V28" s="41">
        <v>7.0</v>
      </c>
      <c r="W28" s="239">
        <f t="shared" si="17"/>
        <v>18</v>
      </c>
      <c r="Y28" s="12" t="s">
        <v>15</v>
      </c>
      <c r="Z28" s="41">
        <v>7.0</v>
      </c>
      <c r="AA28" s="41"/>
      <c r="AB28" s="41">
        <v>1.0</v>
      </c>
      <c r="AC28" s="239">
        <f t="shared" si="18"/>
        <v>8</v>
      </c>
    </row>
    <row r="29">
      <c r="A29" s="12" t="s">
        <v>16</v>
      </c>
      <c r="B29" s="41">
        <v>35.0</v>
      </c>
      <c r="C29" s="41">
        <v>17.0</v>
      </c>
      <c r="D29" s="41">
        <v>96.0</v>
      </c>
      <c r="E29" s="239">
        <f t="shared" si="14"/>
        <v>148</v>
      </c>
      <c r="G29" s="12" t="s">
        <v>16</v>
      </c>
      <c r="H29" s="41">
        <v>2.0</v>
      </c>
      <c r="I29" s="41">
        <v>1.0</v>
      </c>
      <c r="J29" s="41">
        <v>2.0</v>
      </c>
      <c r="K29" s="239">
        <f t="shared" si="15"/>
        <v>5</v>
      </c>
      <c r="M29" s="12" t="s">
        <v>16</v>
      </c>
      <c r="N29" s="41">
        <v>4.0</v>
      </c>
      <c r="O29" s="41">
        <v>1.0</v>
      </c>
      <c r="P29" s="41">
        <v>7.0</v>
      </c>
      <c r="Q29" s="239">
        <f t="shared" si="16"/>
        <v>12</v>
      </c>
      <c r="S29" s="12" t="s">
        <v>16</v>
      </c>
      <c r="T29" s="41">
        <v>10.0</v>
      </c>
      <c r="U29" s="41">
        <v>2.0</v>
      </c>
      <c r="V29" s="41">
        <v>7.0</v>
      </c>
      <c r="W29" s="239">
        <f t="shared" si="17"/>
        <v>19</v>
      </c>
      <c r="Y29" s="12" t="s">
        <v>16</v>
      </c>
      <c r="Z29" s="41">
        <v>1.0</v>
      </c>
      <c r="AA29" s="41"/>
      <c r="AB29" s="41"/>
      <c r="AC29" s="239">
        <f t="shared" si="18"/>
        <v>1</v>
      </c>
    </row>
    <row r="30">
      <c r="A30" s="12" t="s">
        <v>13</v>
      </c>
      <c r="B30" s="41">
        <v>42.0</v>
      </c>
      <c r="C30" s="41">
        <v>21.0</v>
      </c>
      <c r="D30" s="41">
        <v>120.0</v>
      </c>
      <c r="E30" s="239">
        <f t="shared" si="14"/>
        <v>183</v>
      </c>
      <c r="G30" s="12" t="s">
        <v>13</v>
      </c>
      <c r="H30" s="41">
        <v>1.0</v>
      </c>
      <c r="I30" s="41">
        <v>2.0</v>
      </c>
      <c r="J30" s="41">
        <v>3.0</v>
      </c>
      <c r="K30" s="239">
        <f t="shared" si="15"/>
        <v>6</v>
      </c>
      <c r="M30" s="12" t="s">
        <v>13</v>
      </c>
      <c r="N30" s="41">
        <v>5.0</v>
      </c>
      <c r="O30" s="41">
        <v>1.0</v>
      </c>
      <c r="P30" s="41">
        <v>9.0</v>
      </c>
      <c r="Q30" s="239">
        <f t="shared" si="16"/>
        <v>15</v>
      </c>
      <c r="S30" s="12" t="s">
        <v>13</v>
      </c>
      <c r="T30" s="41">
        <v>8.0</v>
      </c>
      <c r="U30" s="41">
        <v>1.0</v>
      </c>
      <c r="V30" s="41">
        <v>12.0</v>
      </c>
      <c r="W30" s="239">
        <f t="shared" si="17"/>
        <v>21</v>
      </c>
      <c r="Y30" s="12" t="s">
        <v>13</v>
      </c>
      <c r="Z30" s="41"/>
      <c r="AA30" s="41">
        <v>1.0</v>
      </c>
      <c r="AB30" s="41">
        <v>4.0</v>
      </c>
      <c r="AC30" s="239">
        <f t="shared" si="18"/>
        <v>5</v>
      </c>
    </row>
    <row r="31">
      <c r="A31" s="12" t="s">
        <v>20</v>
      </c>
      <c r="B31" s="41">
        <v>26.0</v>
      </c>
      <c r="C31" s="41">
        <v>11.0</v>
      </c>
      <c r="D31" s="41">
        <v>70.0</v>
      </c>
      <c r="E31" s="239">
        <f t="shared" si="14"/>
        <v>107</v>
      </c>
      <c r="G31" s="12" t="s">
        <v>20</v>
      </c>
      <c r="H31" s="41">
        <v>1.0</v>
      </c>
      <c r="I31" s="41">
        <v>1.0</v>
      </c>
      <c r="J31" s="41">
        <v>2.0</v>
      </c>
      <c r="K31" s="239">
        <f t="shared" si="15"/>
        <v>4</v>
      </c>
      <c r="M31" s="12" t="s">
        <v>20</v>
      </c>
      <c r="N31" s="41">
        <v>3.0</v>
      </c>
      <c r="O31" s="41">
        <v>1.0</v>
      </c>
      <c r="P31" s="41">
        <v>7.0</v>
      </c>
      <c r="Q31" s="239">
        <f t="shared" si="16"/>
        <v>11</v>
      </c>
      <c r="S31" s="12" t="s">
        <v>20</v>
      </c>
      <c r="T31" s="41">
        <v>7.0</v>
      </c>
      <c r="U31" s="41">
        <v>2.0</v>
      </c>
      <c r="V31" s="41">
        <v>7.0</v>
      </c>
      <c r="W31" s="239">
        <f t="shared" si="17"/>
        <v>16</v>
      </c>
      <c r="Y31" s="12" t="s">
        <v>20</v>
      </c>
      <c r="Z31" s="41">
        <v>1.0</v>
      </c>
      <c r="AA31" s="41"/>
      <c r="AB31" s="41">
        <v>1.0</v>
      </c>
      <c r="AC31" s="239">
        <f t="shared" si="18"/>
        <v>2</v>
      </c>
    </row>
    <row r="32">
      <c r="A32" s="12" t="s">
        <v>19</v>
      </c>
      <c r="B32" s="41">
        <v>31.0</v>
      </c>
      <c r="C32" s="41">
        <v>14.0</v>
      </c>
      <c r="D32" s="41">
        <v>82.0</v>
      </c>
      <c r="E32" s="239">
        <f t="shared" si="14"/>
        <v>127</v>
      </c>
      <c r="G32" s="12" t="s">
        <v>19</v>
      </c>
      <c r="H32" s="41">
        <v>1.0</v>
      </c>
      <c r="I32" s="41">
        <v>1.0</v>
      </c>
      <c r="J32" s="41">
        <v>3.0</v>
      </c>
      <c r="K32" s="239">
        <f t="shared" si="15"/>
        <v>5</v>
      </c>
      <c r="M32" s="12" t="s">
        <v>19</v>
      </c>
      <c r="N32" s="41">
        <v>4.0</v>
      </c>
      <c r="O32" s="41">
        <v>1.0</v>
      </c>
      <c r="P32" s="41">
        <v>8.0</v>
      </c>
      <c r="Q32" s="239">
        <f t="shared" si="16"/>
        <v>13</v>
      </c>
      <c r="S32" s="12" t="s">
        <v>19</v>
      </c>
      <c r="T32" s="41">
        <v>7.0</v>
      </c>
      <c r="U32" s="41">
        <v>0.0</v>
      </c>
      <c r="V32" s="41">
        <v>5.0</v>
      </c>
      <c r="W32" s="239">
        <f t="shared" si="17"/>
        <v>12</v>
      </c>
      <c r="Y32" s="12" t="s">
        <v>19</v>
      </c>
      <c r="Z32" s="41">
        <v>1.0</v>
      </c>
      <c r="AA32" s="41"/>
      <c r="AB32" s="41">
        <v>1.0</v>
      </c>
      <c r="AC32" s="239">
        <f t="shared" si="18"/>
        <v>2</v>
      </c>
    </row>
    <row r="33">
      <c r="A33" s="12" t="s">
        <v>18</v>
      </c>
      <c r="B33" s="41">
        <v>34.0</v>
      </c>
      <c r="C33" s="41">
        <v>16.0</v>
      </c>
      <c r="D33" s="41">
        <v>89.0</v>
      </c>
      <c r="E33" s="239">
        <f t="shared" si="14"/>
        <v>139</v>
      </c>
      <c r="G33" s="12" t="s">
        <v>18</v>
      </c>
      <c r="H33" s="41">
        <v>2.0</v>
      </c>
      <c r="I33" s="41">
        <v>1.0</v>
      </c>
      <c r="J33" s="41">
        <v>2.0</v>
      </c>
      <c r="K33" s="239">
        <f t="shared" si="15"/>
        <v>5</v>
      </c>
      <c r="M33" s="12" t="s">
        <v>18</v>
      </c>
      <c r="N33" s="41">
        <v>5.0</v>
      </c>
      <c r="O33" s="41">
        <v>1.0</v>
      </c>
      <c r="P33" s="41">
        <v>8.0</v>
      </c>
      <c r="Q33" s="239">
        <f t="shared" si="16"/>
        <v>14</v>
      </c>
      <c r="S33" s="12" t="s">
        <v>18</v>
      </c>
      <c r="T33" s="41">
        <v>5.0</v>
      </c>
      <c r="U33" s="41">
        <v>1.0</v>
      </c>
      <c r="V33" s="41">
        <v>9.0</v>
      </c>
      <c r="W33" s="239">
        <f t="shared" si="17"/>
        <v>15</v>
      </c>
      <c r="Y33" s="12" t="s">
        <v>18</v>
      </c>
      <c r="Z33" s="41">
        <v>2.0</v>
      </c>
      <c r="AA33" s="41"/>
      <c r="AB33" s="41">
        <v>4.0</v>
      </c>
      <c r="AC33" s="239">
        <f t="shared" si="18"/>
        <v>6</v>
      </c>
    </row>
    <row r="34">
      <c r="A34" s="12" t="s">
        <v>21</v>
      </c>
      <c r="B34" s="41">
        <v>45.0</v>
      </c>
      <c r="C34" s="41">
        <v>21.0</v>
      </c>
      <c r="D34" s="41">
        <v>120.0</v>
      </c>
      <c r="E34" s="239">
        <f t="shared" si="14"/>
        <v>186</v>
      </c>
      <c r="G34" s="12" t="s">
        <v>21</v>
      </c>
      <c r="H34" s="41">
        <v>2.0</v>
      </c>
      <c r="I34" s="41">
        <v>2.0</v>
      </c>
      <c r="J34" s="41">
        <v>4.0</v>
      </c>
      <c r="K34" s="239">
        <f t="shared" si="15"/>
        <v>8</v>
      </c>
      <c r="M34" s="12" t="s">
        <v>21</v>
      </c>
      <c r="N34" s="41">
        <v>5.0</v>
      </c>
      <c r="O34" s="41">
        <v>2.0</v>
      </c>
      <c r="P34" s="41">
        <v>11.0</v>
      </c>
      <c r="Q34" s="239">
        <f t="shared" si="16"/>
        <v>18</v>
      </c>
      <c r="S34" s="12" t="s">
        <v>21</v>
      </c>
      <c r="T34" s="41">
        <v>15.0</v>
      </c>
      <c r="U34" s="41">
        <v>2.0</v>
      </c>
      <c r="V34" s="41">
        <v>13.0</v>
      </c>
      <c r="W34" s="239">
        <f t="shared" si="17"/>
        <v>30</v>
      </c>
      <c r="Y34" s="12" t="s">
        <v>21</v>
      </c>
      <c r="Z34" s="41">
        <v>2.0</v>
      </c>
      <c r="AA34" s="41"/>
      <c r="AB34" s="41">
        <v>5.0</v>
      </c>
      <c r="AC34" s="239">
        <f t="shared" si="18"/>
        <v>7</v>
      </c>
    </row>
    <row r="35">
      <c r="A35" s="12" t="s">
        <v>23</v>
      </c>
      <c r="B35" s="41">
        <v>30.0</v>
      </c>
      <c r="C35" s="41">
        <v>14.0</v>
      </c>
      <c r="D35" s="41">
        <v>82.0</v>
      </c>
      <c r="E35" s="239">
        <f t="shared" si="14"/>
        <v>126</v>
      </c>
      <c r="G35" s="12" t="s">
        <v>23</v>
      </c>
      <c r="H35" s="41">
        <v>1.0</v>
      </c>
      <c r="I35" s="41">
        <v>1.0</v>
      </c>
      <c r="J35" s="41">
        <v>3.0</v>
      </c>
      <c r="K35" s="239">
        <f t="shared" si="15"/>
        <v>5</v>
      </c>
      <c r="M35" s="12" t="s">
        <v>23</v>
      </c>
      <c r="N35" s="41">
        <v>3.0</v>
      </c>
      <c r="O35" s="41">
        <v>1.0</v>
      </c>
      <c r="P35" s="41">
        <v>7.0</v>
      </c>
      <c r="Q35" s="239">
        <f t="shared" si="16"/>
        <v>11</v>
      </c>
      <c r="S35" s="12" t="s">
        <v>23</v>
      </c>
      <c r="T35" s="41">
        <v>13.0</v>
      </c>
      <c r="U35" s="41">
        <v>0.0</v>
      </c>
      <c r="V35" s="41">
        <v>7.0</v>
      </c>
      <c r="W35" s="239">
        <f t="shared" si="17"/>
        <v>20</v>
      </c>
      <c r="Y35" s="12" t="s">
        <v>23</v>
      </c>
      <c r="Z35" s="41">
        <v>2.0</v>
      </c>
      <c r="AA35" s="41"/>
      <c r="AB35" s="41">
        <v>1.0</v>
      </c>
      <c r="AC35" s="239">
        <f t="shared" si="18"/>
        <v>3</v>
      </c>
    </row>
    <row r="36">
      <c r="A36" s="12" t="s">
        <v>24</v>
      </c>
      <c r="B36" s="41">
        <v>36.0</v>
      </c>
      <c r="C36" s="41">
        <v>16.0</v>
      </c>
      <c r="D36" s="41">
        <v>97.0</v>
      </c>
      <c r="E36" s="239">
        <f t="shared" si="14"/>
        <v>149</v>
      </c>
      <c r="G36" s="12" t="s">
        <v>24</v>
      </c>
      <c r="H36" s="41">
        <v>2.0</v>
      </c>
      <c r="I36" s="41">
        <v>1.0</v>
      </c>
      <c r="J36" s="41">
        <v>2.0</v>
      </c>
      <c r="K36" s="239">
        <f t="shared" si="15"/>
        <v>5</v>
      </c>
      <c r="M36" s="12" t="s">
        <v>24</v>
      </c>
      <c r="N36" s="41">
        <v>4.0</v>
      </c>
      <c r="O36" s="41">
        <v>1.0</v>
      </c>
      <c r="P36" s="41">
        <v>8.0</v>
      </c>
      <c r="Q36" s="239">
        <f t="shared" si="16"/>
        <v>13</v>
      </c>
      <c r="S36" s="12" t="s">
        <v>24</v>
      </c>
      <c r="T36" s="41">
        <v>8.0</v>
      </c>
      <c r="U36" s="41">
        <v>4.0</v>
      </c>
      <c r="V36" s="41">
        <v>9.0</v>
      </c>
      <c r="W36" s="239">
        <f t="shared" si="17"/>
        <v>21</v>
      </c>
      <c r="Y36" s="12" t="s">
        <v>24</v>
      </c>
      <c r="Z36" s="41">
        <v>2.0</v>
      </c>
      <c r="AA36" s="41"/>
      <c r="AB36" s="41">
        <v>2.0</v>
      </c>
      <c r="AC36" s="239">
        <f t="shared" si="18"/>
        <v>4</v>
      </c>
    </row>
    <row r="37">
      <c r="A37" s="12" t="s">
        <v>25</v>
      </c>
      <c r="B37" s="41">
        <v>13.0</v>
      </c>
      <c r="C37" s="41">
        <v>6.0</v>
      </c>
      <c r="D37" s="41">
        <v>36.0</v>
      </c>
      <c r="E37" s="239">
        <f t="shared" si="14"/>
        <v>55</v>
      </c>
      <c r="G37" s="12" t="s">
        <v>25</v>
      </c>
      <c r="H37" s="41">
        <v>1.0</v>
      </c>
      <c r="I37" s="41">
        <v>0.0</v>
      </c>
      <c r="J37" s="41">
        <v>1.0</v>
      </c>
      <c r="K37" s="239">
        <f t="shared" si="15"/>
        <v>2</v>
      </c>
      <c r="M37" s="12" t="s">
        <v>25</v>
      </c>
      <c r="N37" s="41">
        <v>2.0</v>
      </c>
      <c r="O37" s="41">
        <v>0.0</v>
      </c>
      <c r="P37" s="41">
        <v>3.0</v>
      </c>
      <c r="Q37" s="239">
        <f t="shared" si="16"/>
        <v>5</v>
      </c>
      <c r="S37" s="12" t="s">
        <v>25</v>
      </c>
      <c r="T37" s="41">
        <v>2.0</v>
      </c>
      <c r="U37" s="41">
        <v>1.0</v>
      </c>
      <c r="V37" s="41">
        <v>2.0</v>
      </c>
      <c r="W37" s="239">
        <f t="shared" si="17"/>
        <v>5</v>
      </c>
      <c r="Y37" s="12" t="s">
        <v>25</v>
      </c>
      <c r="Z37" s="41">
        <v>1.0</v>
      </c>
      <c r="AA37" s="41"/>
      <c r="AB37" s="41"/>
      <c r="AC37" s="239">
        <f t="shared" si="18"/>
        <v>1</v>
      </c>
    </row>
    <row r="38">
      <c r="B38" s="239">
        <f t="shared" ref="B38:D38" si="19">sum(B27:B37)</f>
        <v>355</v>
      </c>
      <c r="C38" s="239">
        <f t="shared" si="19"/>
        <v>165</v>
      </c>
      <c r="D38" s="239">
        <f t="shared" si="19"/>
        <v>986</v>
      </c>
      <c r="E38" s="239">
        <f t="shared" si="14"/>
        <v>1506</v>
      </c>
      <c r="H38" s="239">
        <f t="shared" ref="H38:J38" si="20">sum(H27:H37)</f>
        <v>16</v>
      </c>
      <c r="I38" s="239">
        <f t="shared" si="20"/>
        <v>13</v>
      </c>
      <c r="J38" s="239">
        <f t="shared" si="20"/>
        <v>26</v>
      </c>
      <c r="K38" s="239">
        <f t="shared" si="15"/>
        <v>55</v>
      </c>
      <c r="N38" s="239">
        <f t="shared" ref="N38:P38" si="21">sum(N27:N37)</f>
        <v>42</v>
      </c>
      <c r="O38" s="239">
        <f t="shared" si="21"/>
        <v>11</v>
      </c>
      <c r="P38" s="239">
        <f t="shared" si="21"/>
        <v>82</v>
      </c>
      <c r="Q38" s="239">
        <f t="shared" si="16"/>
        <v>135</v>
      </c>
      <c r="T38" s="239">
        <f t="shared" ref="T38:V38" si="22">sum(T27:T37)</f>
        <v>98</v>
      </c>
      <c r="U38" s="239">
        <f t="shared" si="22"/>
        <v>16</v>
      </c>
      <c r="V38" s="239">
        <f t="shared" si="22"/>
        <v>93</v>
      </c>
      <c r="W38" s="239">
        <f t="shared" si="17"/>
        <v>207</v>
      </c>
      <c r="Z38" s="239">
        <f t="shared" ref="Z38:AB38" si="23">sum(Z27:Z37)</f>
        <v>20</v>
      </c>
      <c r="AA38" s="239">
        <f t="shared" si="23"/>
        <v>1</v>
      </c>
      <c r="AB38" s="239">
        <f t="shared" si="23"/>
        <v>21</v>
      </c>
      <c r="AC38" s="239">
        <f t="shared" si="18"/>
        <v>42</v>
      </c>
    </row>
    <row r="39">
      <c r="B39" s="21"/>
      <c r="C39" s="21"/>
      <c r="D39" s="21"/>
      <c r="E39" s="21"/>
      <c r="H39" s="21"/>
      <c r="I39" s="21"/>
      <c r="J39" s="21"/>
      <c r="K39" s="21"/>
    </row>
    <row r="40">
      <c r="B40" s="21"/>
      <c r="C40" s="21"/>
      <c r="D40" s="21"/>
      <c r="E40" s="21"/>
    </row>
    <row r="41">
      <c r="B41" s="21"/>
      <c r="C41" s="21"/>
      <c r="D41" s="21"/>
      <c r="E41" s="21"/>
      <c r="T41" s="12" t="s">
        <v>104</v>
      </c>
      <c r="U41" s="12" t="s">
        <v>172</v>
      </c>
      <c r="V41" s="12" t="s">
        <v>60</v>
      </c>
      <c r="W41" s="12" t="s">
        <v>126</v>
      </c>
      <c r="X41" s="12" t="s">
        <v>8</v>
      </c>
    </row>
    <row r="42">
      <c r="B42" s="21"/>
      <c r="C42" s="21"/>
      <c r="D42" s="21"/>
      <c r="E42" s="21"/>
    </row>
    <row r="43">
      <c r="B43" s="21"/>
      <c r="C43" s="21"/>
      <c r="D43" s="21"/>
      <c r="E43" s="21"/>
      <c r="S43" s="95" t="s">
        <v>13</v>
      </c>
      <c r="T43" s="12">
        <v>6.0</v>
      </c>
      <c r="U43" s="12">
        <v>2.0</v>
      </c>
      <c r="V43" s="12">
        <v>1.0</v>
      </c>
      <c r="X43" s="20">
        <f t="shared" ref="X43:X46" si="24">sum(T43:W43)</f>
        <v>9</v>
      </c>
      <c r="Y43" s="21">
        <f>AC30</f>
        <v>5</v>
      </c>
      <c r="Z43" s="21">
        <f t="shared" ref="Z43:Z46" si="25">X43-Y43</f>
        <v>4</v>
      </c>
    </row>
    <row r="44">
      <c r="B44" s="21"/>
      <c r="C44" s="21"/>
      <c r="D44" s="21"/>
      <c r="E44" s="21"/>
      <c r="S44" s="95" t="s">
        <v>14</v>
      </c>
      <c r="T44" s="12">
        <v>5.0</v>
      </c>
      <c r="U44" s="12">
        <v>2.0</v>
      </c>
      <c r="V44" s="12">
        <v>1.0</v>
      </c>
      <c r="X44" s="20">
        <f t="shared" si="24"/>
        <v>8</v>
      </c>
      <c r="Y44" s="21">
        <f t="shared" ref="Y44:Y46" si="26">AC27</f>
        <v>3</v>
      </c>
      <c r="Z44" s="21">
        <f t="shared" si="25"/>
        <v>5</v>
      </c>
    </row>
    <row r="45">
      <c r="B45" s="21"/>
      <c r="C45" s="21"/>
      <c r="D45" s="21"/>
      <c r="E45" s="21"/>
      <c r="S45" s="95" t="s">
        <v>15</v>
      </c>
      <c r="T45" s="12">
        <v>3.0</v>
      </c>
      <c r="U45" s="12">
        <v>2.0</v>
      </c>
      <c r="V45" s="12">
        <v>1.0</v>
      </c>
      <c r="X45" s="20">
        <f t="shared" si="24"/>
        <v>6</v>
      </c>
      <c r="Y45" s="21">
        <f t="shared" si="26"/>
        <v>8</v>
      </c>
      <c r="Z45" s="21">
        <f t="shared" si="25"/>
        <v>-2</v>
      </c>
    </row>
    <row r="46">
      <c r="B46" s="21"/>
      <c r="C46" s="21"/>
      <c r="D46" s="21"/>
      <c r="E46" s="21"/>
      <c r="S46" s="95" t="s">
        <v>16</v>
      </c>
      <c r="T46" s="12">
        <v>4.0</v>
      </c>
      <c r="U46" s="12">
        <v>2.0</v>
      </c>
      <c r="V46" s="12">
        <v>1.0</v>
      </c>
      <c r="X46" s="20">
        <f t="shared" si="24"/>
        <v>7</v>
      </c>
      <c r="Y46" s="21">
        <f t="shared" si="26"/>
        <v>1</v>
      </c>
      <c r="Z46" s="21">
        <f t="shared" si="25"/>
        <v>6</v>
      </c>
    </row>
    <row r="47">
      <c r="B47" s="21"/>
      <c r="C47" s="21"/>
      <c r="D47" s="21"/>
      <c r="E47" s="21"/>
      <c r="S47" s="103" t="s">
        <v>17</v>
      </c>
    </row>
    <row r="48">
      <c r="B48" s="21"/>
      <c r="C48" s="21"/>
      <c r="D48" s="21"/>
      <c r="E48" s="21"/>
      <c r="S48" s="95" t="s">
        <v>18</v>
      </c>
      <c r="T48" s="12">
        <v>5.0</v>
      </c>
      <c r="U48" s="12">
        <v>2.0</v>
      </c>
      <c r="V48" s="12">
        <v>1.0</v>
      </c>
      <c r="X48" s="20">
        <f t="shared" ref="X48:X51" si="27">sum(T48:W48)</f>
        <v>8</v>
      </c>
      <c r="Y48" s="21">
        <f>AC33</f>
        <v>6</v>
      </c>
      <c r="Z48" s="21">
        <f t="shared" ref="Z48:Z51" si="28">X48-Y48</f>
        <v>2</v>
      </c>
    </row>
    <row r="49">
      <c r="B49" s="21"/>
      <c r="C49" s="21"/>
      <c r="D49" s="21"/>
      <c r="E49" s="21"/>
      <c r="S49" s="95" t="s">
        <v>19</v>
      </c>
      <c r="T49" s="12">
        <v>5.0</v>
      </c>
      <c r="U49" s="12">
        <v>2.0</v>
      </c>
      <c r="V49" s="12">
        <v>1.0</v>
      </c>
      <c r="X49" s="20">
        <f t="shared" si="27"/>
        <v>8</v>
      </c>
      <c r="Y49" s="21">
        <f>AC32</f>
        <v>2</v>
      </c>
      <c r="Z49" s="21">
        <f t="shared" si="28"/>
        <v>6</v>
      </c>
    </row>
    <row r="50">
      <c r="B50" s="21"/>
      <c r="C50" s="21"/>
      <c r="D50" s="21"/>
      <c r="E50" s="21"/>
      <c r="S50" s="95" t="s">
        <v>20</v>
      </c>
      <c r="T50" s="12">
        <v>4.0</v>
      </c>
      <c r="U50" s="12">
        <v>1.0</v>
      </c>
      <c r="V50" s="12">
        <v>1.0</v>
      </c>
      <c r="X50" s="20">
        <f t="shared" si="27"/>
        <v>6</v>
      </c>
      <c r="Y50" s="21">
        <f>AC31</f>
        <v>2</v>
      </c>
      <c r="Z50" s="21">
        <f t="shared" si="28"/>
        <v>4</v>
      </c>
    </row>
    <row r="51">
      <c r="B51" s="21"/>
      <c r="C51" s="21"/>
      <c r="D51" s="21"/>
      <c r="E51" s="21"/>
      <c r="S51" s="95" t="s">
        <v>21</v>
      </c>
      <c r="T51" s="12">
        <v>7.0</v>
      </c>
      <c r="U51" s="12">
        <v>2.0</v>
      </c>
      <c r="V51" s="12">
        <v>2.0</v>
      </c>
      <c r="X51" s="20">
        <f t="shared" si="27"/>
        <v>11</v>
      </c>
      <c r="Y51" s="21">
        <f>AC34</f>
        <v>7</v>
      </c>
      <c r="Z51" s="21">
        <f t="shared" si="28"/>
        <v>4</v>
      </c>
    </row>
    <row r="52">
      <c r="B52" s="21"/>
      <c r="C52" s="21"/>
      <c r="D52" s="21"/>
      <c r="E52" s="21"/>
      <c r="S52" s="103" t="s">
        <v>22</v>
      </c>
    </row>
    <row r="53">
      <c r="B53" s="21"/>
      <c r="C53" s="21"/>
      <c r="D53" s="21"/>
      <c r="E53" s="21"/>
      <c r="S53" s="95" t="s">
        <v>23</v>
      </c>
      <c r="T53" s="12">
        <v>4.0</v>
      </c>
      <c r="U53" s="12">
        <v>2.0</v>
      </c>
      <c r="V53" s="12">
        <v>1.0</v>
      </c>
      <c r="X53" s="20">
        <f t="shared" ref="X53:X55" si="29">sum(T53:W53)</f>
        <v>7</v>
      </c>
      <c r="Y53" s="21">
        <f t="shared" ref="Y53:Y55" si="30">AC35</f>
        <v>3</v>
      </c>
      <c r="Z53" s="21">
        <f t="shared" ref="Z53:Z55" si="31">X53-Y53</f>
        <v>4</v>
      </c>
    </row>
    <row r="54">
      <c r="B54" s="8" t="s">
        <v>199</v>
      </c>
      <c r="S54" s="95" t="s">
        <v>24</v>
      </c>
      <c r="T54" s="20">
        <f>5</f>
        <v>5</v>
      </c>
      <c r="U54" s="12">
        <v>2.0</v>
      </c>
      <c r="V54" s="12">
        <v>1.0</v>
      </c>
      <c r="X54" s="20">
        <f t="shared" si="29"/>
        <v>8</v>
      </c>
      <c r="Y54" s="21">
        <f t="shared" si="30"/>
        <v>4</v>
      </c>
      <c r="Z54" s="21">
        <f t="shared" si="31"/>
        <v>4</v>
      </c>
    </row>
    <row r="55">
      <c r="B55" s="8" t="s">
        <v>204</v>
      </c>
      <c r="C55" s="8" t="s">
        <v>187</v>
      </c>
      <c r="D55" s="8" t="s">
        <v>188</v>
      </c>
      <c r="E55" s="8" t="s">
        <v>37</v>
      </c>
      <c r="S55" s="95" t="s">
        <v>25</v>
      </c>
      <c r="T55" s="12">
        <v>2.0</v>
      </c>
      <c r="U55" s="12">
        <v>0.0</v>
      </c>
      <c r="V55" s="12">
        <v>1.0</v>
      </c>
      <c r="X55" s="20">
        <f t="shared" si="29"/>
        <v>3</v>
      </c>
      <c r="Y55" s="21">
        <f t="shared" si="30"/>
        <v>1</v>
      </c>
      <c r="Z55" s="21">
        <f t="shared" si="31"/>
        <v>2</v>
      </c>
    </row>
    <row r="56">
      <c r="A56" s="12" t="s">
        <v>14</v>
      </c>
      <c r="B56" s="41">
        <v>32.0</v>
      </c>
      <c r="C56" s="41">
        <v>37.0</v>
      </c>
      <c r="D56" s="41">
        <v>60.0</v>
      </c>
      <c r="E56" s="239">
        <f t="shared" ref="E56:E67" si="32">sum(B56:D56)</f>
        <v>129</v>
      </c>
      <c r="S56" s="103" t="s">
        <v>26</v>
      </c>
    </row>
    <row r="57">
      <c r="A57" s="12" t="s">
        <v>15</v>
      </c>
      <c r="B57" s="41">
        <v>21.0</v>
      </c>
      <c r="C57" s="41">
        <v>28.0</v>
      </c>
      <c r="D57" s="41">
        <v>42.0</v>
      </c>
      <c r="E57" s="239">
        <f t="shared" si="32"/>
        <v>91</v>
      </c>
    </row>
    <row r="58">
      <c r="A58" s="12" t="s">
        <v>16</v>
      </c>
      <c r="B58" s="41">
        <v>29.0</v>
      </c>
      <c r="C58" s="41">
        <v>34.0</v>
      </c>
      <c r="D58" s="41">
        <v>56.0</v>
      </c>
      <c r="E58" s="239">
        <f t="shared" si="32"/>
        <v>119</v>
      </c>
    </row>
    <row r="59">
      <c r="A59" s="12" t="s">
        <v>13</v>
      </c>
      <c r="B59" s="41">
        <v>36.0</v>
      </c>
      <c r="C59" s="41">
        <v>42.0</v>
      </c>
      <c r="D59" s="41">
        <v>68.0</v>
      </c>
      <c r="E59" s="239">
        <f t="shared" si="32"/>
        <v>146</v>
      </c>
    </row>
    <row r="60">
      <c r="A60" s="12" t="s">
        <v>20</v>
      </c>
      <c r="B60" s="41">
        <v>19.0</v>
      </c>
      <c r="C60" s="41">
        <v>24.0</v>
      </c>
      <c r="D60" s="41">
        <v>36.0</v>
      </c>
      <c r="E60" s="239">
        <f t="shared" si="32"/>
        <v>79</v>
      </c>
    </row>
    <row r="61">
      <c r="A61" s="12" t="s">
        <v>19</v>
      </c>
      <c r="B61" s="41">
        <v>26.0</v>
      </c>
      <c r="C61" s="41">
        <v>29.0</v>
      </c>
      <c r="D61" s="41">
        <v>48.0</v>
      </c>
      <c r="E61" s="239">
        <f t="shared" si="32"/>
        <v>103</v>
      </c>
    </row>
    <row r="62">
      <c r="A62" s="12" t="s">
        <v>18</v>
      </c>
      <c r="B62" s="41">
        <v>26.0</v>
      </c>
      <c r="C62" s="41">
        <v>30.0</v>
      </c>
      <c r="D62" s="41">
        <v>47.0</v>
      </c>
      <c r="E62" s="239">
        <f t="shared" si="32"/>
        <v>103</v>
      </c>
    </row>
    <row r="63">
      <c r="A63" s="12" t="s">
        <v>21</v>
      </c>
      <c r="B63" s="41">
        <v>36.0</v>
      </c>
      <c r="C63" s="41">
        <v>46.0</v>
      </c>
      <c r="D63" s="41">
        <v>72.0</v>
      </c>
      <c r="E63" s="239">
        <f t="shared" si="32"/>
        <v>154</v>
      </c>
    </row>
    <row r="64">
      <c r="A64" s="12" t="s">
        <v>23</v>
      </c>
      <c r="B64" s="41">
        <v>24.0</v>
      </c>
      <c r="C64" s="41">
        <v>31.0</v>
      </c>
      <c r="D64" s="41">
        <v>48.0</v>
      </c>
      <c r="E64" s="239">
        <f t="shared" si="32"/>
        <v>103</v>
      </c>
    </row>
    <row r="65">
      <c r="A65" s="12" t="s">
        <v>24</v>
      </c>
      <c r="B65" s="41">
        <v>30.0</v>
      </c>
      <c r="C65" s="41">
        <v>34.0</v>
      </c>
      <c r="D65" s="41">
        <v>54.0</v>
      </c>
      <c r="E65" s="239">
        <f t="shared" si="32"/>
        <v>118</v>
      </c>
    </row>
    <row r="66">
      <c r="A66" s="12" t="s">
        <v>25</v>
      </c>
      <c r="B66" s="41">
        <v>11.0</v>
      </c>
      <c r="C66" s="41">
        <v>13.0</v>
      </c>
      <c r="D66" s="41">
        <v>23.0</v>
      </c>
      <c r="E66" s="239">
        <f t="shared" si="32"/>
        <v>47</v>
      </c>
    </row>
    <row r="67">
      <c r="B67" s="239">
        <f t="shared" ref="B67:D67" si="33">sum(B56:B66)</f>
        <v>290</v>
      </c>
      <c r="C67" s="239">
        <f t="shared" si="33"/>
        <v>348</v>
      </c>
      <c r="D67" s="239">
        <f t="shared" si="33"/>
        <v>554</v>
      </c>
      <c r="E67" s="239">
        <f t="shared" si="32"/>
        <v>1192</v>
      </c>
    </row>
    <row r="68">
      <c r="B68" s="21"/>
      <c r="C68" s="21"/>
      <c r="D68" s="21"/>
      <c r="E68" s="21"/>
    </row>
    <row r="69">
      <c r="B69" s="8" t="s">
        <v>204</v>
      </c>
      <c r="C69" s="8" t="s">
        <v>187</v>
      </c>
      <c r="D69" s="8" t="s">
        <v>188</v>
      </c>
      <c r="E69" s="8" t="s">
        <v>37</v>
      </c>
    </row>
    <row r="70">
      <c r="A70" s="12" t="s">
        <v>14</v>
      </c>
      <c r="B70" s="41">
        <v>28.0</v>
      </c>
      <c r="C70" s="41">
        <v>32.0</v>
      </c>
      <c r="D70" s="41">
        <v>58.0</v>
      </c>
      <c r="E70" s="239">
        <f t="shared" ref="E70:E81" si="34">sum(B70:D70)</f>
        <v>118</v>
      </c>
    </row>
    <row r="71">
      <c r="A71" s="12" t="s">
        <v>15</v>
      </c>
      <c r="B71" s="41">
        <v>19.0</v>
      </c>
      <c r="C71" s="41">
        <v>24.0</v>
      </c>
      <c r="D71" s="41">
        <v>40.0</v>
      </c>
      <c r="E71" s="239">
        <f t="shared" si="34"/>
        <v>83</v>
      </c>
    </row>
    <row r="72">
      <c r="A72" s="12" t="s">
        <v>16</v>
      </c>
      <c r="B72" s="41">
        <v>27.0</v>
      </c>
      <c r="C72" s="41">
        <v>30.0</v>
      </c>
      <c r="D72" s="41">
        <v>52.0</v>
      </c>
      <c r="E72" s="239">
        <f t="shared" si="34"/>
        <v>109</v>
      </c>
    </row>
    <row r="73">
      <c r="A73" s="12" t="s">
        <v>13</v>
      </c>
      <c r="B73" s="41">
        <v>32.0</v>
      </c>
      <c r="C73" s="41">
        <v>38.0</v>
      </c>
      <c r="D73" s="41">
        <v>63.0</v>
      </c>
      <c r="E73" s="239">
        <f t="shared" si="34"/>
        <v>133</v>
      </c>
    </row>
    <row r="74">
      <c r="A74" s="12" t="s">
        <v>20</v>
      </c>
      <c r="B74" s="41">
        <v>17.0</v>
      </c>
      <c r="C74" s="41">
        <v>21.0</v>
      </c>
      <c r="D74" s="41">
        <v>34.0</v>
      </c>
      <c r="E74" s="239">
        <f t="shared" si="34"/>
        <v>72</v>
      </c>
    </row>
    <row r="75">
      <c r="A75" s="12" t="s">
        <v>19</v>
      </c>
      <c r="B75" s="41">
        <v>23.0</v>
      </c>
      <c r="C75" s="41">
        <v>26.0</v>
      </c>
      <c r="D75" s="41">
        <v>45.0</v>
      </c>
      <c r="E75" s="239">
        <f t="shared" si="34"/>
        <v>94</v>
      </c>
    </row>
    <row r="76">
      <c r="A76" s="12" t="s">
        <v>18</v>
      </c>
      <c r="B76" s="41">
        <v>24.0</v>
      </c>
      <c r="C76" s="41">
        <v>26.0</v>
      </c>
      <c r="D76" s="41">
        <v>44.0</v>
      </c>
      <c r="E76" s="239">
        <f t="shared" si="34"/>
        <v>94</v>
      </c>
    </row>
    <row r="77">
      <c r="A77" s="12" t="s">
        <v>21</v>
      </c>
      <c r="B77" s="41">
        <v>32.0</v>
      </c>
      <c r="C77" s="41">
        <v>42.0</v>
      </c>
      <c r="D77" s="41">
        <v>66.0</v>
      </c>
      <c r="E77" s="239">
        <f t="shared" si="34"/>
        <v>140</v>
      </c>
    </row>
    <row r="78">
      <c r="A78" s="12" t="s">
        <v>23</v>
      </c>
      <c r="B78" s="41">
        <v>22.0</v>
      </c>
      <c r="C78" s="41">
        <v>27.0</v>
      </c>
      <c r="D78" s="41">
        <v>45.0</v>
      </c>
      <c r="E78" s="239">
        <f t="shared" si="34"/>
        <v>94</v>
      </c>
    </row>
    <row r="79">
      <c r="A79" s="12" t="s">
        <v>24</v>
      </c>
      <c r="B79" s="41">
        <v>26.0</v>
      </c>
      <c r="C79" s="41">
        <v>31.0</v>
      </c>
      <c r="D79" s="41">
        <v>51.0</v>
      </c>
      <c r="E79" s="239">
        <f t="shared" si="34"/>
        <v>108</v>
      </c>
    </row>
    <row r="80">
      <c r="A80" s="12" t="s">
        <v>25</v>
      </c>
      <c r="B80" s="41">
        <v>10.0</v>
      </c>
      <c r="C80" s="41">
        <v>11.0</v>
      </c>
      <c r="D80" s="41">
        <v>22.0</v>
      </c>
      <c r="E80" s="239">
        <f t="shared" si="34"/>
        <v>43</v>
      </c>
    </row>
    <row r="81">
      <c r="B81" s="239">
        <f t="shared" ref="B81:D81" si="35">sum(B70:B80)</f>
        <v>260</v>
      </c>
      <c r="C81" s="239">
        <f t="shared" si="35"/>
        <v>308</v>
      </c>
      <c r="D81" s="239">
        <f t="shared" si="35"/>
        <v>520</v>
      </c>
      <c r="E81" s="239">
        <f t="shared" si="34"/>
        <v>1088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8" width="10.38"/>
    <col customWidth="1" min="9" max="9" width="11.0"/>
    <col customWidth="1" min="10" max="18" width="10.38"/>
    <col customWidth="1" min="22" max="26" width="14.0"/>
    <col customWidth="1" min="27" max="27" width="10.38"/>
    <col customWidth="1" min="28" max="36" width="14.0"/>
    <col customWidth="1" min="37" max="37" width="33.75"/>
    <col customWidth="1" min="38" max="38" width="19.88"/>
  </cols>
  <sheetData>
    <row r="2">
      <c r="A2" s="187"/>
      <c r="B2" s="316" t="s">
        <v>199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8"/>
      <c r="S2" s="226"/>
      <c r="T2" s="226"/>
    </row>
    <row r="3">
      <c r="A3" s="13"/>
      <c r="B3" s="91" t="s">
        <v>208</v>
      </c>
      <c r="C3" s="90"/>
      <c r="D3" s="90"/>
      <c r="E3" s="90"/>
      <c r="F3" s="91" t="s">
        <v>209</v>
      </c>
      <c r="G3" s="90"/>
      <c r="H3" s="90"/>
      <c r="I3" s="90"/>
      <c r="J3" s="91" t="s">
        <v>210</v>
      </c>
      <c r="K3" s="90"/>
      <c r="L3" s="90"/>
      <c r="M3" s="90"/>
      <c r="N3" s="136"/>
      <c r="O3" s="91" t="s">
        <v>8</v>
      </c>
      <c r="P3" s="90"/>
      <c r="Q3" s="90"/>
      <c r="R3" s="92"/>
      <c r="S3" s="138"/>
      <c r="T3" s="138"/>
    </row>
    <row r="4">
      <c r="A4" s="15"/>
      <c r="B4" s="179" t="s">
        <v>34</v>
      </c>
      <c r="C4" s="179" t="s">
        <v>36</v>
      </c>
      <c r="D4" s="179" t="s">
        <v>193</v>
      </c>
      <c r="E4" s="179" t="s">
        <v>37</v>
      </c>
      <c r="F4" s="179" t="s">
        <v>34</v>
      </c>
      <c r="G4" s="179" t="s">
        <v>36</v>
      </c>
      <c r="H4" s="179" t="s">
        <v>193</v>
      </c>
      <c r="I4" s="179" t="s">
        <v>37</v>
      </c>
      <c r="J4" s="179" t="s">
        <v>34</v>
      </c>
      <c r="K4" s="179" t="s">
        <v>36</v>
      </c>
      <c r="L4" s="179" t="s">
        <v>193</v>
      </c>
      <c r="M4" s="179" t="s">
        <v>37</v>
      </c>
      <c r="N4" s="204"/>
      <c r="O4" s="179" t="s">
        <v>34</v>
      </c>
      <c r="P4" s="179" t="s">
        <v>36</v>
      </c>
      <c r="Q4" s="179" t="s">
        <v>193</v>
      </c>
      <c r="R4" s="181" t="s">
        <v>37</v>
      </c>
      <c r="S4" s="228" t="s">
        <v>211</v>
      </c>
      <c r="T4" s="228" t="s">
        <v>39</v>
      </c>
      <c r="U4" s="8" t="s">
        <v>212</v>
      </c>
      <c r="V4" s="8" t="s">
        <v>30</v>
      </c>
      <c r="W4" s="10" t="s">
        <v>213</v>
      </c>
      <c r="X4" s="10" t="s">
        <v>214</v>
      </c>
      <c r="Y4" s="10" t="s">
        <v>215</v>
      </c>
      <c r="Z4" s="10" t="s">
        <v>214</v>
      </c>
      <c r="AA4" s="10" t="s">
        <v>216</v>
      </c>
      <c r="AB4" s="8" t="s">
        <v>217</v>
      </c>
      <c r="AC4" s="8" t="s">
        <v>218</v>
      </c>
      <c r="AD4" s="8" t="s">
        <v>219</v>
      </c>
      <c r="AE4" s="8"/>
      <c r="AF4" s="8" t="s">
        <v>220</v>
      </c>
      <c r="AG4" s="8" t="s">
        <v>221</v>
      </c>
      <c r="AH4" s="8" t="s">
        <v>222</v>
      </c>
    </row>
    <row r="5">
      <c r="A5" s="95" t="s">
        <v>13</v>
      </c>
      <c r="B5" s="317">
        <v>34.0</v>
      </c>
      <c r="C5" s="284">
        <v>2.0</v>
      </c>
      <c r="D5" s="285">
        <v>76.0</v>
      </c>
      <c r="E5" s="286">
        <f t="shared" ref="E5:E8" si="2">SUM(B5:D5)</f>
        <v>112</v>
      </c>
      <c r="F5" s="317">
        <v>23.0</v>
      </c>
      <c r="G5" s="284">
        <v>0.0</v>
      </c>
      <c r="H5" s="285">
        <v>85.0</v>
      </c>
      <c r="I5" s="286">
        <f t="shared" ref="I5:I8" si="3">SUM(F5:H5)</f>
        <v>108</v>
      </c>
      <c r="J5" s="317">
        <v>106.0</v>
      </c>
      <c r="K5" s="284">
        <v>34.0</v>
      </c>
      <c r="L5" s="285">
        <v>198.0</v>
      </c>
      <c r="M5" s="286">
        <f t="shared" ref="M5:M8" si="4">SUM(J5:L5)</f>
        <v>338</v>
      </c>
      <c r="N5" s="136"/>
      <c r="O5" s="149">
        <f t="shared" ref="O5:Q5" si="1">J5+F5+B5</f>
        <v>163</v>
      </c>
      <c r="P5" s="149">
        <f t="shared" si="1"/>
        <v>36</v>
      </c>
      <c r="Q5" s="149">
        <f t="shared" si="1"/>
        <v>359</v>
      </c>
      <c r="R5" s="318">
        <f t="shared" ref="R5:R8" si="6">SUM(O5:Q5)</f>
        <v>558</v>
      </c>
      <c r="S5" s="319">
        <v>336.0</v>
      </c>
      <c r="T5" s="319">
        <f t="shared" ref="T5:T8" si="7">M5-S5</f>
        <v>2</v>
      </c>
      <c r="U5" s="320" t="s">
        <v>223</v>
      </c>
      <c r="V5" s="12" t="s">
        <v>57</v>
      </c>
      <c r="W5" s="12">
        <v>342.0</v>
      </c>
      <c r="X5" s="282">
        <f t="shared" ref="X5:X18" si="8">M5-W5</f>
        <v>-4</v>
      </c>
      <c r="Y5" s="12">
        <v>140.0</v>
      </c>
      <c r="Z5" s="282">
        <f t="shared" ref="Z5:Z18" si="9">J5+K5-Y5</f>
        <v>0</v>
      </c>
      <c r="AA5" s="12">
        <v>78.0</v>
      </c>
      <c r="AB5" s="12">
        <f>Y5+7-AA5</f>
        <v>69</v>
      </c>
      <c r="AC5" s="12">
        <v>130.0</v>
      </c>
      <c r="AD5" s="20">
        <f t="shared" ref="AD5:AD8" si="10">J5+K5-AC5</f>
        <v>10</v>
      </c>
      <c r="AE5" s="312">
        <f t="shared" ref="AE5:AE8" si="11">AD5*250</f>
        <v>2500</v>
      </c>
      <c r="AF5" s="12" t="s">
        <v>148</v>
      </c>
      <c r="AG5" s="12" t="s">
        <v>224</v>
      </c>
      <c r="AH5" s="12" t="s">
        <v>34</v>
      </c>
    </row>
    <row r="6">
      <c r="A6" s="95" t="s">
        <v>14</v>
      </c>
      <c r="B6" s="317">
        <v>35.0</v>
      </c>
      <c r="C6" s="284">
        <v>4.0</v>
      </c>
      <c r="D6" s="285">
        <v>2.0</v>
      </c>
      <c r="E6" s="286">
        <f t="shared" si="2"/>
        <v>41</v>
      </c>
      <c r="F6" s="317">
        <v>9.0</v>
      </c>
      <c r="G6" s="284">
        <v>1.0</v>
      </c>
      <c r="H6" s="285">
        <v>3.0</v>
      </c>
      <c r="I6" s="286">
        <f t="shared" si="3"/>
        <v>13</v>
      </c>
      <c r="J6" s="317">
        <v>74.0</v>
      </c>
      <c r="K6" s="284">
        <v>7.0</v>
      </c>
      <c r="L6" s="285">
        <v>45.0</v>
      </c>
      <c r="M6" s="286">
        <f t="shared" si="4"/>
        <v>126</v>
      </c>
      <c r="N6" s="136"/>
      <c r="O6" s="149">
        <f t="shared" ref="O6:Q6" si="5">J6+F6+B6</f>
        <v>118</v>
      </c>
      <c r="P6" s="149">
        <f t="shared" si="5"/>
        <v>12</v>
      </c>
      <c r="Q6" s="149">
        <f t="shared" si="5"/>
        <v>50</v>
      </c>
      <c r="R6" s="318">
        <f t="shared" si="6"/>
        <v>180</v>
      </c>
      <c r="S6" s="319">
        <v>127.0</v>
      </c>
      <c r="T6" s="319">
        <f t="shared" si="7"/>
        <v>-1</v>
      </c>
      <c r="U6" s="320" t="s">
        <v>223</v>
      </c>
      <c r="V6" s="12" t="s">
        <v>57</v>
      </c>
      <c r="W6" s="12">
        <v>126.0</v>
      </c>
      <c r="X6" s="12">
        <f t="shared" si="8"/>
        <v>0</v>
      </c>
      <c r="Y6" s="12">
        <v>81.0</v>
      </c>
      <c r="Z6" s="12">
        <f t="shared" si="9"/>
        <v>0</v>
      </c>
      <c r="AA6" s="12">
        <v>87.0</v>
      </c>
      <c r="AB6" s="12">
        <f t="shared" ref="AB6:AB8" si="13">Y6-AA6</f>
        <v>-6</v>
      </c>
      <c r="AC6" s="12">
        <v>80.0</v>
      </c>
      <c r="AD6" s="20">
        <f t="shared" si="10"/>
        <v>1</v>
      </c>
      <c r="AE6" s="312">
        <f t="shared" si="11"/>
        <v>250</v>
      </c>
      <c r="AF6" s="12" t="s">
        <v>147</v>
      </c>
      <c r="AG6" s="12" t="s">
        <v>94</v>
      </c>
      <c r="AH6" s="12" t="s">
        <v>34</v>
      </c>
    </row>
    <row r="7">
      <c r="A7" s="95" t="s">
        <v>15</v>
      </c>
      <c r="B7" s="317">
        <v>27.0</v>
      </c>
      <c r="C7" s="284">
        <v>0.0</v>
      </c>
      <c r="D7" s="285">
        <v>0.0</v>
      </c>
      <c r="E7" s="286">
        <f t="shared" si="2"/>
        <v>27</v>
      </c>
      <c r="F7" s="317">
        <v>7.0</v>
      </c>
      <c r="G7" s="284">
        <v>2.0</v>
      </c>
      <c r="H7" s="285">
        <v>0.0</v>
      </c>
      <c r="I7" s="286">
        <f t="shared" si="3"/>
        <v>9</v>
      </c>
      <c r="J7" s="317">
        <v>59.0</v>
      </c>
      <c r="K7" s="284">
        <v>1.0</v>
      </c>
      <c r="L7" s="285">
        <v>0.0</v>
      </c>
      <c r="M7" s="286">
        <f t="shared" si="4"/>
        <v>60</v>
      </c>
      <c r="N7" s="136"/>
      <c r="O7" s="149">
        <f t="shared" ref="O7:Q7" si="12">J7+F7+B7</f>
        <v>93</v>
      </c>
      <c r="P7" s="149">
        <f t="shared" si="12"/>
        <v>3</v>
      </c>
      <c r="Q7" s="149">
        <f t="shared" si="12"/>
        <v>0</v>
      </c>
      <c r="R7" s="318">
        <f t="shared" si="6"/>
        <v>96</v>
      </c>
      <c r="S7" s="319">
        <v>51.0</v>
      </c>
      <c r="T7" s="319">
        <f t="shared" si="7"/>
        <v>9</v>
      </c>
      <c r="U7" s="320" t="s">
        <v>223</v>
      </c>
      <c r="V7" s="12" t="s">
        <v>57</v>
      </c>
      <c r="W7" s="12">
        <v>60.0</v>
      </c>
      <c r="X7" s="12">
        <f t="shared" si="8"/>
        <v>0</v>
      </c>
      <c r="Y7" s="12">
        <v>60.0</v>
      </c>
      <c r="Z7" s="12">
        <f t="shared" si="9"/>
        <v>0</v>
      </c>
      <c r="AA7" s="12">
        <v>44.0</v>
      </c>
      <c r="AB7" s="12">
        <f t="shared" si="13"/>
        <v>16</v>
      </c>
      <c r="AC7" s="12">
        <v>54.0</v>
      </c>
      <c r="AD7" s="20">
        <f t="shared" si="10"/>
        <v>6</v>
      </c>
      <c r="AE7" s="312">
        <f t="shared" si="11"/>
        <v>1500</v>
      </c>
      <c r="AF7" s="12" t="s">
        <v>225</v>
      </c>
      <c r="AG7" s="12" t="s">
        <v>226</v>
      </c>
      <c r="AH7" s="12" t="s">
        <v>193</v>
      </c>
    </row>
    <row r="8">
      <c r="A8" s="95" t="s">
        <v>16</v>
      </c>
      <c r="B8" s="317">
        <v>31.0</v>
      </c>
      <c r="C8" s="284">
        <v>1.0</v>
      </c>
      <c r="D8" s="285">
        <v>0.0</v>
      </c>
      <c r="E8" s="286">
        <f t="shared" si="2"/>
        <v>32</v>
      </c>
      <c r="F8" s="317">
        <v>20.0</v>
      </c>
      <c r="G8" s="284">
        <v>0.0</v>
      </c>
      <c r="H8" s="285">
        <v>0.0</v>
      </c>
      <c r="I8" s="286">
        <f t="shared" si="3"/>
        <v>20</v>
      </c>
      <c r="J8" s="317">
        <v>97.0</v>
      </c>
      <c r="K8" s="284">
        <v>0.0</v>
      </c>
      <c r="L8" s="285">
        <v>0.0</v>
      </c>
      <c r="M8" s="286">
        <f t="shared" si="4"/>
        <v>97</v>
      </c>
      <c r="N8" s="136"/>
      <c r="O8" s="149">
        <f t="shared" ref="O8:Q8" si="14">J8+F8+B8</f>
        <v>148</v>
      </c>
      <c r="P8" s="149">
        <f t="shared" si="14"/>
        <v>1</v>
      </c>
      <c r="Q8" s="149">
        <f t="shared" si="14"/>
        <v>0</v>
      </c>
      <c r="R8" s="318">
        <f t="shared" si="6"/>
        <v>149</v>
      </c>
      <c r="S8" s="319">
        <v>75.0</v>
      </c>
      <c r="T8" s="319">
        <f t="shared" si="7"/>
        <v>22</v>
      </c>
      <c r="U8" s="320" t="s">
        <v>223</v>
      </c>
      <c r="V8" s="12" t="s">
        <v>57</v>
      </c>
      <c r="W8" s="12">
        <v>98.0</v>
      </c>
      <c r="X8" s="12">
        <f t="shared" si="8"/>
        <v>-1</v>
      </c>
      <c r="Y8" s="12">
        <v>98.0</v>
      </c>
      <c r="Z8" s="12">
        <f t="shared" si="9"/>
        <v>-1</v>
      </c>
      <c r="AA8" s="12">
        <v>68.0</v>
      </c>
      <c r="AB8" s="12">
        <f t="shared" si="13"/>
        <v>30</v>
      </c>
      <c r="AC8" s="12">
        <v>83.0</v>
      </c>
      <c r="AD8" s="20">
        <f t="shared" si="10"/>
        <v>14</v>
      </c>
      <c r="AE8" s="312">
        <f t="shared" si="11"/>
        <v>3500</v>
      </c>
      <c r="AF8" s="12" t="s">
        <v>227</v>
      </c>
      <c r="AG8" s="12" t="s">
        <v>228</v>
      </c>
      <c r="AH8" s="12" t="s">
        <v>34</v>
      </c>
    </row>
    <row r="9">
      <c r="A9" s="103" t="s">
        <v>17</v>
      </c>
      <c r="B9" s="300">
        <f t="shared" ref="B9:C9" si="15">sum(B5:B8)</f>
        <v>127</v>
      </c>
      <c r="C9" s="300">
        <f t="shared" si="15"/>
        <v>7</v>
      </c>
      <c r="D9" s="300">
        <f>SUM(D5:D8)</f>
        <v>78</v>
      </c>
      <c r="E9" s="300">
        <f t="shared" ref="E9:G9" si="16">sum(E5:E8)</f>
        <v>212</v>
      </c>
      <c r="F9" s="300">
        <f t="shared" si="16"/>
        <v>59</v>
      </c>
      <c r="G9" s="300">
        <f t="shared" si="16"/>
        <v>3</v>
      </c>
      <c r="H9" s="300">
        <f>SUM(H5:H8)</f>
        <v>88</v>
      </c>
      <c r="I9" s="300">
        <f t="shared" ref="I9:K9" si="17">sum(I5:I8)</f>
        <v>150</v>
      </c>
      <c r="J9" s="300">
        <f t="shared" si="17"/>
        <v>336</v>
      </c>
      <c r="K9" s="300">
        <f t="shared" si="17"/>
        <v>42</v>
      </c>
      <c r="L9" s="300">
        <f>SUM(L5:L8)</f>
        <v>243</v>
      </c>
      <c r="M9" s="300">
        <f>sum(M5:M8)</f>
        <v>621</v>
      </c>
      <c r="N9" s="136"/>
      <c r="O9" s="300">
        <f t="shared" ref="O9:P9" si="18">sum(O5:O8)</f>
        <v>522</v>
      </c>
      <c r="P9" s="300">
        <f t="shared" si="18"/>
        <v>52</v>
      </c>
      <c r="Q9" s="300">
        <f>SUM(Q5:Q8)</f>
        <v>409</v>
      </c>
      <c r="R9" s="304">
        <f t="shared" ref="R9:T9" si="19">sum(R5:R8)</f>
        <v>983</v>
      </c>
      <c r="S9" s="321">
        <f t="shared" si="19"/>
        <v>589</v>
      </c>
      <c r="T9" s="321">
        <f t="shared" si="19"/>
        <v>32</v>
      </c>
      <c r="U9" s="322"/>
      <c r="W9" s="20">
        <f>SUM(W5:W8)</f>
        <v>626</v>
      </c>
      <c r="X9" s="12">
        <f t="shared" si="8"/>
        <v>-5</v>
      </c>
      <c r="Y9" s="20">
        <f>SUM(Y5:Y8)</f>
        <v>379</v>
      </c>
      <c r="Z9" s="12">
        <f t="shared" si="9"/>
        <v>-1</v>
      </c>
      <c r="AA9" s="44">
        <f t="shared" ref="AA9:AD9" si="20">sum(AA5:AA8)</f>
        <v>277</v>
      </c>
      <c r="AB9" s="44">
        <f t="shared" si="20"/>
        <v>109</v>
      </c>
      <c r="AC9" s="44">
        <f t="shared" si="20"/>
        <v>347</v>
      </c>
      <c r="AD9" s="44">
        <f t="shared" si="20"/>
        <v>31</v>
      </c>
      <c r="AE9" s="312"/>
      <c r="AF9" s="12" t="s">
        <v>145</v>
      </c>
      <c r="AG9" s="12" t="s">
        <v>229</v>
      </c>
      <c r="AH9" s="12" t="s">
        <v>34</v>
      </c>
    </row>
    <row r="10">
      <c r="A10" s="95" t="s">
        <v>18</v>
      </c>
      <c r="B10" s="323">
        <v>23.0</v>
      </c>
      <c r="C10" s="323">
        <v>1.0</v>
      </c>
      <c r="D10" s="149">
        <v>1.0</v>
      </c>
      <c r="E10" s="286">
        <f t="shared" ref="E10:E13" si="22">SUM(B10:D10)</f>
        <v>25</v>
      </c>
      <c r="F10" s="323">
        <v>17.0</v>
      </c>
      <c r="G10" s="323"/>
      <c r="H10" s="149"/>
      <c r="I10" s="286">
        <f t="shared" ref="I10:I13" si="23">SUM(F10:H10)</f>
        <v>17</v>
      </c>
      <c r="J10" s="323">
        <v>102.0</v>
      </c>
      <c r="K10" s="323">
        <v>1.0</v>
      </c>
      <c r="L10" s="149"/>
      <c r="M10" s="286">
        <f t="shared" ref="M10:M13" si="24">SUM(J10:L10)</f>
        <v>103</v>
      </c>
      <c r="N10" s="136"/>
      <c r="O10" s="149">
        <f t="shared" ref="O10:Q10" si="21">J10+F10+B10</f>
        <v>142</v>
      </c>
      <c r="P10" s="149">
        <f t="shared" si="21"/>
        <v>2</v>
      </c>
      <c r="Q10" s="149">
        <f t="shared" si="21"/>
        <v>1</v>
      </c>
      <c r="R10" s="318">
        <f t="shared" ref="R10:R13" si="26">SUM(O10:Q10)</f>
        <v>145</v>
      </c>
      <c r="S10" s="319">
        <v>75.0</v>
      </c>
      <c r="T10" s="319">
        <f t="shared" ref="T10:T13" si="27">M10-S10</f>
        <v>28</v>
      </c>
      <c r="U10" s="320" t="s">
        <v>230</v>
      </c>
      <c r="V10" s="12" t="s">
        <v>48</v>
      </c>
      <c r="W10" s="12">
        <v>103.0</v>
      </c>
      <c r="X10" s="12">
        <f t="shared" si="8"/>
        <v>0</v>
      </c>
      <c r="Y10" s="12">
        <v>103.0</v>
      </c>
      <c r="Z10" s="12">
        <f t="shared" si="9"/>
        <v>0</v>
      </c>
      <c r="AA10" s="12">
        <v>76.0</v>
      </c>
      <c r="AB10" s="12">
        <f t="shared" ref="AB10:AB13" si="28">Y10-AA10</f>
        <v>27</v>
      </c>
      <c r="AC10" s="12">
        <v>88.0</v>
      </c>
      <c r="AD10" s="20">
        <f t="shared" ref="AD10:AD13" si="29">J10+K10-AC10</f>
        <v>15</v>
      </c>
      <c r="AE10" s="312">
        <f t="shared" ref="AE10:AE13" si="30">AD10*250</f>
        <v>3750</v>
      </c>
      <c r="AF10" s="12" t="s">
        <v>231</v>
      </c>
      <c r="AG10" s="12" t="s">
        <v>232</v>
      </c>
      <c r="AH10" s="12" t="s">
        <v>193</v>
      </c>
    </row>
    <row r="11">
      <c r="A11" s="95" t="s">
        <v>19</v>
      </c>
      <c r="B11" s="323">
        <v>25.0</v>
      </c>
      <c r="C11" s="323">
        <v>4.0</v>
      </c>
      <c r="D11" s="149">
        <v>12.0</v>
      </c>
      <c r="E11" s="286">
        <f t="shared" si="22"/>
        <v>41</v>
      </c>
      <c r="F11" s="323">
        <v>11.0</v>
      </c>
      <c r="G11" s="323">
        <v>1.0</v>
      </c>
      <c r="H11" s="149">
        <v>1.0</v>
      </c>
      <c r="I11" s="286">
        <f t="shared" si="23"/>
        <v>13</v>
      </c>
      <c r="J11" s="323">
        <v>82.0</v>
      </c>
      <c r="K11" s="323">
        <v>3.0</v>
      </c>
      <c r="L11" s="149">
        <v>133.0</v>
      </c>
      <c r="M11" s="286">
        <f t="shared" si="24"/>
        <v>218</v>
      </c>
      <c r="N11" s="136"/>
      <c r="O11" s="149">
        <f t="shared" ref="O11:P11" si="25">J11+F11+B11</f>
        <v>118</v>
      </c>
      <c r="P11" s="149">
        <f t="shared" si="25"/>
        <v>8</v>
      </c>
      <c r="Q11" s="149">
        <f>L11+H11+D20</f>
        <v>134</v>
      </c>
      <c r="R11" s="318">
        <f t="shared" si="26"/>
        <v>260</v>
      </c>
      <c r="S11" s="319">
        <v>177.0</v>
      </c>
      <c r="T11" s="319">
        <f t="shared" si="27"/>
        <v>41</v>
      </c>
      <c r="U11" s="320" t="s">
        <v>223</v>
      </c>
      <c r="V11" s="12" t="s">
        <v>48</v>
      </c>
      <c r="W11" s="12">
        <v>206.0</v>
      </c>
      <c r="X11" s="282">
        <f t="shared" si="8"/>
        <v>12</v>
      </c>
      <c r="Y11" s="12">
        <v>85.0</v>
      </c>
      <c r="Z11" s="12">
        <f t="shared" si="9"/>
        <v>0</v>
      </c>
      <c r="AA11" s="12">
        <v>75.0</v>
      </c>
      <c r="AB11" s="12">
        <f t="shared" si="28"/>
        <v>10</v>
      </c>
      <c r="AC11" s="12">
        <v>70.0</v>
      </c>
      <c r="AD11" s="20">
        <f t="shared" si="29"/>
        <v>15</v>
      </c>
      <c r="AE11" s="312">
        <f t="shared" si="30"/>
        <v>3750</v>
      </c>
      <c r="AF11" s="12" t="s">
        <v>146</v>
      </c>
      <c r="AG11" s="12" t="s">
        <v>233</v>
      </c>
      <c r="AH11" s="12" t="s">
        <v>36</v>
      </c>
    </row>
    <row r="12">
      <c r="A12" s="95" t="s">
        <v>20</v>
      </c>
      <c r="B12" s="323">
        <v>31.0</v>
      </c>
      <c r="C12" s="323"/>
      <c r="D12" s="149"/>
      <c r="E12" s="286">
        <f t="shared" si="22"/>
        <v>31</v>
      </c>
      <c r="F12" s="323">
        <v>14.0</v>
      </c>
      <c r="G12" s="323">
        <v>1.0</v>
      </c>
      <c r="H12" s="149"/>
      <c r="I12" s="286">
        <f t="shared" si="23"/>
        <v>15</v>
      </c>
      <c r="J12" s="323">
        <v>62.0</v>
      </c>
      <c r="K12" s="323"/>
      <c r="L12" s="149"/>
      <c r="M12" s="286">
        <f t="shared" si="24"/>
        <v>62</v>
      </c>
      <c r="N12" s="136"/>
      <c r="O12" s="149">
        <f t="shared" ref="O12:Q12" si="31">J12+F12+B12</f>
        <v>107</v>
      </c>
      <c r="P12" s="149">
        <f t="shared" si="31"/>
        <v>1</v>
      </c>
      <c r="Q12" s="149">
        <f t="shared" si="31"/>
        <v>0</v>
      </c>
      <c r="R12" s="318">
        <f t="shared" si="26"/>
        <v>108</v>
      </c>
      <c r="S12" s="319">
        <v>57.0</v>
      </c>
      <c r="T12" s="319">
        <f t="shared" si="27"/>
        <v>5</v>
      </c>
      <c r="U12" s="320" t="s">
        <v>230</v>
      </c>
      <c r="V12" s="12" t="s">
        <v>48</v>
      </c>
      <c r="W12" s="12">
        <v>62.0</v>
      </c>
      <c r="X12" s="12">
        <f t="shared" si="8"/>
        <v>0</v>
      </c>
      <c r="Y12" s="12">
        <v>62.0</v>
      </c>
      <c r="Z12" s="12">
        <f t="shared" si="9"/>
        <v>0</v>
      </c>
      <c r="AA12" s="12">
        <v>50.0</v>
      </c>
      <c r="AB12" s="12">
        <f t="shared" si="28"/>
        <v>12</v>
      </c>
      <c r="AC12" s="12">
        <v>49.0</v>
      </c>
      <c r="AD12" s="20">
        <f t="shared" si="29"/>
        <v>13</v>
      </c>
      <c r="AE12" s="312">
        <f t="shared" si="30"/>
        <v>3250</v>
      </c>
      <c r="AF12" s="12" t="s">
        <v>159</v>
      </c>
      <c r="AG12" s="12" t="s">
        <v>234</v>
      </c>
      <c r="AH12" s="12" t="s">
        <v>34</v>
      </c>
    </row>
    <row r="13">
      <c r="A13" s="95" t="s">
        <v>21</v>
      </c>
      <c r="B13" s="323">
        <v>39.0</v>
      </c>
      <c r="C13" s="323"/>
      <c r="D13" s="149"/>
      <c r="E13" s="286">
        <f t="shared" si="22"/>
        <v>39</v>
      </c>
      <c r="F13" s="323">
        <v>17.0</v>
      </c>
      <c r="G13" s="323"/>
      <c r="H13" s="149"/>
      <c r="I13" s="286">
        <f t="shared" si="23"/>
        <v>17</v>
      </c>
      <c r="J13" s="323">
        <v>104.0</v>
      </c>
      <c r="K13" s="323">
        <v>1.0</v>
      </c>
      <c r="L13" s="149"/>
      <c r="M13" s="286">
        <f t="shared" si="24"/>
        <v>105</v>
      </c>
      <c r="N13" s="136"/>
      <c r="O13" s="149">
        <f t="shared" ref="O13:P13" si="32">J13+F13+B13</f>
        <v>160</v>
      </c>
      <c r="P13" s="149">
        <f t="shared" si="32"/>
        <v>1</v>
      </c>
      <c r="Q13" s="149"/>
      <c r="R13" s="318">
        <f t="shared" si="26"/>
        <v>161</v>
      </c>
      <c r="S13" s="319">
        <v>101.0</v>
      </c>
      <c r="T13" s="319">
        <f t="shared" si="27"/>
        <v>4</v>
      </c>
      <c r="U13" s="320" t="s">
        <v>230</v>
      </c>
      <c r="V13" s="12" t="s">
        <v>48</v>
      </c>
      <c r="W13" s="12">
        <v>105.0</v>
      </c>
      <c r="X13" s="12">
        <f t="shared" si="8"/>
        <v>0</v>
      </c>
      <c r="Y13" s="12">
        <v>105.0</v>
      </c>
      <c r="Z13" s="12">
        <f t="shared" si="9"/>
        <v>0</v>
      </c>
      <c r="AA13" s="12">
        <v>98.0</v>
      </c>
      <c r="AB13" s="12">
        <f t="shared" si="28"/>
        <v>7</v>
      </c>
      <c r="AC13" s="12">
        <v>92.0</v>
      </c>
      <c r="AD13" s="20">
        <f t="shared" si="29"/>
        <v>13</v>
      </c>
      <c r="AE13" s="312">
        <f t="shared" si="30"/>
        <v>3250</v>
      </c>
      <c r="AF13" s="12" t="s">
        <v>159</v>
      </c>
      <c r="AG13" s="12" t="s">
        <v>235</v>
      </c>
      <c r="AH13" s="12" t="s">
        <v>193</v>
      </c>
    </row>
    <row r="14">
      <c r="A14" s="103" t="s">
        <v>22</v>
      </c>
      <c r="B14" s="300">
        <f t="shared" ref="B14:C14" si="33">sum(B10:B13)</f>
        <v>118</v>
      </c>
      <c r="C14" s="300">
        <f t="shared" si="33"/>
        <v>5</v>
      </c>
      <c r="D14" s="300">
        <f>SUM(D10:D13)</f>
        <v>13</v>
      </c>
      <c r="E14" s="300">
        <f t="shared" ref="E14:G14" si="34">sum(E10:E13)</f>
        <v>136</v>
      </c>
      <c r="F14" s="300">
        <f t="shared" si="34"/>
        <v>59</v>
      </c>
      <c r="G14" s="300">
        <f t="shared" si="34"/>
        <v>2</v>
      </c>
      <c r="H14" s="300">
        <f>SUM(H10:H13)</f>
        <v>1</v>
      </c>
      <c r="I14" s="300">
        <f t="shared" ref="I14:K14" si="35">sum(I10:I13)</f>
        <v>62</v>
      </c>
      <c r="J14" s="300">
        <f t="shared" si="35"/>
        <v>350</v>
      </c>
      <c r="K14" s="300">
        <f t="shared" si="35"/>
        <v>5</v>
      </c>
      <c r="L14" s="300">
        <f>SUM(L10:L13)</f>
        <v>133</v>
      </c>
      <c r="M14" s="300">
        <f>sum(M10:M13)</f>
        <v>488</v>
      </c>
      <c r="N14" s="136"/>
      <c r="O14" s="300">
        <f t="shared" ref="O14:P14" si="36">sum(O10:O13)</f>
        <v>527</v>
      </c>
      <c r="P14" s="300">
        <f t="shared" si="36"/>
        <v>12</v>
      </c>
      <c r="Q14" s="300">
        <f>SUM(Q10:Q13)</f>
        <v>135</v>
      </c>
      <c r="R14" s="304">
        <f t="shared" ref="R14:T14" si="37">sum(R10:R13)</f>
        <v>674</v>
      </c>
      <c r="S14" s="321">
        <f t="shared" si="37"/>
        <v>410</v>
      </c>
      <c r="T14" s="321">
        <f t="shared" si="37"/>
        <v>78</v>
      </c>
      <c r="U14" s="322"/>
      <c r="W14" s="20">
        <f>sum(W10:W13)</f>
        <v>476</v>
      </c>
      <c r="X14" s="12">
        <f t="shared" si="8"/>
        <v>12</v>
      </c>
      <c r="Y14" s="20">
        <f>sum(Y10:Y13)</f>
        <v>355</v>
      </c>
      <c r="Z14" s="12">
        <f t="shared" si="9"/>
        <v>0</v>
      </c>
      <c r="AA14" s="44">
        <f t="shared" ref="AA14:AD14" si="38">sum(AA10:AA13)</f>
        <v>299</v>
      </c>
      <c r="AB14" s="44">
        <f t="shared" si="38"/>
        <v>56</v>
      </c>
      <c r="AC14" s="44">
        <f t="shared" si="38"/>
        <v>299</v>
      </c>
      <c r="AD14" s="44">
        <f t="shared" si="38"/>
        <v>56</v>
      </c>
      <c r="AE14" s="312"/>
      <c r="AF14" s="12" t="s">
        <v>143</v>
      </c>
      <c r="AG14" s="12" t="s">
        <v>236</v>
      </c>
      <c r="AH14" s="12" t="s">
        <v>34</v>
      </c>
    </row>
    <row r="15">
      <c r="A15" s="95" t="s">
        <v>23</v>
      </c>
      <c r="B15" s="323">
        <v>25.0</v>
      </c>
      <c r="C15" s="323">
        <v>11.0</v>
      </c>
      <c r="D15" s="149">
        <v>22.0</v>
      </c>
      <c r="E15" s="286">
        <f t="shared" ref="E15:E17" si="40">SUM(B15:D15)</f>
        <v>58</v>
      </c>
      <c r="F15" s="323">
        <v>6.0</v>
      </c>
      <c r="G15" s="323">
        <v>11.0</v>
      </c>
      <c r="H15" s="149">
        <v>60.0</v>
      </c>
      <c r="I15" s="286">
        <f t="shared" ref="I15:I17" si="41">SUM(F15:H15)</f>
        <v>77</v>
      </c>
      <c r="J15" s="323">
        <v>65.0</v>
      </c>
      <c r="K15" s="323">
        <v>13.0</v>
      </c>
      <c r="L15" s="149">
        <v>98.0</v>
      </c>
      <c r="M15" s="286">
        <f t="shared" ref="M15:M17" si="42">SUM(J15:L15)</f>
        <v>176</v>
      </c>
      <c r="N15" s="136"/>
      <c r="O15" s="149">
        <f t="shared" ref="O15:P15" si="39">J15+F15+B15</f>
        <v>96</v>
      </c>
      <c r="P15" s="149">
        <f t="shared" si="39"/>
        <v>35</v>
      </c>
      <c r="Q15" s="149">
        <f>L15+H15+O31</f>
        <v>172</v>
      </c>
      <c r="R15" s="318">
        <f t="shared" ref="R15:R17" si="44">SUM(O15:Q15)</f>
        <v>303</v>
      </c>
      <c r="S15" s="319">
        <v>208.0</v>
      </c>
      <c r="T15" s="319">
        <f t="shared" ref="T15:T17" si="45">M15-S15</f>
        <v>-32</v>
      </c>
      <c r="U15" s="320" t="s">
        <v>223</v>
      </c>
      <c r="V15" s="12" t="s">
        <v>77</v>
      </c>
      <c r="W15" s="12">
        <v>175.0</v>
      </c>
      <c r="X15" s="12">
        <f t="shared" si="8"/>
        <v>1</v>
      </c>
      <c r="Y15" s="12">
        <v>78.0</v>
      </c>
      <c r="Z15" s="282">
        <f t="shared" si="9"/>
        <v>0</v>
      </c>
      <c r="AA15" s="12">
        <v>82.0</v>
      </c>
      <c r="AB15" s="12">
        <f t="shared" ref="AB15:AB17" si="46">Y15-AA15</f>
        <v>-4</v>
      </c>
      <c r="AC15" s="12">
        <v>60.0</v>
      </c>
      <c r="AD15" s="20">
        <f t="shared" ref="AD15:AD17" si="47">J15+K15-AC15</f>
        <v>18</v>
      </c>
      <c r="AE15" s="312">
        <f t="shared" ref="AE15:AE17" si="48">AD15*250</f>
        <v>4500</v>
      </c>
      <c r="AF15" s="12" t="s">
        <v>142</v>
      </c>
      <c r="AG15" s="12" t="s">
        <v>237</v>
      </c>
      <c r="AH15" s="12" t="s">
        <v>34</v>
      </c>
    </row>
    <row r="16">
      <c r="A16" s="95" t="s">
        <v>24</v>
      </c>
      <c r="B16" s="323">
        <v>28.0</v>
      </c>
      <c r="C16" s="323">
        <v>0.0</v>
      </c>
      <c r="D16" s="149"/>
      <c r="E16" s="286">
        <f t="shared" si="40"/>
        <v>28</v>
      </c>
      <c r="F16" s="323">
        <v>9.0</v>
      </c>
      <c r="G16" s="323">
        <v>0.0</v>
      </c>
      <c r="H16" s="149">
        <v>0.0</v>
      </c>
      <c r="I16" s="286">
        <f t="shared" si="41"/>
        <v>9</v>
      </c>
      <c r="J16" s="323">
        <v>76.0</v>
      </c>
      <c r="K16" s="323">
        <v>0.0</v>
      </c>
      <c r="L16" s="149"/>
      <c r="M16" s="286">
        <f t="shared" si="42"/>
        <v>76</v>
      </c>
      <c r="N16" s="136"/>
      <c r="O16" s="149">
        <f t="shared" ref="O16:Q16" si="43">J16+F16+B16</f>
        <v>113</v>
      </c>
      <c r="P16" s="149">
        <f t="shared" si="43"/>
        <v>0</v>
      </c>
      <c r="Q16" s="149">
        <f t="shared" si="43"/>
        <v>0</v>
      </c>
      <c r="R16" s="318">
        <f t="shared" si="44"/>
        <v>113</v>
      </c>
      <c r="S16" s="319">
        <v>75.0</v>
      </c>
      <c r="T16" s="319">
        <f t="shared" si="45"/>
        <v>1</v>
      </c>
      <c r="U16" s="320" t="s">
        <v>223</v>
      </c>
      <c r="V16" s="12" t="s">
        <v>77</v>
      </c>
      <c r="W16" s="12">
        <v>76.0</v>
      </c>
      <c r="X16" s="12">
        <f t="shared" si="8"/>
        <v>0</v>
      </c>
      <c r="Y16" s="12">
        <v>76.0</v>
      </c>
      <c r="Z16" s="12">
        <f t="shared" si="9"/>
        <v>0</v>
      </c>
      <c r="AA16" s="12">
        <v>70.0</v>
      </c>
      <c r="AB16" s="12">
        <f t="shared" si="46"/>
        <v>6</v>
      </c>
      <c r="AC16" s="12">
        <v>70.0</v>
      </c>
      <c r="AD16" s="20">
        <f t="shared" si="47"/>
        <v>6</v>
      </c>
      <c r="AE16" s="312">
        <f t="shared" si="48"/>
        <v>1500</v>
      </c>
      <c r="AF16" s="12" t="s">
        <v>141</v>
      </c>
      <c r="AG16" s="12" t="s">
        <v>238</v>
      </c>
      <c r="AH16" s="12" t="s">
        <v>34</v>
      </c>
    </row>
    <row r="17">
      <c r="A17" s="95" t="s">
        <v>25</v>
      </c>
      <c r="B17" s="323">
        <v>9.0</v>
      </c>
      <c r="C17" s="323"/>
      <c r="D17" s="149">
        <v>2.0</v>
      </c>
      <c r="E17" s="286">
        <f t="shared" si="40"/>
        <v>11</v>
      </c>
      <c r="F17" s="323">
        <v>4.0</v>
      </c>
      <c r="G17" s="323"/>
      <c r="H17" s="149"/>
      <c r="I17" s="286">
        <f t="shared" si="41"/>
        <v>4</v>
      </c>
      <c r="J17" s="323">
        <v>33.0</v>
      </c>
      <c r="K17" s="323"/>
      <c r="L17" s="149">
        <v>1.0</v>
      </c>
      <c r="M17" s="286">
        <f t="shared" si="42"/>
        <v>34</v>
      </c>
      <c r="N17" s="136"/>
      <c r="O17" s="149">
        <f t="shared" ref="O17:Q17" si="49">J17+F17+B17</f>
        <v>46</v>
      </c>
      <c r="P17" s="149">
        <f t="shared" si="49"/>
        <v>0</v>
      </c>
      <c r="Q17" s="149">
        <f t="shared" si="49"/>
        <v>3</v>
      </c>
      <c r="R17" s="318">
        <f t="shared" si="44"/>
        <v>49</v>
      </c>
      <c r="S17" s="319">
        <v>24.0</v>
      </c>
      <c r="T17" s="319">
        <f t="shared" si="45"/>
        <v>10</v>
      </c>
      <c r="U17" s="320" t="s">
        <v>223</v>
      </c>
      <c r="V17" s="12" t="s">
        <v>77</v>
      </c>
      <c r="W17" s="12">
        <v>34.0</v>
      </c>
      <c r="X17" s="12">
        <f t="shared" si="8"/>
        <v>0</v>
      </c>
      <c r="Y17" s="12">
        <v>33.0</v>
      </c>
      <c r="Z17" s="12">
        <f t="shared" si="9"/>
        <v>0</v>
      </c>
      <c r="AA17" s="12">
        <v>19.0</v>
      </c>
      <c r="AB17" s="12">
        <f t="shared" si="46"/>
        <v>14</v>
      </c>
      <c r="AC17" s="12">
        <v>25.0</v>
      </c>
      <c r="AD17" s="20">
        <f t="shared" si="47"/>
        <v>8</v>
      </c>
      <c r="AE17" s="312">
        <f t="shared" si="48"/>
        <v>2000</v>
      </c>
      <c r="AS17" s="12" t="s">
        <v>239</v>
      </c>
    </row>
    <row r="18">
      <c r="A18" s="103" t="s">
        <v>26</v>
      </c>
      <c r="B18" s="300">
        <f t="shared" ref="B18:M18" si="50">sum(B15:B17)</f>
        <v>62</v>
      </c>
      <c r="C18" s="300">
        <f t="shared" si="50"/>
        <v>11</v>
      </c>
      <c r="D18" s="300">
        <f t="shared" si="50"/>
        <v>24</v>
      </c>
      <c r="E18" s="300">
        <f t="shared" si="50"/>
        <v>97</v>
      </c>
      <c r="F18" s="300">
        <f t="shared" si="50"/>
        <v>19</v>
      </c>
      <c r="G18" s="300">
        <f t="shared" si="50"/>
        <v>11</v>
      </c>
      <c r="H18" s="300">
        <f t="shared" si="50"/>
        <v>60</v>
      </c>
      <c r="I18" s="300">
        <f t="shared" si="50"/>
        <v>90</v>
      </c>
      <c r="J18" s="300">
        <f t="shared" si="50"/>
        <v>174</v>
      </c>
      <c r="K18" s="300">
        <f t="shared" si="50"/>
        <v>13</v>
      </c>
      <c r="L18" s="300">
        <f t="shared" si="50"/>
        <v>99</v>
      </c>
      <c r="M18" s="300">
        <f t="shared" si="50"/>
        <v>286</v>
      </c>
      <c r="N18" s="136"/>
      <c r="O18" s="300">
        <f t="shared" ref="O18:T18" si="51">sum(O15:O17)</f>
        <v>255</v>
      </c>
      <c r="P18" s="300">
        <f t="shared" si="51"/>
        <v>35</v>
      </c>
      <c r="Q18" s="300">
        <f t="shared" si="51"/>
        <v>175</v>
      </c>
      <c r="R18" s="304">
        <f t="shared" si="51"/>
        <v>465</v>
      </c>
      <c r="S18" s="321">
        <f t="shared" si="51"/>
        <v>307</v>
      </c>
      <c r="T18" s="321">
        <f t="shared" si="51"/>
        <v>-21</v>
      </c>
      <c r="W18" s="20">
        <f>sum(W15:W17)</f>
        <v>285</v>
      </c>
      <c r="X18" s="12">
        <f t="shared" si="8"/>
        <v>1</v>
      </c>
      <c r="Y18" s="20">
        <f>sum(Y15:Y17)</f>
        <v>187</v>
      </c>
      <c r="Z18" s="12">
        <f t="shared" si="9"/>
        <v>0</v>
      </c>
      <c r="AA18" s="44">
        <f t="shared" ref="AA18:AD18" si="52">sum(AA15:AA17)</f>
        <v>171</v>
      </c>
      <c r="AB18" s="44">
        <f t="shared" si="52"/>
        <v>16</v>
      </c>
      <c r="AC18" s="44">
        <f t="shared" si="52"/>
        <v>155</v>
      </c>
      <c r="AD18" s="44">
        <f t="shared" si="52"/>
        <v>32</v>
      </c>
    </row>
    <row r="19">
      <c r="A19" s="15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305"/>
      <c r="S19" s="306"/>
      <c r="T19" s="306"/>
    </row>
    <row r="20">
      <c r="A20" s="13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305"/>
      <c r="S20" s="306"/>
      <c r="T20" s="306"/>
    </row>
    <row r="21">
      <c r="A21" s="108" t="s">
        <v>8</v>
      </c>
      <c r="B21" s="307">
        <f t="shared" ref="B21:M21" si="53">B18+B14+B9</f>
        <v>307</v>
      </c>
      <c r="C21" s="307">
        <f t="shared" si="53"/>
        <v>23</v>
      </c>
      <c r="D21" s="307">
        <f t="shared" si="53"/>
        <v>115</v>
      </c>
      <c r="E21" s="307">
        <f t="shared" si="53"/>
        <v>445</v>
      </c>
      <c r="F21" s="307">
        <f t="shared" si="53"/>
        <v>137</v>
      </c>
      <c r="G21" s="307">
        <f t="shared" si="53"/>
        <v>16</v>
      </c>
      <c r="H21" s="307">
        <f t="shared" si="53"/>
        <v>149</v>
      </c>
      <c r="I21" s="307">
        <f t="shared" si="53"/>
        <v>302</v>
      </c>
      <c r="J21" s="307">
        <f t="shared" si="53"/>
        <v>860</v>
      </c>
      <c r="K21" s="307">
        <f t="shared" si="53"/>
        <v>60</v>
      </c>
      <c r="L21" s="307">
        <f t="shared" si="53"/>
        <v>475</v>
      </c>
      <c r="M21" s="307">
        <f t="shared" si="53"/>
        <v>1395</v>
      </c>
      <c r="N21" s="205"/>
      <c r="O21" s="307">
        <f t="shared" ref="O21:T21" si="54">O18+O14+O9</f>
        <v>1304</v>
      </c>
      <c r="P21" s="307">
        <f t="shared" si="54"/>
        <v>99</v>
      </c>
      <c r="Q21" s="307">
        <f t="shared" si="54"/>
        <v>719</v>
      </c>
      <c r="R21" s="308">
        <f t="shared" si="54"/>
        <v>2122</v>
      </c>
      <c r="S21" s="309">
        <f t="shared" si="54"/>
        <v>1306</v>
      </c>
      <c r="T21" s="309">
        <f t="shared" si="54"/>
        <v>89</v>
      </c>
      <c r="W21" s="20">
        <f>W18+W14+W9</f>
        <v>1387</v>
      </c>
      <c r="X21" s="41">
        <f>M21-W21</f>
        <v>8</v>
      </c>
      <c r="Y21" s="20">
        <f>Y18+Y14+Y9</f>
        <v>921</v>
      </c>
      <c r="Z21" s="41">
        <f>J21+K21-Y21</f>
        <v>-1</v>
      </c>
      <c r="AA21" s="44">
        <f t="shared" ref="AA21:AD21" si="55">AA18+AA14+AA9</f>
        <v>747</v>
      </c>
      <c r="AB21" s="44">
        <f t="shared" si="55"/>
        <v>181</v>
      </c>
      <c r="AC21" s="44">
        <f t="shared" si="55"/>
        <v>801</v>
      </c>
      <c r="AD21" s="44">
        <f t="shared" si="55"/>
        <v>119</v>
      </c>
    </row>
    <row r="23">
      <c r="J23" s="12">
        <v>801.0</v>
      </c>
      <c r="Q23" s="12" t="s">
        <v>240</v>
      </c>
      <c r="S23" s="324">
        <v>1415.0</v>
      </c>
      <c r="W23" s="20">
        <f>W21-Y21</f>
        <v>466</v>
      </c>
    </row>
    <row r="27">
      <c r="A27" s="187"/>
      <c r="B27" s="316" t="s">
        <v>241</v>
      </c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8"/>
      <c r="N27" s="226"/>
      <c r="O27" s="226"/>
    </row>
    <row r="28">
      <c r="A28" s="13"/>
      <c r="B28" s="325" t="s">
        <v>208</v>
      </c>
      <c r="C28" s="91"/>
      <c r="D28" s="91"/>
      <c r="E28" s="91" t="s">
        <v>209</v>
      </c>
      <c r="F28" s="90"/>
      <c r="G28" s="90"/>
      <c r="H28" s="91" t="s">
        <v>111</v>
      </c>
      <c r="I28" s="90"/>
      <c r="J28" s="90"/>
      <c r="K28" s="91" t="s">
        <v>8</v>
      </c>
      <c r="L28" s="90"/>
      <c r="M28" s="92"/>
      <c r="N28" s="138"/>
      <c r="O28" s="138"/>
    </row>
    <row r="29">
      <c r="A29" s="15"/>
      <c r="B29" s="179" t="s">
        <v>34</v>
      </c>
      <c r="C29" s="179" t="s">
        <v>36</v>
      </c>
      <c r="D29" s="179" t="s">
        <v>37</v>
      </c>
      <c r="E29" s="179" t="s">
        <v>34</v>
      </c>
      <c r="F29" s="179" t="s">
        <v>36</v>
      </c>
      <c r="G29" s="179" t="s">
        <v>37</v>
      </c>
      <c r="H29" s="179" t="s">
        <v>34</v>
      </c>
      <c r="I29" s="179" t="s">
        <v>36</v>
      </c>
      <c r="J29" s="179" t="s">
        <v>37</v>
      </c>
      <c r="K29" s="179" t="s">
        <v>34</v>
      </c>
      <c r="L29" s="179" t="s">
        <v>36</v>
      </c>
      <c r="M29" s="181" t="s">
        <v>37</v>
      </c>
      <c r="N29" s="228" t="s">
        <v>242</v>
      </c>
      <c r="O29" s="228" t="s">
        <v>39</v>
      </c>
      <c r="P29" s="15"/>
      <c r="Q29" s="10" t="s">
        <v>213</v>
      </c>
      <c r="R29" s="8" t="s">
        <v>214</v>
      </c>
      <c r="T29" s="8"/>
      <c r="U29" s="8" t="s">
        <v>212</v>
      </c>
      <c r="V29" s="8" t="s">
        <v>30</v>
      </c>
    </row>
    <row r="30">
      <c r="A30" s="95" t="s">
        <v>13</v>
      </c>
      <c r="B30" s="288"/>
      <c r="C30" s="285">
        <v>1.0</v>
      </c>
      <c r="D30" s="286">
        <f t="shared" ref="D30:D33" si="57">SUM(A30:C30)</f>
        <v>1</v>
      </c>
      <c r="E30" s="288">
        <v>2.0</v>
      </c>
      <c r="F30" s="285"/>
      <c r="G30" s="286">
        <f t="shared" ref="G30:G33" si="58">E30+F30</f>
        <v>2</v>
      </c>
      <c r="H30" s="288">
        <v>22.0</v>
      </c>
      <c r="I30" s="285">
        <v>30.0</v>
      </c>
      <c r="J30" s="286">
        <f t="shared" ref="J30:J33" si="59">H30+I30</f>
        <v>52</v>
      </c>
      <c r="K30" s="285">
        <f t="shared" ref="K30:L30" si="56">H30+E30+B30</f>
        <v>24</v>
      </c>
      <c r="L30" s="285">
        <f t="shared" si="56"/>
        <v>31</v>
      </c>
      <c r="M30" s="318">
        <f t="shared" ref="M30:M33" si="61">sum(K30:L30)</f>
        <v>55</v>
      </c>
      <c r="N30" s="319">
        <v>32.0</v>
      </c>
      <c r="O30" s="319">
        <f t="shared" ref="O30:O33" si="62">N30-M30</f>
        <v>-23</v>
      </c>
      <c r="P30" s="326" t="s">
        <v>13</v>
      </c>
      <c r="Q30" s="12">
        <v>52.0</v>
      </c>
      <c r="R30" s="20">
        <f t="shared" ref="R30:R38" si="63">J30-Q30</f>
        <v>0</v>
      </c>
      <c r="U30" s="320" t="s">
        <v>223</v>
      </c>
      <c r="V30" s="12" t="s">
        <v>75</v>
      </c>
    </row>
    <row r="31">
      <c r="A31" s="95" t="s">
        <v>14</v>
      </c>
      <c r="B31" s="288"/>
      <c r="C31" s="285"/>
      <c r="D31" s="286">
        <f t="shared" si="57"/>
        <v>0</v>
      </c>
      <c r="E31" s="288"/>
      <c r="F31" s="285"/>
      <c r="G31" s="286">
        <f t="shared" si="58"/>
        <v>0</v>
      </c>
      <c r="H31" s="288">
        <v>10.0</v>
      </c>
      <c r="I31" s="285"/>
      <c r="J31" s="286">
        <f t="shared" si="59"/>
        <v>10</v>
      </c>
      <c r="K31" s="285">
        <f t="shared" ref="K31:L31" si="60">H31+E31+B31</f>
        <v>10</v>
      </c>
      <c r="L31" s="285">
        <f t="shared" si="60"/>
        <v>0</v>
      </c>
      <c r="M31" s="318">
        <f t="shared" si="61"/>
        <v>10</v>
      </c>
      <c r="N31" s="319">
        <v>24.0</v>
      </c>
      <c r="O31" s="319">
        <f t="shared" si="62"/>
        <v>14</v>
      </c>
      <c r="P31" s="326" t="s">
        <v>14</v>
      </c>
      <c r="Q31" s="12">
        <v>10.0</v>
      </c>
      <c r="R31" s="20">
        <f t="shared" si="63"/>
        <v>0</v>
      </c>
      <c r="U31" s="320" t="s">
        <v>223</v>
      </c>
      <c r="V31" s="12" t="s">
        <v>75</v>
      </c>
    </row>
    <row r="32">
      <c r="A32" s="95" t="s">
        <v>15</v>
      </c>
      <c r="B32" s="288">
        <v>1.0</v>
      </c>
      <c r="C32" s="285"/>
      <c r="D32" s="286">
        <f t="shared" si="57"/>
        <v>1</v>
      </c>
      <c r="E32" s="288"/>
      <c r="F32" s="285"/>
      <c r="G32" s="286">
        <f t="shared" si="58"/>
        <v>0</v>
      </c>
      <c r="H32" s="288">
        <v>11.0</v>
      </c>
      <c r="I32" s="285"/>
      <c r="J32" s="286">
        <f t="shared" si="59"/>
        <v>11</v>
      </c>
      <c r="K32" s="285">
        <f t="shared" ref="K32:L32" si="64">H32+E32+B32</f>
        <v>12</v>
      </c>
      <c r="L32" s="285">
        <f t="shared" si="64"/>
        <v>0</v>
      </c>
      <c r="M32" s="318">
        <f t="shared" si="61"/>
        <v>12</v>
      </c>
      <c r="N32" s="319">
        <v>17.0</v>
      </c>
      <c r="O32" s="319">
        <f t="shared" si="62"/>
        <v>5</v>
      </c>
      <c r="P32" s="326" t="s">
        <v>15</v>
      </c>
      <c r="Q32" s="12">
        <v>11.0</v>
      </c>
      <c r="R32" s="20">
        <f t="shared" si="63"/>
        <v>0</v>
      </c>
      <c r="U32" s="320" t="s">
        <v>223</v>
      </c>
      <c r="V32" s="12" t="s">
        <v>75</v>
      </c>
    </row>
    <row r="33">
      <c r="A33" s="95" t="s">
        <v>16</v>
      </c>
      <c r="B33" s="288">
        <v>1.0</v>
      </c>
      <c r="C33" s="285"/>
      <c r="D33" s="286">
        <f t="shared" si="57"/>
        <v>1</v>
      </c>
      <c r="E33" s="288"/>
      <c r="F33" s="285"/>
      <c r="G33" s="286">
        <f t="shared" si="58"/>
        <v>0</v>
      </c>
      <c r="H33" s="288">
        <v>23.0</v>
      </c>
      <c r="I33" s="285"/>
      <c r="J33" s="286">
        <f t="shared" si="59"/>
        <v>23</v>
      </c>
      <c r="K33" s="285">
        <f t="shared" ref="K33:L33" si="65">H33+E33+B33</f>
        <v>24</v>
      </c>
      <c r="L33" s="285">
        <f t="shared" si="65"/>
        <v>0</v>
      </c>
      <c r="M33" s="318">
        <f t="shared" si="61"/>
        <v>24</v>
      </c>
      <c r="N33" s="319">
        <v>21.0</v>
      </c>
      <c r="O33" s="319">
        <f t="shared" si="62"/>
        <v>-3</v>
      </c>
      <c r="P33" s="326" t="s">
        <v>16</v>
      </c>
      <c r="Q33" s="12">
        <v>23.0</v>
      </c>
      <c r="R33" s="20">
        <f t="shared" si="63"/>
        <v>0</v>
      </c>
      <c r="U33" s="320" t="s">
        <v>223</v>
      </c>
      <c r="V33" s="12" t="s">
        <v>75</v>
      </c>
    </row>
    <row r="34">
      <c r="A34" s="103" t="s">
        <v>17</v>
      </c>
      <c r="B34" s="300">
        <f t="shared" ref="B34:K34" si="66">sum(B30:B33)</f>
        <v>2</v>
      </c>
      <c r="C34" s="300">
        <f t="shared" si="66"/>
        <v>1</v>
      </c>
      <c r="D34" s="300">
        <f t="shared" si="66"/>
        <v>3</v>
      </c>
      <c r="E34" s="300">
        <f t="shared" si="66"/>
        <v>2</v>
      </c>
      <c r="F34" s="300">
        <f t="shared" si="66"/>
        <v>0</v>
      </c>
      <c r="G34" s="300">
        <f t="shared" si="66"/>
        <v>2</v>
      </c>
      <c r="H34" s="300">
        <f t="shared" si="66"/>
        <v>66</v>
      </c>
      <c r="I34" s="300">
        <f t="shared" si="66"/>
        <v>30</v>
      </c>
      <c r="J34" s="300">
        <f t="shared" si="66"/>
        <v>96</v>
      </c>
      <c r="K34" s="300">
        <f t="shared" si="66"/>
        <v>70</v>
      </c>
      <c r="L34" s="300">
        <f>SUM(L30:L33)</f>
        <v>31</v>
      </c>
      <c r="M34" s="304">
        <f t="shared" ref="M34:O34" si="67">sum(M30:M33)</f>
        <v>101</v>
      </c>
      <c r="N34" s="321">
        <f t="shared" si="67"/>
        <v>94</v>
      </c>
      <c r="O34" s="321">
        <f t="shared" si="67"/>
        <v>-7</v>
      </c>
      <c r="P34" s="103" t="s">
        <v>17</v>
      </c>
      <c r="Q34" s="20">
        <f>SUM(Q30:Q33)</f>
        <v>96</v>
      </c>
      <c r="R34" s="20">
        <f t="shared" si="63"/>
        <v>0</v>
      </c>
      <c r="U34" s="322"/>
    </row>
    <row r="35">
      <c r="A35" s="95" t="s">
        <v>18</v>
      </c>
      <c r="B35" s="149">
        <v>3.0</v>
      </c>
      <c r="C35" s="149"/>
      <c r="D35" s="286">
        <f t="shared" ref="D35:D38" si="69">SUM(A35:C35)</f>
        <v>3</v>
      </c>
      <c r="E35" s="149">
        <v>1.0</v>
      </c>
      <c r="F35" s="149"/>
      <c r="G35" s="286">
        <f t="shared" ref="G35:G38" si="70">E35+F35</f>
        <v>1</v>
      </c>
      <c r="H35" s="149">
        <v>16.0</v>
      </c>
      <c r="I35" s="149"/>
      <c r="J35" s="286">
        <f t="shared" ref="J35:J38" si="71">H35+I35</f>
        <v>16</v>
      </c>
      <c r="K35" s="285">
        <f t="shared" ref="K35:L35" si="68">H35+E35+B35</f>
        <v>20</v>
      </c>
      <c r="L35" s="285">
        <f t="shared" si="68"/>
        <v>0</v>
      </c>
      <c r="M35" s="318">
        <f t="shared" ref="M35:M38" si="73">sum(K35:L35)</f>
        <v>20</v>
      </c>
      <c r="N35" s="319">
        <v>18.0</v>
      </c>
      <c r="O35" s="319">
        <f t="shared" ref="O35:O38" si="74">N35-M35</f>
        <v>-2</v>
      </c>
      <c r="P35" s="326" t="s">
        <v>18</v>
      </c>
      <c r="Q35" s="12">
        <v>15.0</v>
      </c>
      <c r="R35" s="313">
        <f t="shared" si="63"/>
        <v>1</v>
      </c>
      <c r="U35" s="322"/>
    </row>
    <row r="36">
      <c r="A36" s="95" t="s">
        <v>19</v>
      </c>
      <c r="B36" s="149">
        <v>5.0</v>
      </c>
      <c r="C36" s="149"/>
      <c r="D36" s="286">
        <f t="shared" si="69"/>
        <v>5</v>
      </c>
      <c r="E36" s="149"/>
      <c r="F36" s="149"/>
      <c r="G36" s="286">
        <f t="shared" si="70"/>
        <v>0</v>
      </c>
      <c r="H36" s="149">
        <v>18.0</v>
      </c>
      <c r="I36" s="149"/>
      <c r="J36" s="286">
        <f t="shared" si="71"/>
        <v>18</v>
      </c>
      <c r="K36" s="285">
        <f t="shared" ref="K36:L36" si="72">H36+E36+B36</f>
        <v>23</v>
      </c>
      <c r="L36" s="285">
        <f t="shared" si="72"/>
        <v>0</v>
      </c>
      <c r="M36" s="318">
        <f t="shared" si="73"/>
        <v>23</v>
      </c>
      <c r="N36" s="319">
        <v>20.0</v>
      </c>
      <c r="O36" s="319">
        <f t="shared" si="74"/>
        <v>-3</v>
      </c>
      <c r="P36" s="326" t="s">
        <v>19</v>
      </c>
      <c r="Q36" s="12">
        <v>17.0</v>
      </c>
      <c r="R36" s="313">
        <f t="shared" si="63"/>
        <v>1</v>
      </c>
      <c r="U36" s="322"/>
    </row>
    <row r="37">
      <c r="A37" s="95" t="s">
        <v>20</v>
      </c>
      <c r="B37" s="149">
        <v>1.0</v>
      </c>
      <c r="C37" s="149"/>
      <c r="D37" s="286">
        <f t="shared" si="69"/>
        <v>1</v>
      </c>
      <c r="E37" s="149">
        <v>1.0</v>
      </c>
      <c r="F37" s="149"/>
      <c r="G37" s="286">
        <f t="shared" si="70"/>
        <v>1</v>
      </c>
      <c r="H37" s="149">
        <v>12.0</v>
      </c>
      <c r="I37" s="149"/>
      <c r="J37" s="286">
        <f t="shared" si="71"/>
        <v>12</v>
      </c>
      <c r="K37" s="285">
        <v>14.0</v>
      </c>
      <c r="L37" s="285">
        <f>I37+F37+C37</f>
        <v>0</v>
      </c>
      <c r="M37" s="318">
        <f t="shared" si="73"/>
        <v>14</v>
      </c>
      <c r="N37" s="319">
        <v>13.0</v>
      </c>
      <c r="O37" s="319">
        <f t="shared" si="74"/>
        <v>-1</v>
      </c>
      <c r="P37" s="326" t="s">
        <v>20</v>
      </c>
      <c r="Q37" s="12">
        <v>12.0</v>
      </c>
      <c r="R37" s="20">
        <f t="shared" si="63"/>
        <v>0</v>
      </c>
      <c r="U37" s="322"/>
    </row>
    <row r="38">
      <c r="A38" s="95" t="s">
        <v>21</v>
      </c>
      <c r="B38" s="149">
        <v>1.0</v>
      </c>
      <c r="C38" s="149"/>
      <c r="D38" s="286">
        <f t="shared" si="69"/>
        <v>1</v>
      </c>
      <c r="E38" s="149">
        <v>1.0</v>
      </c>
      <c r="F38" s="149"/>
      <c r="G38" s="286">
        <f t="shared" si="70"/>
        <v>1</v>
      </c>
      <c r="H38" s="149">
        <v>10.0</v>
      </c>
      <c r="I38" s="149"/>
      <c r="J38" s="286">
        <f t="shared" si="71"/>
        <v>10</v>
      </c>
      <c r="K38" s="285">
        <f t="shared" ref="K38:L38" si="75">H38+E38+B38</f>
        <v>12</v>
      </c>
      <c r="L38" s="285">
        <f t="shared" si="75"/>
        <v>0</v>
      </c>
      <c r="M38" s="318">
        <f t="shared" si="73"/>
        <v>12</v>
      </c>
      <c r="N38" s="319">
        <v>25.0</v>
      </c>
      <c r="O38" s="319">
        <f t="shared" si="74"/>
        <v>13</v>
      </c>
      <c r="P38" s="326" t="s">
        <v>21</v>
      </c>
      <c r="Q38" s="12">
        <v>11.0</v>
      </c>
      <c r="R38" s="313">
        <f t="shared" si="63"/>
        <v>-1</v>
      </c>
      <c r="U38" s="322"/>
    </row>
    <row r="39">
      <c r="A39" s="103" t="s">
        <v>22</v>
      </c>
      <c r="B39" s="300">
        <f t="shared" ref="B39:K39" si="76">sum(B35:B38)</f>
        <v>10</v>
      </c>
      <c r="C39" s="300">
        <f t="shared" si="76"/>
        <v>0</v>
      </c>
      <c r="D39" s="300">
        <f t="shared" si="76"/>
        <v>10</v>
      </c>
      <c r="E39" s="300">
        <f t="shared" si="76"/>
        <v>3</v>
      </c>
      <c r="F39" s="300">
        <f t="shared" si="76"/>
        <v>0</v>
      </c>
      <c r="G39" s="300">
        <f t="shared" si="76"/>
        <v>3</v>
      </c>
      <c r="H39" s="300">
        <f t="shared" si="76"/>
        <v>56</v>
      </c>
      <c r="I39" s="300">
        <f t="shared" si="76"/>
        <v>0</v>
      </c>
      <c r="J39" s="300">
        <f t="shared" si="76"/>
        <v>56</v>
      </c>
      <c r="K39" s="300">
        <f t="shared" si="76"/>
        <v>69</v>
      </c>
      <c r="L39" s="300">
        <f>SUM(L35:L38)</f>
        <v>0</v>
      </c>
      <c r="M39" s="304">
        <f t="shared" ref="M39:O39" si="77">sum(M35:M38)</f>
        <v>69</v>
      </c>
      <c r="N39" s="321">
        <f t="shared" si="77"/>
        <v>76</v>
      </c>
      <c r="O39" s="321">
        <f t="shared" si="77"/>
        <v>7</v>
      </c>
      <c r="P39" s="103" t="s">
        <v>22</v>
      </c>
      <c r="Q39" s="20">
        <f>sum(Q35:Q38)</f>
        <v>55</v>
      </c>
      <c r="R39" s="12">
        <v>0.0</v>
      </c>
      <c r="U39" s="322"/>
    </row>
    <row r="40">
      <c r="A40" s="95" t="s">
        <v>23</v>
      </c>
      <c r="B40" s="149"/>
      <c r="C40" s="149"/>
      <c r="D40" s="286">
        <f t="shared" ref="D40:D42" si="79">SUM(A40:C40)</f>
        <v>0</v>
      </c>
      <c r="E40" s="149">
        <v>1.0</v>
      </c>
      <c r="F40" s="149">
        <v>1.0</v>
      </c>
      <c r="G40" s="286">
        <f t="shared" ref="G40:G42" si="80">E40+F40</f>
        <v>2</v>
      </c>
      <c r="H40" s="149">
        <v>10.0</v>
      </c>
      <c r="I40" s="149"/>
      <c r="J40" s="286">
        <f t="shared" ref="J40:J42" si="81">H40+I40</f>
        <v>10</v>
      </c>
      <c r="K40" s="285">
        <f t="shared" ref="K40:L40" si="78">H40+E40+B40</f>
        <v>11</v>
      </c>
      <c r="L40" s="285">
        <f t="shared" si="78"/>
        <v>1</v>
      </c>
      <c r="M40" s="318">
        <f t="shared" ref="M40:M42" si="83">sum(K40:L40)</f>
        <v>12</v>
      </c>
      <c r="N40" s="319">
        <v>18.0</v>
      </c>
      <c r="O40" s="319">
        <f t="shared" ref="O40:O42" si="84">N40-M40</f>
        <v>6</v>
      </c>
      <c r="P40" s="326" t="s">
        <v>23</v>
      </c>
      <c r="Q40" s="12">
        <v>10.0</v>
      </c>
      <c r="R40" s="20">
        <f t="shared" ref="R40:R43" si="85">J40-Q40</f>
        <v>0</v>
      </c>
      <c r="T40" s="327"/>
      <c r="U40" s="320" t="s">
        <v>223</v>
      </c>
      <c r="V40" s="12" t="s">
        <v>77</v>
      </c>
    </row>
    <row r="41">
      <c r="A41" s="95" t="s">
        <v>24</v>
      </c>
      <c r="B41" s="149">
        <v>2.0</v>
      </c>
      <c r="C41" s="149"/>
      <c r="D41" s="286">
        <f t="shared" si="79"/>
        <v>2</v>
      </c>
      <c r="E41" s="149"/>
      <c r="F41" s="149"/>
      <c r="G41" s="286">
        <f t="shared" si="80"/>
        <v>0</v>
      </c>
      <c r="H41" s="149">
        <v>15.0</v>
      </c>
      <c r="I41" s="149"/>
      <c r="J41" s="286">
        <f t="shared" si="81"/>
        <v>15</v>
      </c>
      <c r="K41" s="285">
        <f t="shared" ref="K41:L41" si="82">H41+E41+B41</f>
        <v>17</v>
      </c>
      <c r="L41" s="285">
        <f t="shared" si="82"/>
        <v>0</v>
      </c>
      <c r="M41" s="318">
        <f t="shared" si="83"/>
        <v>17</v>
      </c>
      <c r="N41" s="319">
        <v>25.0</v>
      </c>
      <c r="O41" s="319">
        <f t="shared" si="84"/>
        <v>8</v>
      </c>
      <c r="P41" s="326" t="s">
        <v>24</v>
      </c>
      <c r="Q41" s="12">
        <v>15.0</v>
      </c>
      <c r="R41" s="20">
        <f t="shared" si="85"/>
        <v>0</v>
      </c>
      <c r="T41" s="327"/>
      <c r="U41" s="320" t="s">
        <v>223</v>
      </c>
      <c r="V41" s="12" t="s">
        <v>77</v>
      </c>
    </row>
    <row r="42">
      <c r="A42" s="95" t="s">
        <v>25</v>
      </c>
      <c r="B42" s="149">
        <v>1.0</v>
      </c>
      <c r="C42" s="149"/>
      <c r="D42" s="286">
        <f t="shared" si="79"/>
        <v>1</v>
      </c>
      <c r="E42" s="149">
        <v>1.0</v>
      </c>
      <c r="F42" s="149"/>
      <c r="G42" s="286">
        <f t="shared" si="80"/>
        <v>1</v>
      </c>
      <c r="H42" s="149">
        <v>4.0</v>
      </c>
      <c r="I42" s="149">
        <v>0.0</v>
      </c>
      <c r="J42" s="286">
        <f t="shared" si="81"/>
        <v>4</v>
      </c>
      <c r="K42" s="285">
        <f t="shared" ref="K42:L42" si="86">H42+E42+B42</f>
        <v>6</v>
      </c>
      <c r="L42" s="285">
        <f t="shared" si="86"/>
        <v>0</v>
      </c>
      <c r="M42" s="318">
        <f t="shared" si="83"/>
        <v>6</v>
      </c>
      <c r="N42" s="319">
        <v>8.0</v>
      </c>
      <c r="O42" s="319">
        <f t="shared" si="84"/>
        <v>2</v>
      </c>
      <c r="P42" s="326" t="s">
        <v>25</v>
      </c>
      <c r="Q42" s="12">
        <v>4.0</v>
      </c>
      <c r="R42" s="20">
        <f t="shared" si="85"/>
        <v>0</v>
      </c>
      <c r="T42" s="327"/>
      <c r="U42" s="320" t="s">
        <v>223</v>
      </c>
      <c r="V42" s="12" t="s">
        <v>77</v>
      </c>
    </row>
    <row r="43">
      <c r="A43" s="103" t="s">
        <v>26</v>
      </c>
      <c r="B43" s="300">
        <f t="shared" ref="B43:O43" si="87">sum(B40:B42)</f>
        <v>3</v>
      </c>
      <c r="C43" s="300">
        <f t="shared" si="87"/>
        <v>0</v>
      </c>
      <c r="D43" s="300">
        <f t="shared" si="87"/>
        <v>3</v>
      </c>
      <c r="E43" s="300">
        <f t="shared" si="87"/>
        <v>2</v>
      </c>
      <c r="F43" s="300">
        <f t="shared" si="87"/>
        <v>1</v>
      </c>
      <c r="G43" s="300">
        <f t="shared" si="87"/>
        <v>3</v>
      </c>
      <c r="H43" s="300">
        <f t="shared" si="87"/>
        <v>29</v>
      </c>
      <c r="I43" s="300">
        <f t="shared" si="87"/>
        <v>0</v>
      </c>
      <c r="J43" s="300">
        <f t="shared" si="87"/>
        <v>29</v>
      </c>
      <c r="K43" s="300">
        <f t="shared" si="87"/>
        <v>34</v>
      </c>
      <c r="L43" s="300">
        <f t="shared" si="87"/>
        <v>1</v>
      </c>
      <c r="M43" s="304">
        <f t="shared" si="87"/>
        <v>35</v>
      </c>
      <c r="N43" s="321">
        <f t="shared" si="87"/>
        <v>51</v>
      </c>
      <c r="O43" s="321">
        <f t="shared" si="87"/>
        <v>16</v>
      </c>
      <c r="P43" s="103" t="s">
        <v>26</v>
      </c>
      <c r="Q43" s="20">
        <f>sum(Q40:Q42)</f>
        <v>29</v>
      </c>
      <c r="R43" s="20">
        <f t="shared" si="85"/>
        <v>0</v>
      </c>
    </row>
    <row r="44">
      <c r="A44" s="15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305"/>
      <c r="N44" s="306"/>
      <c r="O44" s="306"/>
    </row>
    <row r="45">
      <c r="A45" s="13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305"/>
      <c r="N45" s="306"/>
      <c r="O45" s="306"/>
    </row>
    <row r="46">
      <c r="A46" s="108" t="s">
        <v>8</v>
      </c>
      <c r="B46" s="307">
        <f t="shared" ref="B46:O46" si="88">B43+B39+B34</f>
        <v>15</v>
      </c>
      <c r="C46" s="307">
        <f t="shared" si="88"/>
        <v>1</v>
      </c>
      <c r="D46" s="307">
        <f t="shared" si="88"/>
        <v>16</v>
      </c>
      <c r="E46" s="307">
        <f t="shared" si="88"/>
        <v>7</v>
      </c>
      <c r="F46" s="307">
        <f t="shared" si="88"/>
        <v>1</v>
      </c>
      <c r="G46" s="307">
        <f t="shared" si="88"/>
        <v>8</v>
      </c>
      <c r="H46" s="307">
        <f t="shared" si="88"/>
        <v>151</v>
      </c>
      <c r="I46" s="307">
        <f t="shared" si="88"/>
        <v>30</v>
      </c>
      <c r="J46" s="307">
        <f t="shared" si="88"/>
        <v>181</v>
      </c>
      <c r="K46" s="307">
        <f t="shared" si="88"/>
        <v>173</v>
      </c>
      <c r="L46" s="307">
        <f t="shared" si="88"/>
        <v>32</v>
      </c>
      <c r="M46" s="308">
        <f t="shared" si="88"/>
        <v>205</v>
      </c>
      <c r="N46" s="309">
        <f t="shared" si="88"/>
        <v>221</v>
      </c>
      <c r="O46" s="309">
        <f t="shared" si="88"/>
        <v>16</v>
      </c>
      <c r="Q46" s="20">
        <f>Q43+Q39+Q34</f>
        <v>180</v>
      </c>
      <c r="R46" s="21">
        <f>J46-Q46</f>
        <v>1</v>
      </c>
    </row>
  </sheetData>
  <mergeCells count="9">
    <mergeCell ref="H28:J28"/>
    <mergeCell ref="K28:M28"/>
    <mergeCell ref="B2:R2"/>
    <mergeCell ref="B3:E3"/>
    <mergeCell ref="F3:I3"/>
    <mergeCell ref="J3:M3"/>
    <mergeCell ref="O3:R3"/>
    <mergeCell ref="B27:M27"/>
    <mergeCell ref="E28:G28"/>
  </mergeCells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8" width="10.38"/>
    <col customWidth="1" min="9" max="9" width="11.0"/>
    <col customWidth="1" min="10" max="18" width="10.38"/>
    <col customWidth="1" min="20" max="28" width="14.0"/>
    <col customWidth="1" min="29" max="29" width="33.75"/>
    <col customWidth="1" min="30" max="30" width="19.88"/>
  </cols>
  <sheetData>
    <row r="2">
      <c r="A2" s="187"/>
      <c r="B2" s="316" t="s">
        <v>199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8"/>
    </row>
    <row r="3">
      <c r="A3" s="13"/>
      <c r="B3" s="91" t="s">
        <v>243</v>
      </c>
      <c r="C3" s="90"/>
      <c r="D3" s="90"/>
      <c r="E3" s="90"/>
      <c r="F3" s="91" t="s">
        <v>244</v>
      </c>
      <c r="G3" s="90"/>
      <c r="H3" s="90"/>
      <c r="I3" s="90"/>
      <c r="J3" s="91" t="s">
        <v>124</v>
      </c>
      <c r="K3" s="90"/>
      <c r="L3" s="90"/>
      <c r="M3" s="90"/>
      <c r="N3" s="136"/>
      <c r="O3" s="91" t="s">
        <v>8</v>
      </c>
      <c r="P3" s="90"/>
      <c r="Q3" s="90"/>
      <c r="R3" s="92"/>
    </row>
    <row r="4">
      <c r="A4" s="15"/>
      <c r="B4" s="179" t="s">
        <v>34</v>
      </c>
      <c r="C4" s="179" t="s">
        <v>36</v>
      </c>
      <c r="D4" s="179" t="s">
        <v>193</v>
      </c>
      <c r="E4" s="179" t="s">
        <v>37</v>
      </c>
      <c r="F4" s="179" t="s">
        <v>34</v>
      </c>
      <c r="G4" s="179" t="s">
        <v>36</v>
      </c>
      <c r="H4" s="179" t="s">
        <v>193</v>
      </c>
      <c r="I4" s="179" t="s">
        <v>37</v>
      </c>
      <c r="J4" s="179" t="s">
        <v>34</v>
      </c>
      <c r="K4" s="179" t="s">
        <v>36</v>
      </c>
      <c r="L4" s="179" t="s">
        <v>193</v>
      </c>
      <c r="M4" s="179" t="s">
        <v>37</v>
      </c>
      <c r="N4" s="204"/>
      <c r="O4" s="179" t="s">
        <v>34</v>
      </c>
      <c r="P4" s="179" t="s">
        <v>36</v>
      </c>
      <c r="Q4" s="179" t="s">
        <v>193</v>
      </c>
      <c r="R4" s="181" t="s">
        <v>37</v>
      </c>
      <c r="S4" s="12" t="s">
        <v>212</v>
      </c>
      <c r="T4" s="8" t="s">
        <v>30</v>
      </c>
      <c r="U4" s="8" t="s">
        <v>245</v>
      </c>
      <c r="V4" s="8"/>
      <c r="W4" s="179" t="s">
        <v>34</v>
      </c>
      <c r="X4" s="179" t="s">
        <v>36</v>
      </c>
      <c r="Y4" s="179" t="s">
        <v>193</v>
      </c>
      <c r="Z4" s="181" t="s">
        <v>37</v>
      </c>
      <c r="AA4" s="8"/>
      <c r="AB4" s="8" t="s">
        <v>220</v>
      </c>
      <c r="AC4" s="8" t="s">
        <v>221</v>
      </c>
      <c r="AD4" s="8" t="s">
        <v>222</v>
      </c>
    </row>
    <row r="5">
      <c r="A5" s="95" t="s">
        <v>13</v>
      </c>
      <c r="B5" s="288">
        <v>49.0</v>
      </c>
      <c r="C5" s="285">
        <v>1.0</v>
      </c>
      <c r="D5" s="285">
        <v>128.0</v>
      </c>
      <c r="E5" s="286">
        <f t="shared" ref="E5:E8" si="2">SUM(B5:D5)</f>
        <v>178</v>
      </c>
      <c r="F5" s="288">
        <v>46.0</v>
      </c>
      <c r="G5" s="285">
        <v>0.0</v>
      </c>
      <c r="H5" s="285">
        <v>124.0</v>
      </c>
      <c r="I5" s="286">
        <f t="shared" ref="I5:I8" si="3">SUM(F5:H5)</f>
        <v>170</v>
      </c>
      <c r="J5" s="288">
        <v>41.0</v>
      </c>
      <c r="K5" s="285">
        <v>0.0</v>
      </c>
      <c r="L5" s="285">
        <v>213.0</v>
      </c>
      <c r="M5" s="286">
        <f t="shared" ref="M5:M8" si="4">SUM(J5:L5)</f>
        <v>254</v>
      </c>
      <c r="N5" s="136" t="str">
        <f t="shared" ref="N5:N8" si="5">if(M5&gt;U5,"Over RR","")</f>
        <v/>
      </c>
      <c r="O5" s="149">
        <f t="shared" ref="O5:Q5" si="1">J5+F5+B5</f>
        <v>136</v>
      </c>
      <c r="P5" s="149">
        <f t="shared" si="1"/>
        <v>1</v>
      </c>
      <c r="Q5" s="149">
        <f t="shared" si="1"/>
        <v>465</v>
      </c>
      <c r="R5" s="318">
        <f t="shared" ref="R5:R8" si="7">SUM(O5:Q5)</f>
        <v>602</v>
      </c>
      <c r="S5" s="12" t="s">
        <v>246</v>
      </c>
      <c r="T5" s="12" t="s">
        <v>132</v>
      </c>
      <c r="U5" s="12">
        <v>265.0</v>
      </c>
      <c r="V5" s="12"/>
      <c r="W5" s="12">
        <v>41.0</v>
      </c>
      <c r="X5" s="12">
        <v>0.0</v>
      </c>
      <c r="Y5" s="12">
        <v>213.0</v>
      </c>
      <c r="Z5" s="12">
        <f t="shared" ref="Z5:Z8" si="8">sum(W5:Y5)</f>
        <v>254</v>
      </c>
      <c r="AA5" s="12">
        <f t="shared" ref="AA5:AA18" si="9">M5-Z5</f>
        <v>0</v>
      </c>
      <c r="AB5" s="12" t="s">
        <v>148</v>
      </c>
      <c r="AC5" s="12" t="s">
        <v>224</v>
      </c>
      <c r="AD5" s="12" t="s">
        <v>34</v>
      </c>
    </row>
    <row r="6">
      <c r="A6" s="95" t="s">
        <v>14</v>
      </c>
      <c r="B6" s="288">
        <v>33.0</v>
      </c>
      <c r="C6" s="285">
        <v>4.0</v>
      </c>
      <c r="D6" s="285">
        <v>18.0</v>
      </c>
      <c r="E6" s="286">
        <f t="shared" si="2"/>
        <v>55</v>
      </c>
      <c r="F6" s="288">
        <v>39.0</v>
      </c>
      <c r="G6" s="285">
        <v>4.0</v>
      </c>
      <c r="H6" s="285">
        <v>43.0</v>
      </c>
      <c r="I6" s="286">
        <f t="shared" si="3"/>
        <v>86</v>
      </c>
      <c r="J6" s="288">
        <v>29.0</v>
      </c>
      <c r="K6" s="285">
        <v>0.0</v>
      </c>
      <c r="L6" s="285">
        <v>34.0</v>
      </c>
      <c r="M6" s="286">
        <f t="shared" si="4"/>
        <v>63</v>
      </c>
      <c r="N6" s="136" t="str">
        <f t="shared" si="5"/>
        <v>Over RR</v>
      </c>
      <c r="O6" s="149">
        <f t="shared" ref="O6:Q6" si="6">J6+F6+B6</f>
        <v>101</v>
      </c>
      <c r="P6" s="149">
        <f t="shared" si="6"/>
        <v>8</v>
      </c>
      <c r="Q6" s="149">
        <f t="shared" si="6"/>
        <v>95</v>
      </c>
      <c r="R6" s="318">
        <f t="shared" si="7"/>
        <v>204</v>
      </c>
      <c r="S6" s="12" t="s">
        <v>246</v>
      </c>
      <c r="T6" s="12" t="s">
        <v>132</v>
      </c>
      <c r="U6" s="12">
        <v>53.0</v>
      </c>
      <c r="V6" s="12"/>
      <c r="W6" s="12">
        <v>29.0</v>
      </c>
      <c r="X6" s="12">
        <v>0.0</v>
      </c>
      <c r="Y6" s="12">
        <v>34.0</v>
      </c>
      <c r="Z6" s="12">
        <f t="shared" si="8"/>
        <v>63</v>
      </c>
      <c r="AA6" s="12">
        <f t="shared" si="9"/>
        <v>0</v>
      </c>
      <c r="AB6" s="12" t="s">
        <v>147</v>
      </c>
      <c r="AC6" s="12" t="s">
        <v>94</v>
      </c>
      <c r="AD6" s="12" t="s">
        <v>34</v>
      </c>
    </row>
    <row r="7">
      <c r="A7" s="95" t="s">
        <v>15</v>
      </c>
      <c r="B7" s="288">
        <v>42.0</v>
      </c>
      <c r="C7" s="285">
        <v>1.0</v>
      </c>
      <c r="D7" s="285">
        <v>0.0</v>
      </c>
      <c r="E7" s="286">
        <f t="shared" si="2"/>
        <v>43</v>
      </c>
      <c r="F7" s="288">
        <v>43.0</v>
      </c>
      <c r="G7" s="285">
        <v>0.0</v>
      </c>
      <c r="H7" s="285">
        <v>0.0</v>
      </c>
      <c r="I7" s="286">
        <f t="shared" si="3"/>
        <v>43</v>
      </c>
      <c r="J7" s="288">
        <v>27.0</v>
      </c>
      <c r="K7" s="285">
        <v>0.0</v>
      </c>
      <c r="L7" s="285">
        <v>0.0</v>
      </c>
      <c r="M7" s="286">
        <f t="shared" si="4"/>
        <v>27</v>
      </c>
      <c r="N7" s="136" t="str">
        <f t="shared" si="5"/>
        <v>Over RR</v>
      </c>
      <c r="O7" s="149">
        <f t="shared" ref="O7:Q7" si="10">J7+F7+B7</f>
        <v>112</v>
      </c>
      <c r="P7" s="149">
        <f t="shared" si="10"/>
        <v>1</v>
      </c>
      <c r="Q7" s="149">
        <f t="shared" si="10"/>
        <v>0</v>
      </c>
      <c r="R7" s="318">
        <f t="shared" si="7"/>
        <v>113</v>
      </c>
      <c r="S7" s="12" t="s">
        <v>246</v>
      </c>
      <c r="T7" s="12" t="s">
        <v>132</v>
      </c>
      <c r="U7" s="12">
        <v>12.0</v>
      </c>
      <c r="V7" s="12"/>
      <c r="W7" s="12">
        <v>27.0</v>
      </c>
      <c r="X7" s="12">
        <v>0.0</v>
      </c>
      <c r="Y7" s="12">
        <v>0.0</v>
      </c>
      <c r="Z7" s="12">
        <f t="shared" si="8"/>
        <v>27</v>
      </c>
      <c r="AA7" s="12">
        <f t="shared" si="9"/>
        <v>0</v>
      </c>
      <c r="AB7" s="12" t="s">
        <v>225</v>
      </c>
      <c r="AC7" s="12" t="s">
        <v>226</v>
      </c>
      <c r="AD7" s="12" t="s">
        <v>193</v>
      </c>
    </row>
    <row r="8">
      <c r="A8" s="95" t="s">
        <v>16</v>
      </c>
      <c r="B8" s="288">
        <v>38.0</v>
      </c>
      <c r="C8" s="285">
        <v>0.0</v>
      </c>
      <c r="D8" s="285">
        <v>0.0</v>
      </c>
      <c r="E8" s="286">
        <f t="shared" si="2"/>
        <v>38</v>
      </c>
      <c r="F8" s="288">
        <v>29.0</v>
      </c>
      <c r="G8" s="285">
        <v>0.0</v>
      </c>
      <c r="H8" s="285">
        <v>0.0</v>
      </c>
      <c r="I8" s="286">
        <f t="shared" si="3"/>
        <v>29</v>
      </c>
      <c r="J8" s="288">
        <v>31.0</v>
      </c>
      <c r="K8" s="285">
        <v>0.0</v>
      </c>
      <c r="L8" s="285">
        <v>0.0</v>
      </c>
      <c r="M8" s="286">
        <f t="shared" si="4"/>
        <v>31</v>
      </c>
      <c r="N8" s="136" t="str">
        <f t="shared" si="5"/>
        <v>Over RR</v>
      </c>
      <c r="O8" s="149">
        <f t="shared" ref="O8:Q8" si="11">J8+F8+B8</f>
        <v>98</v>
      </c>
      <c r="P8" s="149">
        <f t="shared" si="11"/>
        <v>0</v>
      </c>
      <c r="Q8" s="149">
        <f t="shared" si="11"/>
        <v>0</v>
      </c>
      <c r="R8" s="318">
        <f t="shared" si="7"/>
        <v>98</v>
      </c>
      <c r="S8" s="12" t="s">
        <v>246</v>
      </c>
      <c r="T8" s="12" t="s">
        <v>132</v>
      </c>
      <c r="U8" s="12">
        <v>12.0</v>
      </c>
      <c r="V8" s="12"/>
      <c r="W8" s="12">
        <v>31.0</v>
      </c>
      <c r="X8" s="12">
        <v>0.0</v>
      </c>
      <c r="Y8" s="12">
        <v>0.0</v>
      </c>
      <c r="Z8" s="12">
        <f t="shared" si="8"/>
        <v>31</v>
      </c>
      <c r="AA8" s="12">
        <f t="shared" si="9"/>
        <v>0</v>
      </c>
      <c r="AB8" s="12" t="s">
        <v>227</v>
      </c>
      <c r="AC8" s="12" t="s">
        <v>228</v>
      </c>
      <c r="AD8" s="12" t="s">
        <v>34</v>
      </c>
    </row>
    <row r="9">
      <c r="A9" s="103" t="s">
        <v>17</v>
      </c>
      <c r="B9" s="300">
        <f t="shared" ref="B9:C9" si="12">sum(B5:B8)</f>
        <v>162</v>
      </c>
      <c r="C9" s="300">
        <f t="shared" si="12"/>
        <v>6</v>
      </c>
      <c r="D9" s="300">
        <f>SUM(D5:D8)</f>
        <v>146</v>
      </c>
      <c r="E9" s="300">
        <f t="shared" ref="E9:G9" si="13">sum(E5:E8)</f>
        <v>314</v>
      </c>
      <c r="F9" s="300">
        <f t="shared" si="13"/>
        <v>157</v>
      </c>
      <c r="G9" s="300">
        <f t="shared" si="13"/>
        <v>4</v>
      </c>
      <c r="H9" s="300">
        <f>SUM(H5:H8)</f>
        <v>167</v>
      </c>
      <c r="I9" s="300">
        <f t="shared" ref="I9:K9" si="14">sum(I5:I8)</f>
        <v>328</v>
      </c>
      <c r="J9" s="300">
        <f t="shared" si="14"/>
        <v>128</v>
      </c>
      <c r="K9" s="300">
        <f t="shared" si="14"/>
        <v>0</v>
      </c>
      <c r="L9" s="300">
        <f>SUM(L5:L8)</f>
        <v>247</v>
      </c>
      <c r="M9" s="300">
        <f>sum(M5:M8)</f>
        <v>375</v>
      </c>
      <c r="N9" s="136"/>
      <c r="O9" s="300">
        <f t="shared" ref="O9:P9" si="15">sum(O5:O8)</f>
        <v>447</v>
      </c>
      <c r="P9" s="300">
        <f t="shared" si="15"/>
        <v>10</v>
      </c>
      <c r="Q9" s="300">
        <f>SUM(Q5:Q8)</f>
        <v>560</v>
      </c>
      <c r="R9" s="304">
        <f>sum(R5:R8)</f>
        <v>1017</v>
      </c>
      <c r="T9" s="12"/>
      <c r="U9" s="8">
        <f>sum(U5:U8)</f>
        <v>342</v>
      </c>
      <c r="V9" s="8"/>
      <c r="W9" s="8">
        <f t="shared" ref="W9:Z9" si="16">sum(W5:W8)</f>
        <v>128</v>
      </c>
      <c r="X9" s="8">
        <f t="shared" si="16"/>
        <v>0</v>
      </c>
      <c r="Y9" s="8">
        <f t="shared" si="16"/>
        <v>247</v>
      </c>
      <c r="Z9" s="8">
        <f t="shared" si="16"/>
        <v>375</v>
      </c>
      <c r="AA9" s="12">
        <f t="shared" si="9"/>
        <v>0</v>
      </c>
      <c r="AB9" s="12" t="s">
        <v>145</v>
      </c>
      <c r="AC9" s="12" t="s">
        <v>229</v>
      </c>
      <c r="AD9" s="12" t="s">
        <v>34</v>
      </c>
    </row>
    <row r="10">
      <c r="A10" s="95" t="s">
        <v>18</v>
      </c>
      <c r="B10" s="149">
        <v>32.0</v>
      </c>
      <c r="C10" s="149">
        <v>5.0</v>
      </c>
      <c r="D10" s="149">
        <v>0.0</v>
      </c>
      <c r="E10" s="286">
        <f t="shared" ref="E10:E13" si="18">SUM(B10:D10)</f>
        <v>37</v>
      </c>
      <c r="F10" s="149">
        <v>45.0</v>
      </c>
      <c r="G10" s="149"/>
      <c r="H10" s="149"/>
      <c r="I10" s="286">
        <f t="shared" ref="I10:I13" si="19">SUM(F10:H10)</f>
        <v>45</v>
      </c>
      <c r="J10" s="149">
        <v>26.0</v>
      </c>
      <c r="K10" s="149"/>
      <c r="L10" s="149">
        <v>0.0</v>
      </c>
      <c r="M10" s="286">
        <f t="shared" ref="M10:M13" si="20">SUM(J10:L10)</f>
        <v>26</v>
      </c>
      <c r="N10" s="136" t="str">
        <f t="shared" ref="N10:N13" si="21">if(M10&gt;U10,"Over RR","")</f>
        <v>Over RR</v>
      </c>
      <c r="O10" s="149">
        <f t="shared" ref="O10:Q10" si="17">J10+F10+B10</f>
        <v>103</v>
      </c>
      <c r="P10" s="149">
        <f t="shared" si="17"/>
        <v>5</v>
      </c>
      <c r="Q10" s="149">
        <f t="shared" si="17"/>
        <v>0</v>
      </c>
      <c r="R10" s="318">
        <f t="shared" ref="R10:R13" si="23">SUM(O10:Q10)</f>
        <v>108</v>
      </c>
      <c r="S10" s="12" t="s">
        <v>246</v>
      </c>
      <c r="T10" s="12" t="s">
        <v>247</v>
      </c>
      <c r="U10" s="12">
        <v>13.0</v>
      </c>
      <c r="V10" s="12"/>
      <c r="W10" s="12">
        <v>26.0</v>
      </c>
      <c r="X10" s="12">
        <v>0.0</v>
      </c>
      <c r="Y10" s="12">
        <v>0.0</v>
      </c>
      <c r="Z10" s="12">
        <f t="shared" ref="Z10:Z13" si="24">sum(W10:Y10)</f>
        <v>26</v>
      </c>
      <c r="AA10" s="12">
        <f t="shared" si="9"/>
        <v>0</v>
      </c>
      <c r="AB10" s="12" t="s">
        <v>231</v>
      </c>
      <c r="AC10" s="12" t="s">
        <v>232</v>
      </c>
      <c r="AD10" s="12" t="s">
        <v>193</v>
      </c>
    </row>
    <row r="11">
      <c r="A11" s="95" t="s">
        <v>19</v>
      </c>
      <c r="B11" s="149">
        <v>39.0</v>
      </c>
      <c r="C11" s="149">
        <v>1.0</v>
      </c>
      <c r="D11" s="149">
        <v>77.0</v>
      </c>
      <c r="E11" s="286">
        <f t="shared" si="18"/>
        <v>117</v>
      </c>
      <c r="F11" s="149">
        <v>31.0</v>
      </c>
      <c r="G11" s="149">
        <v>5.0</v>
      </c>
      <c r="H11" s="149">
        <v>31.0</v>
      </c>
      <c r="I11" s="286">
        <f t="shared" si="19"/>
        <v>67</v>
      </c>
      <c r="J11" s="149">
        <v>40.0</v>
      </c>
      <c r="K11" s="149">
        <v>1.0</v>
      </c>
      <c r="L11" s="149">
        <v>38.0</v>
      </c>
      <c r="M11" s="286">
        <f t="shared" si="20"/>
        <v>79</v>
      </c>
      <c r="N11" s="136" t="str">
        <f t="shared" si="21"/>
        <v/>
      </c>
      <c r="O11" s="149">
        <f t="shared" ref="O11:Q11" si="22">J11+F11+B11</f>
        <v>110</v>
      </c>
      <c r="P11" s="149">
        <f t="shared" si="22"/>
        <v>7</v>
      </c>
      <c r="Q11" s="149">
        <f t="shared" si="22"/>
        <v>146</v>
      </c>
      <c r="R11" s="318">
        <f t="shared" si="23"/>
        <v>263</v>
      </c>
      <c r="S11" s="12" t="s">
        <v>248</v>
      </c>
      <c r="T11" s="12" t="s">
        <v>102</v>
      </c>
      <c r="U11" s="12">
        <v>107.0</v>
      </c>
      <c r="V11" s="12"/>
      <c r="W11" s="12">
        <v>40.0</v>
      </c>
      <c r="X11" s="12">
        <v>1.0</v>
      </c>
      <c r="Y11" s="12">
        <v>38.0</v>
      </c>
      <c r="Z11" s="12">
        <f t="shared" si="24"/>
        <v>79</v>
      </c>
      <c r="AA11" s="12">
        <f t="shared" si="9"/>
        <v>0</v>
      </c>
      <c r="AB11" s="12" t="s">
        <v>146</v>
      </c>
      <c r="AC11" s="12" t="s">
        <v>233</v>
      </c>
      <c r="AD11" s="12" t="s">
        <v>36</v>
      </c>
    </row>
    <row r="12">
      <c r="A12" s="95" t="s">
        <v>20</v>
      </c>
      <c r="B12" s="149">
        <v>34.0</v>
      </c>
      <c r="C12" s="149">
        <v>1.0</v>
      </c>
      <c r="D12" s="149">
        <v>0.0</v>
      </c>
      <c r="E12" s="286">
        <f t="shared" si="18"/>
        <v>35</v>
      </c>
      <c r="F12" s="149">
        <v>35.0</v>
      </c>
      <c r="G12" s="149"/>
      <c r="H12" s="149"/>
      <c r="I12" s="286">
        <f t="shared" si="19"/>
        <v>35</v>
      </c>
      <c r="J12" s="149">
        <v>31.0</v>
      </c>
      <c r="K12" s="149"/>
      <c r="L12" s="149">
        <v>0.0</v>
      </c>
      <c r="M12" s="286">
        <f t="shared" si="20"/>
        <v>31</v>
      </c>
      <c r="N12" s="136" t="str">
        <f t="shared" si="21"/>
        <v/>
      </c>
      <c r="O12" s="149">
        <f t="shared" ref="O12:Q12" si="25">J12+F12+B12</f>
        <v>100</v>
      </c>
      <c r="P12" s="149">
        <f t="shared" si="25"/>
        <v>1</v>
      </c>
      <c r="Q12" s="149">
        <f t="shared" si="25"/>
        <v>0</v>
      </c>
      <c r="R12" s="318">
        <f t="shared" si="23"/>
        <v>101</v>
      </c>
      <c r="S12" s="12" t="s">
        <v>248</v>
      </c>
      <c r="T12" s="12" t="s">
        <v>102</v>
      </c>
      <c r="U12" s="12">
        <v>33.0</v>
      </c>
      <c r="V12" s="12"/>
      <c r="W12" s="12">
        <v>31.0</v>
      </c>
      <c r="X12" s="12">
        <v>0.0</v>
      </c>
      <c r="Y12" s="12">
        <v>0.0</v>
      </c>
      <c r="Z12" s="12">
        <f t="shared" si="24"/>
        <v>31</v>
      </c>
      <c r="AA12" s="12">
        <f t="shared" si="9"/>
        <v>0</v>
      </c>
      <c r="AB12" s="12" t="s">
        <v>159</v>
      </c>
      <c r="AC12" s="12" t="s">
        <v>234</v>
      </c>
      <c r="AD12" s="12" t="s">
        <v>34</v>
      </c>
    </row>
    <row r="13">
      <c r="A13" s="95" t="s">
        <v>21</v>
      </c>
      <c r="B13" s="149">
        <v>63.0</v>
      </c>
      <c r="C13" s="149">
        <v>1.0</v>
      </c>
      <c r="D13" s="149">
        <v>0.0</v>
      </c>
      <c r="E13" s="286">
        <f t="shared" si="18"/>
        <v>64</v>
      </c>
      <c r="F13" s="149">
        <v>71.0</v>
      </c>
      <c r="G13" s="149"/>
      <c r="H13" s="149"/>
      <c r="I13" s="286">
        <f t="shared" si="19"/>
        <v>71</v>
      </c>
      <c r="J13" s="149">
        <v>34.0</v>
      </c>
      <c r="K13" s="149"/>
      <c r="L13" s="149">
        <v>0.0</v>
      </c>
      <c r="M13" s="286">
        <f t="shared" si="20"/>
        <v>34</v>
      </c>
      <c r="N13" s="136" t="str">
        <f t="shared" si="21"/>
        <v>Over RR</v>
      </c>
      <c r="O13" s="149">
        <f t="shared" ref="O13:Q13" si="26">J13+F13+B13</f>
        <v>168</v>
      </c>
      <c r="P13" s="149">
        <f t="shared" si="26"/>
        <v>1</v>
      </c>
      <c r="Q13" s="149">
        <f t="shared" si="26"/>
        <v>0</v>
      </c>
      <c r="R13" s="318">
        <f t="shared" si="23"/>
        <v>169</v>
      </c>
      <c r="S13" s="12" t="s">
        <v>249</v>
      </c>
      <c r="T13" s="12" t="s">
        <v>102</v>
      </c>
      <c r="U13" s="12">
        <v>23.0</v>
      </c>
      <c r="V13" s="12"/>
      <c r="W13" s="12">
        <v>34.0</v>
      </c>
      <c r="X13" s="12">
        <v>0.0</v>
      </c>
      <c r="Y13" s="12">
        <v>0.0</v>
      </c>
      <c r="Z13" s="12">
        <f t="shared" si="24"/>
        <v>34</v>
      </c>
      <c r="AA13" s="12">
        <f t="shared" si="9"/>
        <v>0</v>
      </c>
      <c r="AB13" s="12" t="s">
        <v>159</v>
      </c>
      <c r="AC13" s="12" t="s">
        <v>235</v>
      </c>
      <c r="AD13" s="12" t="s">
        <v>193</v>
      </c>
    </row>
    <row r="14">
      <c r="A14" s="103" t="s">
        <v>22</v>
      </c>
      <c r="B14" s="300">
        <f t="shared" ref="B14:C14" si="27">sum(B10:B13)</f>
        <v>168</v>
      </c>
      <c r="C14" s="300">
        <f t="shared" si="27"/>
        <v>8</v>
      </c>
      <c r="D14" s="300">
        <f>SUM(D10:D13)</f>
        <v>77</v>
      </c>
      <c r="E14" s="300">
        <f t="shared" ref="E14:G14" si="28">sum(E10:E13)</f>
        <v>253</v>
      </c>
      <c r="F14" s="300">
        <f t="shared" si="28"/>
        <v>182</v>
      </c>
      <c r="G14" s="300">
        <f t="shared" si="28"/>
        <v>5</v>
      </c>
      <c r="H14" s="300">
        <f>SUM(H10:H13)</f>
        <v>31</v>
      </c>
      <c r="I14" s="300">
        <f t="shared" ref="I14:K14" si="29">sum(I10:I13)</f>
        <v>218</v>
      </c>
      <c r="J14" s="300">
        <f t="shared" si="29"/>
        <v>131</v>
      </c>
      <c r="K14" s="300">
        <f t="shared" si="29"/>
        <v>1</v>
      </c>
      <c r="L14" s="300">
        <f>SUM(L10:L13)</f>
        <v>38</v>
      </c>
      <c r="M14" s="300">
        <f>sum(M10:M13)</f>
        <v>170</v>
      </c>
      <c r="N14" s="136"/>
      <c r="O14" s="300">
        <f t="shared" ref="O14:P14" si="30">sum(O10:O13)</f>
        <v>481</v>
      </c>
      <c r="P14" s="300">
        <f t="shared" si="30"/>
        <v>14</v>
      </c>
      <c r="Q14" s="300">
        <f>SUM(Q10:Q13)</f>
        <v>146</v>
      </c>
      <c r="R14" s="304">
        <f>sum(R10:R13)</f>
        <v>641</v>
      </c>
      <c r="T14" s="12"/>
      <c r="U14" s="8">
        <f>sum(U10:U13)</f>
        <v>176</v>
      </c>
      <c r="V14" s="8"/>
      <c r="W14" s="8">
        <f t="shared" ref="W14:Z14" si="31">sum(W10:W13)</f>
        <v>131</v>
      </c>
      <c r="X14" s="8">
        <f t="shared" si="31"/>
        <v>1</v>
      </c>
      <c r="Y14" s="8">
        <f t="shared" si="31"/>
        <v>38</v>
      </c>
      <c r="Z14" s="8">
        <f t="shared" si="31"/>
        <v>170</v>
      </c>
      <c r="AA14" s="12">
        <f t="shared" si="9"/>
        <v>0</v>
      </c>
      <c r="AB14" s="12" t="s">
        <v>143</v>
      </c>
      <c r="AC14" s="12" t="s">
        <v>236</v>
      </c>
      <c r="AD14" s="12" t="s">
        <v>34</v>
      </c>
    </row>
    <row r="15">
      <c r="A15" s="95" t="s">
        <v>23</v>
      </c>
      <c r="B15" s="149">
        <v>37.0</v>
      </c>
      <c r="C15" s="149">
        <v>23.0</v>
      </c>
      <c r="D15" s="149">
        <v>51.0</v>
      </c>
      <c r="E15" s="286">
        <f t="shared" ref="E15:E17" si="33">SUM(B15:D15)</f>
        <v>111</v>
      </c>
      <c r="F15" s="149">
        <v>33.0</v>
      </c>
      <c r="G15" s="149">
        <v>10.0</v>
      </c>
      <c r="H15" s="149">
        <v>24.0</v>
      </c>
      <c r="I15" s="286">
        <f t="shared" ref="I15:I17" si="34">SUM(F15:H15)</f>
        <v>67</v>
      </c>
      <c r="J15" s="149">
        <v>29.0</v>
      </c>
      <c r="K15" s="149">
        <v>8.0</v>
      </c>
      <c r="L15" s="149">
        <v>81.0</v>
      </c>
      <c r="M15" s="286">
        <f t="shared" ref="M15:M17" si="35">SUM(J15:L15)</f>
        <v>118</v>
      </c>
      <c r="N15" s="136" t="str">
        <f t="shared" ref="N15:N17" si="36">if(M15&gt;U15,"Over RR","")</f>
        <v/>
      </c>
      <c r="O15" s="149">
        <f t="shared" ref="O15:Q15" si="32">J15+F15+B15</f>
        <v>99</v>
      </c>
      <c r="P15" s="149">
        <f t="shared" si="32"/>
        <v>41</v>
      </c>
      <c r="Q15" s="149">
        <f t="shared" si="32"/>
        <v>156</v>
      </c>
      <c r="R15" s="318">
        <f t="shared" ref="R15:R17" si="38">SUM(O15:Q15)</f>
        <v>296</v>
      </c>
      <c r="S15" s="12" t="s">
        <v>246</v>
      </c>
      <c r="T15" s="12" t="s">
        <v>250</v>
      </c>
      <c r="U15" s="12">
        <v>132.0</v>
      </c>
      <c r="V15" s="12"/>
      <c r="W15" s="12">
        <v>29.0</v>
      </c>
      <c r="X15" s="12">
        <v>8.0</v>
      </c>
      <c r="Y15" s="12">
        <v>78.0</v>
      </c>
      <c r="Z15" s="12">
        <f t="shared" ref="Z15:Z17" si="39">sum(W15:Y15)</f>
        <v>115</v>
      </c>
      <c r="AA15" s="12">
        <f t="shared" si="9"/>
        <v>3</v>
      </c>
      <c r="AB15" s="12" t="s">
        <v>142</v>
      </c>
      <c r="AC15" s="12" t="s">
        <v>237</v>
      </c>
      <c r="AD15" s="12" t="s">
        <v>34</v>
      </c>
    </row>
    <row r="16">
      <c r="A16" s="95" t="s">
        <v>24</v>
      </c>
      <c r="B16" s="149">
        <v>37.0</v>
      </c>
      <c r="C16" s="149">
        <v>3.0</v>
      </c>
      <c r="D16" s="149">
        <v>0.0</v>
      </c>
      <c r="E16" s="286">
        <f t="shared" si="33"/>
        <v>40</v>
      </c>
      <c r="F16" s="149">
        <v>43.0</v>
      </c>
      <c r="G16" s="149"/>
      <c r="H16" s="149">
        <v>0.0</v>
      </c>
      <c r="I16" s="286">
        <f t="shared" si="34"/>
        <v>43</v>
      </c>
      <c r="J16" s="149">
        <v>29.0</v>
      </c>
      <c r="K16" s="149"/>
      <c r="L16" s="149">
        <v>0.0</v>
      </c>
      <c r="M16" s="286">
        <f t="shared" si="35"/>
        <v>29</v>
      </c>
      <c r="N16" s="136" t="str">
        <f t="shared" si="36"/>
        <v>Over RR</v>
      </c>
      <c r="O16" s="149">
        <f t="shared" ref="O16:Q16" si="37">J16+F16+B16</f>
        <v>109</v>
      </c>
      <c r="P16" s="149">
        <f t="shared" si="37"/>
        <v>3</v>
      </c>
      <c r="Q16" s="149">
        <f t="shared" si="37"/>
        <v>0</v>
      </c>
      <c r="R16" s="318">
        <f t="shared" si="38"/>
        <v>112</v>
      </c>
      <c r="S16" s="12" t="s">
        <v>251</v>
      </c>
      <c r="T16" s="12" t="s">
        <v>252</v>
      </c>
      <c r="U16" s="12">
        <v>12.0</v>
      </c>
      <c r="V16" s="12"/>
      <c r="W16" s="12">
        <v>29.0</v>
      </c>
      <c r="X16" s="12">
        <v>0.0</v>
      </c>
      <c r="Y16" s="12">
        <v>0.0</v>
      </c>
      <c r="Z16" s="12">
        <f t="shared" si="39"/>
        <v>29</v>
      </c>
      <c r="AA16" s="12">
        <f t="shared" si="9"/>
        <v>0</v>
      </c>
      <c r="AB16" s="12" t="s">
        <v>141</v>
      </c>
      <c r="AC16" s="12" t="s">
        <v>238</v>
      </c>
      <c r="AD16" s="12" t="s">
        <v>34</v>
      </c>
    </row>
    <row r="17">
      <c r="A17" s="95" t="s">
        <v>25</v>
      </c>
      <c r="B17" s="149">
        <v>19.0</v>
      </c>
      <c r="C17" s="149">
        <v>1.0</v>
      </c>
      <c r="D17" s="149">
        <v>0.0</v>
      </c>
      <c r="E17" s="286">
        <f t="shared" si="33"/>
        <v>20</v>
      </c>
      <c r="F17" s="149">
        <v>20.0</v>
      </c>
      <c r="G17" s="149"/>
      <c r="H17" s="149">
        <v>0.0</v>
      </c>
      <c r="I17" s="286">
        <f t="shared" si="34"/>
        <v>20</v>
      </c>
      <c r="J17" s="149">
        <v>10.0</v>
      </c>
      <c r="K17" s="149"/>
      <c r="L17" s="149">
        <v>3.0</v>
      </c>
      <c r="M17" s="286">
        <f t="shared" si="35"/>
        <v>13</v>
      </c>
      <c r="N17" s="136" t="str">
        <f t="shared" si="36"/>
        <v>Over RR</v>
      </c>
      <c r="O17" s="149">
        <f t="shared" ref="O17:Q17" si="40">J17+F17+B17</f>
        <v>49</v>
      </c>
      <c r="P17" s="149">
        <f t="shared" si="40"/>
        <v>1</v>
      </c>
      <c r="Q17" s="149">
        <f t="shared" si="40"/>
        <v>3</v>
      </c>
      <c r="R17" s="318">
        <f t="shared" si="38"/>
        <v>53</v>
      </c>
      <c r="S17" s="12" t="s">
        <v>251</v>
      </c>
      <c r="T17" s="12" t="s">
        <v>102</v>
      </c>
      <c r="U17" s="12">
        <v>8.0</v>
      </c>
      <c r="V17" s="12"/>
      <c r="W17" s="12">
        <v>10.0</v>
      </c>
      <c r="X17" s="12">
        <v>0.0</v>
      </c>
      <c r="Y17" s="12">
        <v>3.0</v>
      </c>
      <c r="Z17" s="12">
        <f t="shared" si="39"/>
        <v>13</v>
      </c>
      <c r="AA17" s="12">
        <f t="shared" si="9"/>
        <v>0</v>
      </c>
    </row>
    <row r="18">
      <c r="A18" s="103" t="s">
        <v>26</v>
      </c>
      <c r="B18" s="300">
        <f t="shared" ref="B18:M18" si="41">sum(B15:B17)</f>
        <v>93</v>
      </c>
      <c r="C18" s="300">
        <f t="shared" si="41"/>
        <v>27</v>
      </c>
      <c r="D18" s="300">
        <f t="shared" si="41"/>
        <v>51</v>
      </c>
      <c r="E18" s="300">
        <f t="shared" si="41"/>
        <v>171</v>
      </c>
      <c r="F18" s="300">
        <f t="shared" si="41"/>
        <v>96</v>
      </c>
      <c r="G18" s="300">
        <f t="shared" si="41"/>
        <v>10</v>
      </c>
      <c r="H18" s="300">
        <f t="shared" si="41"/>
        <v>24</v>
      </c>
      <c r="I18" s="300">
        <f t="shared" si="41"/>
        <v>130</v>
      </c>
      <c r="J18" s="300">
        <f t="shared" si="41"/>
        <v>68</v>
      </c>
      <c r="K18" s="300">
        <f t="shared" si="41"/>
        <v>8</v>
      </c>
      <c r="L18" s="300">
        <f t="shared" si="41"/>
        <v>84</v>
      </c>
      <c r="M18" s="300">
        <f t="shared" si="41"/>
        <v>160</v>
      </c>
      <c r="N18" s="136"/>
      <c r="O18" s="300">
        <f t="shared" ref="O18:R18" si="42">sum(O15:O17)</f>
        <v>257</v>
      </c>
      <c r="P18" s="300">
        <f t="shared" si="42"/>
        <v>45</v>
      </c>
      <c r="Q18" s="300">
        <f t="shared" si="42"/>
        <v>159</v>
      </c>
      <c r="R18" s="304">
        <f t="shared" si="42"/>
        <v>461</v>
      </c>
      <c r="U18" s="44">
        <f>sum(U15:U17)</f>
        <v>152</v>
      </c>
      <c r="V18" s="44"/>
      <c r="W18" s="44">
        <f t="shared" ref="W18:Z18" si="43">sum(W15:W17)</f>
        <v>68</v>
      </c>
      <c r="X18" s="44">
        <f t="shared" si="43"/>
        <v>8</v>
      </c>
      <c r="Y18" s="44">
        <f t="shared" si="43"/>
        <v>81</v>
      </c>
      <c r="Z18" s="44">
        <f t="shared" si="43"/>
        <v>157</v>
      </c>
      <c r="AA18" s="12">
        <f t="shared" si="9"/>
        <v>3</v>
      </c>
    </row>
    <row r="19">
      <c r="A19" s="15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305"/>
    </row>
    <row r="20">
      <c r="A20" s="13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305"/>
    </row>
    <row r="21">
      <c r="A21" s="108" t="s">
        <v>8</v>
      </c>
      <c r="B21" s="307">
        <f t="shared" ref="B21:M21" si="44">B18+B14+B9</f>
        <v>423</v>
      </c>
      <c r="C21" s="307">
        <f t="shared" si="44"/>
        <v>41</v>
      </c>
      <c r="D21" s="307">
        <f t="shared" si="44"/>
        <v>274</v>
      </c>
      <c r="E21" s="307">
        <f t="shared" si="44"/>
        <v>738</v>
      </c>
      <c r="F21" s="307">
        <f t="shared" si="44"/>
        <v>435</v>
      </c>
      <c r="G21" s="307">
        <f t="shared" si="44"/>
        <v>19</v>
      </c>
      <c r="H21" s="307">
        <f t="shared" si="44"/>
        <v>222</v>
      </c>
      <c r="I21" s="307">
        <f t="shared" si="44"/>
        <v>676</v>
      </c>
      <c r="J21" s="307">
        <f t="shared" si="44"/>
        <v>327</v>
      </c>
      <c r="K21" s="307">
        <f t="shared" si="44"/>
        <v>9</v>
      </c>
      <c r="L21" s="307">
        <f t="shared" si="44"/>
        <v>369</v>
      </c>
      <c r="M21" s="307">
        <f t="shared" si="44"/>
        <v>705</v>
      </c>
      <c r="N21" s="205"/>
      <c r="O21" s="307">
        <f t="shared" ref="O21:R21" si="45">O18+O14+O9</f>
        <v>1185</v>
      </c>
      <c r="P21" s="307">
        <f t="shared" si="45"/>
        <v>69</v>
      </c>
      <c r="Q21" s="307">
        <f t="shared" si="45"/>
        <v>865</v>
      </c>
      <c r="R21" s="308">
        <f t="shared" si="45"/>
        <v>2119</v>
      </c>
      <c r="U21" s="44">
        <f>U18+U14+U9</f>
        <v>670</v>
      </c>
      <c r="V21" s="44"/>
      <c r="W21" s="44">
        <f t="shared" ref="W21:Z21" si="46">W18+W14+W9</f>
        <v>327</v>
      </c>
      <c r="X21" s="44">
        <f t="shared" si="46"/>
        <v>9</v>
      </c>
      <c r="Y21" s="44">
        <f t="shared" si="46"/>
        <v>366</v>
      </c>
      <c r="Z21" s="44">
        <f t="shared" si="46"/>
        <v>702</v>
      </c>
      <c r="AA21" s="41">
        <f>M21-Z21</f>
        <v>3</v>
      </c>
    </row>
    <row r="22">
      <c r="V22" s="225"/>
      <c r="W22" s="225"/>
      <c r="X22" s="225"/>
      <c r="Y22" s="225"/>
      <c r="Z22" s="225">
        <f>Z21/M21</f>
        <v>0.9957446809</v>
      </c>
    </row>
  </sheetData>
  <mergeCells count="5">
    <mergeCell ref="B2:R2"/>
    <mergeCell ref="B3:E3"/>
    <mergeCell ref="F3:I3"/>
    <mergeCell ref="J3:M3"/>
    <mergeCell ref="O3:R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87" t="s">
        <v>199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8"/>
    </row>
    <row r="3">
      <c r="B3" s="13"/>
      <c r="C3" s="91" t="s">
        <v>31</v>
      </c>
      <c r="D3" s="90"/>
      <c r="E3" s="90"/>
      <c r="F3" s="91" t="s">
        <v>53</v>
      </c>
      <c r="G3" s="90"/>
      <c r="H3" s="90"/>
      <c r="I3" s="91" t="s">
        <v>162</v>
      </c>
      <c r="J3" s="90"/>
      <c r="K3" s="90"/>
      <c r="L3" s="136"/>
      <c r="M3" s="91" t="s">
        <v>8</v>
      </c>
      <c r="N3" s="90"/>
      <c r="O3" s="92"/>
    </row>
    <row r="4">
      <c r="B4" s="15"/>
      <c r="C4" s="240" t="s">
        <v>34</v>
      </c>
      <c r="D4" s="240" t="s">
        <v>193</v>
      </c>
      <c r="E4" s="240" t="s">
        <v>37</v>
      </c>
      <c r="F4" s="240" t="s">
        <v>34</v>
      </c>
      <c r="G4" s="240" t="s">
        <v>193</v>
      </c>
      <c r="H4" s="240" t="s">
        <v>37</v>
      </c>
      <c r="I4" s="240" t="s">
        <v>34</v>
      </c>
      <c r="J4" s="240" t="s">
        <v>193</v>
      </c>
      <c r="K4" s="240" t="s">
        <v>37</v>
      </c>
      <c r="L4" s="136"/>
      <c r="M4" s="240" t="s">
        <v>34</v>
      </c>
      <c r="N4" s="240" t="s">
        <v>193</v>
      </c>
      <c r="O4" s="328" t="s">
        <v>37</v>
      </c>
    </row>
    <row r="5">
      <c r="B5" s="95" t="s">
        <v>13</v>
      </c>
      <c r="C5" s="149">
        <v>46.0</v>
      </c>
      <c r="D5" s="149">
        <v>225.0</v>
      </c>
      <c r="E5" s="286">
        <f t="shared" ref="E5:E8" si="1">SUM(C5:D5)</f>
        <v>271</v>
      </c>
      <c r="F5" s="149">
        <v>14.0</v>
      </c>
      <c r="G5" s="149">
        <v>142.0</v>
      </c>
      <c r="H5" s="286">
        <f t="shared" ref="H5:H8" si="2">SUM(F5:G5)</f>
        <v>156</v>
      </c>
      <c r="I5" s="149">
        <v>68.0</v>
      </c>
      <c r="J5" s="149">
        <v>313.0</v>
      </c>
      <c r="K5" s="286">
        <f t="shared" ref="K5:K8" si="3">SUM(I5:J5)</f>
        <v>381</v>
      </c>
      <c r="L5" s="136"/>
      <c r="M5" s="149">
        <v>128.0</v>
      </c>
      <c r="N5" s="149">
        <v>680.0</v>
      </c>
      <c r="O5" s="318">
        <f t="shared" ref="O5:O8" si="4">SUM(M5:N5)</f>
        <v>808</v>
      </c>
    </row>
    <row r="6">
      <c r="B6" s="95" t="s">
        <v>14</v>
      </c>
      <c r="C6" s="149">
        <v>30.0</v>
      </c>
      <c r="D6" s="149">
        <v>2.0</v>
      </c>
      <c r="E6" s="286">
        <f t="shared" si="1"/>
        <v>32</v>
      </c>
      <c r="F6" s="149">
        <v>11.0</v>
      </c>
      <c r="G6" s="149" t="s">
        <v>253</v>
      </c>
      <c r="H6" s="286">
        <f t="shared" si="2"/>
        <v>11</v>
      </c>
      <c r="I6" s="149">
        <v>90.0</v>
      </c>
      <c r="J6" s="149">
        <v>45.0</v>
      </c>
      <c r="K6" s="286">
        <f t="shared" si="3"/>
        <v>135</v>
      </c>
      <c r="L6" s="136"/>
      <c r="M6" s="149">
        <v>131.0</v>
      </c>
      <c r="N6" s="149">
        <v>47.0</v>
      </c>
      <c r="O6" s="318">
        <f t="shared" si="4"/>
        <v>178</v>
      </c>
    </row>
    <row r="7">
      <c r="B7" s="95" t="s">
        <v>15</v>
      </c>
      <c r="C7" s="149">
        <v>31.0</v>
      </c>
      <c r="D7" s="149" t="s">
        <v>253</v>
      </c>
      <c r="E7" s="286">
        <f t="shared" si="1"/>
        <v>31</v>
      </c>
      <c r="F7" s="149">
        <v>8.0</v>
      </c>
      <c r="G7" s="149" t="s">
        <v>253</v>
      </c>
      <c r="H7" s="286">
        <f t="shared" si="2"/>
        <v>8</v>
      </c>
      <c r="I7" s="149">
        <v>73.0</v>
      </c>
      <c r="J7" s="149" t="s">
        <v>253</v>
      </c>
      <c r="K7" s="286">
        <f t="shared" si="3"/>
        <v>73</v>
      </c>
      <c r="L7" s="136"/>
      <c r="M7" s="149">
        <v>112.0</v>
      </c>
      <c r="N7" s="149" t="s">
        <v>253</v>
      </c>
      <c r="O7" s="318">
        <f t="shared" si="4"/>
        <v>112</v>
      </c>
    </row>
    <row r="8">
      <c r="B8" s="95" t="s">
        <v>16</v>
      </c>
      <c r="C8" s="149">
        <v>43.0</v>
      </c>
      <c r="D8" s="149">
        <v>2.0</v>
      </c>
      <c r="E8" s="286">
        <f t="shared" si="1"/>
        <v>45</v>
      </c>
      <c r="F8" s="149">
        <v>9.0</v>
      </c>
      <c r="G8" s="149">
        <v>3.0</v>
      </c>
      <c r="H8" s="286">
        <f t="shared" si="2"/>
        <v>12</v>
      </c>
      <c r="I8" s="149">
        <v>101.0</v>
      </c>
      <c r="J8" s="149">
        <v>2.0</v>
      </c>
      <c r="K8" s="286">
        <f t="shared" si="3"/>
        <v>103</v>
      </c>
      <c r="L8" s="136"/>
      <c r="M8" s="149">
        <v>153.0</v>
      </c>
      <c r="N8" s="149">
        <v>7.0</v>
      </c>
      <c r="O8" s="318">
        <f t="shared" si="4"/>
        <v>160</v>
      </c>
    </row>
    <row r="9">
      <c r="B9" s="103" t="s">
        <v>17</v>
      </c>
      <c r="C9" s="300">
        <f>sum(C5:C8)</f>
        <v>150</v>
      </c>
      <c r="D9" s="300">
        <f>SUM(D5:D8)</f>
        <v>229</v>
      </c>
      <c r="E9" s="300">
        <f t="shared" ref="E9:F9" si="5">sum(E5:E8)</f>
        <v>379</v>
      </c>
      <c r="F9" s="300">
        <f t="shared" si="5"/>
        <v>42</v>
      </c>
      <c r="G9" s="300">
        <f>SUM(G5:G8)</f>
        <v>145</v>
      </c>
      <c r="H9" s="300">
        <f t="shared" ref="H9:I9" si="6">sum(H5:H8)</f>
        <v>187</v>
      </c>
      <c r="I9" s="300">
        <f t="shared" si="6"/>
        <v>332</v>
      </c>
      <c r="J9" s="300">
        <f>SUM(J5:J8)</f>
        <v>360</v>
      </c>
      <c r="K9" s="300">
        <f>sum(K5:K8)</f>
        <v>692</v>
      </c>
      <c r="L9" s="136"/>
      <c r="M9" s="300">
        <f>sum(M5:M8)</f>
        <v>524</v>
      </c>
      <c r="N9" s="300">
        <f>SUM(N5:N8)</f>
        <v>734</v>
      </c>
      <c r="O9" s="304">
        <f>sum(O5:O8)</f>
        <v>1258</v>
      </c>
    </row>
    <row r="10">
      <c r="B10" s="95" t="s">
        <v>18</v>
      </c>
      <c r="C10" s="149">
        <v>40.0</v>
      </c>
      <c r="D10" s="149" t="s">
        <v>253</v>
      </c>
      <c r="E10" s="286">
        <f t="shared" ref="E10:E13" si="7">SUM(C10:D10)</f>
        <v>40</v>
      </c>
      <c r="F10" s="149">
        <v>12.0</v>
      </c>
      <c r="G10" s="149">
        <v>1.0</v>
      </c>
      <c r="H10" s="286">
        <f t="shared" ref="H10:H13" si="8">SUM(F10:G10)</f>
        <v>13</v>
      </c>
      <c r="I10" s="149">
        <v>80.0</v>
      </c>
      <c r="J10" s="149" t="s">
        <v>253</v>
      </c>
      <c r="K10" s="286">
        <f t="shared" ref="K10:K13" si="9">SUM(I10:J10)</f>
        <v>80</v>
      </c>
      <c r="L10" s="136"/>
      <c r="M10" s="149">
        <v>132.0</v>
      </c>
      <c r="N10" s="149">
        <v>1.0</v>
      </c>
      <c r="O10" s="318">
        <f t="shared" ref="O10:O13" si="10">SUM(M10:N10)</f>
        <v>133</v>
      </c>
    </row>
    <row r="11">
      <c r="B11" s="95" t="s">
        <v>19</v>
      </c>
      <c r="C11" s="149">
        <v>39.0</v>
      </c>
      <c r="D11" s="149">
        <v>39.0</v>
      </c>
      <c r="E11" s="286">
        <f t="shared" si="7"/>
        <v>78</v>
      </c>
      <c r="F11" s="149">
        <v>9.0</v>
      </c>
      <c r="G11" s="149">
        <v>2.0</v>
      </c>
      <c r="H11" s="286">
        <f t="shared" si="8"/>
        <v>11</v>
      </c>
      <c r="I11" s="149">
        <v>71.0</v>
      </c>
      <c r="J11" s="149">
        <v>127.0</v>
      </c>
      <c r="K11" s="286">
        <f t="shared" si="9"/>
        <v>198</v>
      </c>
      <c r="L11" s="136"/>
      <c r="M11" s="149">
        <v>119.0</v>
      </c>
      <c r="N11" s="149">
        <v>168.0</v>
      </c>
      <c r="O11" s="318">
        <f t="shared" si="10"/>
        <v>287</v>
      </c>
    </row>
    <row r="12">
      <c r="B12" s="95" t="s">
        <v>20</v>
      </c>
      <c r="C12" s="149">
        <v>27.0</v>
      </c>
      <c r="D12" s="149" t="s">
        <v>253</v>
      </c>
      <c r="E12" s="286">
        <f t="shared" si="7"/>
        <v>27</v>
      </c>
      <c r="F12" s="149">
        <v>21.0</v>
      </c>
      <c r="G12" s="149" t="s">
        <v>253</v>
      </c>
      <c r="H12" s="286">
        <f t="shared" si="8"/>
        <v>21</v>
      </c>
      <c r="I12" s="149">
        <v>42.0</v>
      </c>
      <c r="J12" s="149" t="s">
        <v>253</v>
      </c>
      <c r="K12" s="286">
        <f t="shared" si="9"/>
        <v>42</v>
      </c>
      <c r="L12" s="136"/>
      <c r="M12" s="149">
        <v>90.0</v>
      </c>
      <c r="N12" s="149" t="s">
        <v>253</v>
      </c>
      <c r="O12" s="318">
        <f t="shared" si="10"/>
        <v>90</v>
      </c>
    </row>
    <row r="13">
      <c r="B13" s="95" t="s">
        <v>21</v>
      </c>
      <c r="C13" s="149">
        <v>64.0</v>
      </c>
      <c r="D13" s="149" t="s">
        <v>253</v>
      </c>
      <c r="E13" s="286">
        <f t="shared" si="7"/>
        <v>64</v>
      </c>
      <c r="F13" s="149">
        <v>12.0</v>
      </c>
      <c r="G13" s="149" t="s">
        <v>253</v>
      </c>
      <c r="H13" s="286">
        <f t="shared" si="8"/>
        <v>12</v>
      </c>
      <c r="I13" s="149">
        <v>103.0</v>
      </c>
      <c r="J13" s="149" t="s">
        <v>253</v>
      </c>
      <c r="K13" s="286">
        <f t="shared" si="9"/>
        <v>103</v>
      </c>
      <c r="L13" s="136"/>
      <c r="M13" s="149">
        <v>179.0</v>
      </c>
      <c r="N13" s="149" t="s">
        <v>253</v>
      </c>
      <c r="O13" s="318">
        <f t="shared" si="10"/>
        <v>179</v>
      </c>
    </row>
    <row r="14">
      <c r="B14" s="103" t="s">
        <v>22</v>
      </c>
      <c r="C14" s="300">
        <f>sum(C10:C13)</f>
        <v>170</v>
      </c>
      <c r="D14" s="300">
        <f>SUM(D10:D13)</f>
        <v>39</v>
      </c>
      <c r="E14" s="300">
        <f t="shared" ref="E14:F14" si="11">sum(E10:E13)</f>
        <v>209</v>
      </c>
      <c r="F14" s="300">
        <f t="shared" si="11"/>
        <v>54</v>
      </c>
      <c r="G14" s="300">
        <f>SUM(G10:G13)</f>
        <v>3</v>
      </c>
      <c r="H14" s="300">
        <f t="shared" ref="H14:I14" si="12">sum(H10:H13)</f>
        <v>57</v>
      </c>
      <c r="I14" s="300">
        <f t="shared" si="12"/>
        <v>296</v>
      </c>
      <c r="J14" s="300">
        <f>SUM(J10:J13)</f>
        <v>127</v>
      </c>
      <c r="K14" s="300">
        <f>sum(K10:K13)</f>
        <v>423</v>
      </c>
      <c r="L14" s="136"/>
      <c r="M14" s="300">
        <f>sum(M10:M13)</f>
        <v>520</v>
      </c>
      <c r="N14" s="300">
        <f>SUM(N10:N13)</f>
        <v>169</v>
      </c>
      <c r="O14" s="304">
        <f>sum(O10:O13)</f>
        <v>689</v>
      </c>
    </row>
    <row r="15">
      <c r="B15" s="95" t="s">
        <v>23</v>
      </c>
      <c r="C15" s="149">
        <v>23.0</v>
      </c>
      <c r="D15" s="149">
        <v>48.0</v>
      </c>
      <c r="E15" s="286">
        <f t="shared" ref="E15:E17" si="13">SUM(C15:D15)</f>
        <v>71</v>
      </c>
      <c r="F15" s="149">
        <v>14.0</v>
      </c>
      <c r="G15" s="149">
        <v>51.0</v>
      </c>
      <c r="H15" s="286">
        <f t="shared" ref="H15:H17" si="14">SUM(F15:G15)</f>
        <v>65</v>
      </c>
      <c r="I15" s="149">
        <v>80.0</v>
      </c>
      <c r="J15" s="149">
        <v>100.0</v>
      </c>
      <c r="K15" s="286">
        <f t="shared" ref="K15:K17" si="15">SUM(I15:J15)</f>
        <v>180</v>
      </c>
      <c r="L15" s="136"/>
      <c r="M15" s="149">
        <v>117.0</v>
      </c>
      <c r="N15" s="149">
        <v>199.0</v>
      </c>
      <c r="O15" s="318">
        <f t="shared" ref="O15:O17" si="16">SUM(M15:N15)</f>
        <v>316</v>
      </c>
    </row>
    <row r="16">
      <c r="B16" s="95" t="s">
        <v>24</v>
      </c>
      <c r="C16" s="149">
        <v>47.0</v>
      </c>
      <c r="D16" s="149">
        <v>1.0</v>
      </c>
      <c r="E16" s="286">
        <f t="shared" si="13"/>
        <v>48</v>
      </c>
      <c r="F16" s="149">
        <v>9.0</v>
      </c>
      <c r="G16" s="149">
        <v>1.0</v>
      </c>
      <c r="H16" s="286">
        <f t="shared" si="14"/>
        <v>10</v>
      </c>
      <c r="I16" s="149">
        <v>87.0</v>
      </c>
      <c r="J16" s="149">
        <v>2.0</v>
      </c>
      <c r="K16" s="286">
        <f t="shared" si="15"/>
        <v>89</v>
      </c>
      <c r="L16" s="136"/>
      <c r="M16" s="149">
        <v>143.0</v>
      </c>
      <c r="N16" s="149">
        <v>4.0</v>
      </c>
      <c r="O16" s="318">
        <f t="shared" si="16"/>
        <v>147</v>
      </c>
    </row>
    <row r="17">
      <c r="B17" s="95" t="s">
        <v>25</v>
      </c>
      <c r="C17" s="149">
        <v>11.0</v>
      </c>
      <c r="D17" s="149" t="s">
        <v>253</v>
      </c>
      <c r="E17" s="286">
        <f t="shared" si="13"/>
        <v>11</v>
      </c>
      <c r="F17" s="149">
        <v>6.0</v>
      </c>
      <c r="G17" s="149" t="s">
        <v>253</v>
      </c>
      <c r="H17" s="286">
        <f t="shared" si="14"/>
        <v>6</v>
      </c>
      <c r="I17" s="149">
        <v>23.0</v>
      </c>
      <c r="J17" s="149">
        <v>1.0</v>
      </c>
      <c r="K17" s="286">
        <f t="shared" si="15"/>
        <v>24</v>
      </c>
      <c r="L17" s="136"/>
      <c r="M17" s="149">
        <v>40.0</v>
      </c>
      <c r="N17" s="149">
        <v>1.0</v>
      </c>
      <c r="O17" s="318">
        <f t="shared" si="16"/>
        <v>41</v>
      </c>
    </row>
    <row r="18">
      <c r="B18" s="103" t="s">
        <v>26</v>
      </c>
      <c r="C18" s="300">
        <f t="shared" ref="C18:K18" si="17">sum(C15:C17)</f>
        <v>81</v>
      </c>
      <c r="D18" s="300">
        <f t="shared" si="17"/>
        <v>49</v>
      </c>
      <c r="E18" s="300">
        <f t="shared" si="17"/>
        <v>130</v>
      </c>
      <c r="F18" s="300">
        <f t="shared" si="17"/>
        <v>29</v>
      </c>
      <c r="G18" s="300">
        <f t="shared" si="17"/>
        <v>52</v>
      </c>
      <c r="H18" s="300">
        <f t="shared" si="17"/>
        <v>81</v>
      </c>
      <c r="I18" s="300">
        <f t="shared" si="17"/>
        <v>190</v>
      </c>
      <c r="J18" s="300">
        <f t="shared" si="17"/>
        <v>103</v>
      </c>
      <c r="K18" s="300">
        <f t="shared" si="17"/>
        <v>293</v>
      </c>
      <c r="L18" s="136"/>
      <c r="M18" s="300">
        <f t="shared" ref="M18:O18" si="18">sum(M15:M17)</f>
        <v>300</v>
      </c>
      <c r="N18" s="300">
        <f t="shared" si="18"/>
        <v>204</v>
      </c>
      <c r="O18" s="304">
        <f t="shared" si="18"/>
        <v>504</v>
      </c>
    </row>
    <row r="19">
      <c r="B19" s="15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305"/>
    </row>
    <row r="20">
      <c r="B20" s="13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305"/>
    </row>
    <row r="21">
      <c r="B21" s="108" t="s">
        <v>8</v>
      </c>
      <c r="C21" s="307">
        <f t="shared" ref="C21:K21" si="19">C18+C14+C9</f>
        <v>401</v>
      </c>
      <c r="D21" s="307">
        <f t="shared" si="19"/>
        <v>317</v>
      </c>
      <c r="E21" s="307">
        <f t="shared" si="19"/>
        <v>718</v>
      </c>
      <c r="F21" s="307">
        <f t="shared" si="19"/>
        <v>125</v>
      </c>
      <c r="G21" s="307">
        <f t="shared" si="19"/>
        <v>200</v>
      </c>
      <c r="H21" s="307">
        <f t="shared" si="19"/>
        <v>325</v>
      </c>
      <c r="I21" s="307">
        <f t="shared" si="19"/>
        <v>818</v>
      </c>
      <c r="J21" s="307">
        <f t="shared" si="19"/>
        <v>590</v>
      </c>
      <c r="K21" s="307">
        <f t="shared" si="19"/>
        <v>1408</v>
      </c>
      <c r="L21" s="205"/>
      <c r="M21" s="307">
        <f t="shared" ref="M21:O21" si="20">M18+M14+M9</f>
        <v>1344</v>
      </c>
      <c r="N21" s="307">
        <f t="shared" si="20"/>
        <v>1107</v>
      </c>
      <c r="O21" s="308">
        <f t="shared" si="20"/>
        <v>2451</v>
      </c>
    </row>
  </sheetData>
  <mergeCells count="5">
    <mergeCell ref="B2:O2"/>
    <mergeCell ref="C3:E3"/>
    <mergeCell ref="F3:H3"/>
    <mergeCell ref="I3:K3"/>
    <mergeCell ref="M3:O3"/>
  </mergeCells>
  <drawing r:id="rId1"/>
</worksheet>
</file>