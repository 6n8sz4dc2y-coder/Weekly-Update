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rggroup-my.sharepoint.com/personal/gavin_barry_rrg-group_com/Documents/Desktop/Weekly update/"/>
    </mc:Choice>
  </mc:AlternateContent>
  <xr:revisionPtr revIDLastSave="221" documentId="8_{363B32DB-CC69-4E5C-AF15-EA43B7F171F1}" xr6:coauthVersionLast="47" xr6:coauthVersionMax="47" xr10:uidLastSave="{5EBF8F07-34BF-4C65-B8D7-91E383294445}"/>
  <bookViews>
    <workbookView xWindow="-108" yWindow="-108" windowWidth="23256" windowHeight="12456" xr2:uid="{00000000-000D-0000-FFFF-FFFF00000000}"/>
  </bookViews>
  <sheets>
    <sheet name="Order Bank Targ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F42" i="1"/>
  <c r="E42" i="1"/>
  <c r="C42" i="1"/>
  <c r="C43" i="1"/>
  <c r="B42" i="1"/>
  <c r="U16" i="1"/>
  <c r="U17" i="1"/>
  <c r="U18" i="1"/>
  <c r="U19" i="1"/>
  <c r="U20" i="1"/>
  <c r="U21" i="1"/>
  <c r="U22" i="1"/>
  <c r="U23" i="1"/>
  <c r="U24" i="1"/>
  <c r="U25" i="1"/>
  <c r="U15" i="1"/>
  <c r="R26" i="1"/>
  <c r="Q26" i="1"/>
  <c r="O26" i="1"/>
  <c r="N26" i="1"/>
  <c r="L26" i="1"/>
  <c r="K26" i="1"/>
  <c r="I26" i="1"/>
  <c r="H26" i="1"/>
  <c r="F26" i="1"/>
  <c r="E26" i="1"/>
  <c r="C26" i="1"/>
  <c r="B26" i="1"/>
  <c r="S40" i="1"/>
  <c r="S39" i="1"/>
  <c r="S38" i="1"/>
  <c r="S37" i="1"/>
  <c r="S36" i="1"/>
  <c r="S35" i="1"/>
  <c r="S34" i="1"/>
  <c r="S33" i="1"/>
  <c r="S32" i="1"/>
  <c r="S31" i="1"/>
  <c r="S30" i="1"/>
  <c r="P40" i="1"/>
  <c r="P39" i="1"/>
  <c r="P38" i="1"/>
  <c r="P37" i="1"/>
  <c r="P36" i="1"/>
  <c r="P35" i="1"/>
  <c r="P34" i="1"/>
  <c r="P33" i="1"/>
  <c r="P32" i="1"/>
  <c r="P31" i="1"/>
  <c r="P30" i="1"/>
  <c r="M40" i="1"/>
  <c r="M39" i="1"/>
  <c r="M38" i="1"/>
  <c r="M37" i="1"/>
  <c r="M36" i="1"/>
  <c r="M35" i="1"/>
  <c r="M34" i="1"/>
  <c r="M33" i="1"/>
  <c r="M32" i="1"/>
  <c r="M31" i="1"/>
  <c r="M30" i="1"/>
  <c r="J40" i="1"/>
  <c r="J39" i="1"/>
  <c r="J38" i="1"/>
  <c r="J37" i="1"/>
  <c r="J36" i="1"/>
  <c r="J35" i="1"/>
  <c r="J34" i="1"/>
  <c r="J33" i="1"/>
  <c r="J32" i="1"/>
  <c r="J31" i="1"/>
  <c r="J30" i="1"/>
  <c r="G40" i="1"/>
  <c r="G39" i="1"/>
  <c r="G38" i="1"/>
  <c r="G37" i="1"/>
  <c r="G36" i="1"/>
  <c r="G35" i="1"/>
  <c r="G34" i="1"/>
  <c r="G33" i="1"/>
  <c r="G32" i="1"/>
  <c r="G31" i="1"/>
  <c r="G30" i="1"/>
  <c r="D40" i="1"/>
  <c r="D39" i="1"/>
  <c r="D38" i="1"/>
  <c r="D37" i="1"/>
  <c r="D36" i="1"/>
  <c r="D35" i="1"/>
  <c r="D34" i="1"/>
  <c r="D33" i="1"/>
  <c r="D32" i="1"/>
  <c r="D31" i="1"/>
  <c r="D30" i="1"/>
  <c r="S25" i="1"/>
  <c r="S24" i="1"/>
  <c r="S23" i="1"/>
  <c r="S22" i="1"/>
  <c r="S21" i="1"/>
  <c r="S20" i="1"/>
  <c r="S19" i="1"/>
  <c r="S18" i="1"/>
  <c r="S17" i="1"/>
  <c r="S16" i="1"/>
  <c r="S15" i="1"/>
  <c r="P25" i="1"/>
  <c r="P24" i="1"/>
  <c r="P23" i="1"/>
  <c r="P22" i="1"/>
  <c r="P21" i="1"/>
  <c r="P20" i="1"/>
  <c r="P19" i="1"/>
  <c r="P18" i="1"/>
  <c r="P17" i="1"/>
  <c r="P16" i="1"/>
  <c r="P15" i="1"/>
  <c r="M25" i="1"/>
  <c r="M24" i="1"/>
  <c r="M23" i="1"/>
  <c r="M22" i="1"/>
  <c r="M21" i="1"/>
  <c r="M20" i="1"/>
  <c r="M19" i="1"/>
  <c r="M18" i="1"/>
  <c r="M17" i="1"/>
  <c r="M16" i="1"/>
  <c r="M15" i="1"/>
  <c r="J25" i="1"/>
  <c r="J24" i="1"/>
  <c r="J23" i="1"/>
  <c r="J22" i="1"/>
  <c r="J21" i="1"/>
  <c r="J20" i="1"/>
  <c r="J19" i="1"/>
  <c r="J18" i="1"/>
  <c r="J17" i="1"/>
  <c r="J16" i="1"/>
  <c r="J15" i="1"/>
  <c r="G25" i="1"/>
  <c r="G24" i="1"/>
  <c r="G23" i="1"/>
  <c r="G22" i="1"/>
  <c r="G21" i="1"/>
  <c r="G20" i="1"/>
  <c r="G19" i="1"/>
  <c r="G18" i="1"/>
  <c r="G17" i="1"/>
  <c r="G16" i="1"/>
  <c r="G15" i="1"/>
  <c r="D16" i="1"/>
  <c r="D17" i="1"/>
  <c r="D18" i="1"/>
  <c r="D19" i="1"/>
  <c r="D20" i="1"/>
  <c r="D21" i="1"/>
  <c r="D22" i="1"/>
  <c r="D23" i="1"/>
  <c r="D24" i="1"/>
  <c r="D25" i="1"/>
  <c r="D15" i="1"/>
  <c r="U26" i="1"/>
  <c r="S42" i="1"/>
  <c r="P42" i="1"/>
  <c r="S27" i="1"/>
  <c r="P27" i="1"/>
  <c r="D42" i="1"/>
  <c r="J27" i="1"/>
  <c r="M27" i="1"/>
  <c r="G27" i="1"/>
  <c r="D27" i="1"/>
  <c r="M42" i="1" l="1"/>
  <c r="J42" i="1"/>
  <c r="G42" i="1"/>
</calcChain>
</file>

<file path=xl/sharedStrings.xml><?xml version="1.0" encoding="utf-8"?>
<sst xmlns="http://schemas.openxmlformats.org/spreadsheetml/2006/main" count="78" uniqueCount="33">
  <si>
    <t>ASO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</si>
  <si>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</si>
  <si>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</si>
  <si>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</si>
  <si>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</si>
  <si>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</si>
  <si>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</si>
  <si>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</si>
  <si>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</si>
  <si>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</si>
  <si>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</si>
  <si>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</si>
  <si>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</si>
  <si>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</si>
  <si>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</si>
  <si>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</si>
  <si>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</si>
  <si>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CY26 OB</t>
  </si>
  <si>
    <t>RRG Bolton</t>
  </si>
  <si>
    <t>RRG Bury</t>
  </si>
  <si>
    <t>RRG Rochdale</t>
  </si>
  <si>
    <t>RRG Salford Quays</t>
  </si>
  <si>
    <t>RRG Altrincham</t>
  </si>
  <si>
    <t>RRG Denton</t>
  </si>
  <si>
    <t>RRG Macclesfield</t>
  </si>
  <si>
    <t>RRG Stockport</t>
  </si>
  <si>
    <t>RRG Bradford</t>
  </si>
  <si>
    <t>RRG Huddersfield</t>
  </si>
  <si>
    <t>RRG Silsden</t>
  </si>
  <si>
    <t>Orders</t>
  </si>
  <si>
    <t>Orders after cancellations</t>
  </si>
  <si>
    <t>Diff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</si>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</sst>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tabSelected="1" topLeftCell="A18" workbookViewId="0">
      <selection activeCell="M40" sqref="M40"/>
    </sheetView>
  </sheetViews>
  <sheetFormatPr defaultRowHeight="14.4" x14ac:dyDescent="0.3"/>
  <cols>
    <col min="1" max="1" width="22.33203125" bestFit="1" customWidth="1"/>
    <col min="2" max="2" width="4.33203125" bestFit="1" customWidth="1"/>
    <col min="3" max="3" width="6.44140625" bestFit="1" customWidth="1"/>
    <col min="4" max="4" width="4.6640625" bestFit="1" customWidth="1"/>
    <col min="5" max="5" width="4" bestFit="1" customWidth="1"/>
    <col min="6" max="6" width="6.44140625" bestFit="1" customWidth="1"/>
    <col min="7" max="7" width="4.6640625" bestFit="1" customWidth="1"/>
    <col min="8" max="8" width="4.33203125" bestFit="1" customWidth="1"/>
    <col min="9" max="9" width="8" bestFit="1" customWidth="1"/>
    <col min="10" max="10" width="4.6640625" bestFit="1" customWidth="1"/>
    <col min="11" max="11" width="4" bestFit="1" customWidth="1"/>
    <col min="12" max="12" width="6.44140625" bestFit="1" customWidth="1"/>
    <col min="13" max="13" width="4.6640625" bestFit="1" customWidth="1"/>
    <col min="14" max="14" width="4.5546875" bestFit="1" customWidth="1"/>
    <col min="15" max="15" width="6.44140625" bestFit="1" customWidth="1"/>
    <col min="16" max="16" width="4.6640625" bestFit="1" customWidth="1"/>
    <col min="17" max="17" width="4.109375" bestFit="1" customWidth="1"/>
    <col min="18" max="18" width="6.44140625" bestFit="1" customWidth="1"/>
    <col min="19" max="19" width="4.6640625" bestFit="1" customWidth="1"/>
    <col min="20" max="20" width="3.88671875" bestFit="1" customWidth="1"/>
    <col min="21" max="21" width="6.44140625" bestFit="1" customWidth="1"/>
    <col min="22" max="22" width="4.33203125" bestFit="1" customWidth="1"/>
    <col min="23" max="23" width="9.33203125" bestFit="1" customWidth="1"/>
    <col min="24" max="24" width="4.109375" bestFit="1" customWidth="1"/>
    <col min="25" max="25" width="6.44140625" bestFit="1" customWidth="1"/>
    <col min="26" max="26" width="4.33203125" bestFit="1" customWidth="1"/>
    <col min="28" max="28" width="4.109375" bestFit="1" customWidth="1"/>
    <col min="29" max="29" width="6.44140625" bestFit="1" customWidth="1"/>
  </cols>
  <sheetData>
    <row r="1" spans="1:21" ht="15" thickBot="1" x14ac:dyDescent="0.35">
      <c r="A1" s="2"/>
      <c r="B1" s="6" t="s">
        <v>0</v>
      </c>
      <c r="C1" s="6"/>
      <c r="D1" s="6" t="s">
        <v>1</v>
      </c>
      <c r="E1" s="6" t="s">
        <v>2</v>
      </c>
      <c r="F1" s="6" t="s">
        <v>3</v>
      </c>
      <c r="G1" s="6" t="s">
        <v>4</v>
      </c>
      <c r="H1" s="6"/>
      <c r="I1" s="7" t="s">
        <v>17</v>
      </c>
    </row>
    <row r="2" spans="1:21" x14ac:dyDescent="0.3">
      <c r="A2" t="s">
        <v>18</v>
      </c>
      <c r="B2">
        <v>411</v>
      </c>
      <c r="D2">
        <v>119</v>
      </c>
      <c r="E2">
        <v>99</v>
      </c>
      <c r="F2">
        <v>108</v>
      </c>
      <c r="G2">
        <v>91</v>
      </c>
      <c r="I2">
        <v>417</v>
      </c>
    </row>
    <row r="3" spans="1:21" x14ac:dyDescent="0.3">
      <c r="A3" t="s">
        <v>19</v>
      </c>
      <c r="B3">
        <v>298</v>
      </c>
      <c r="D3">
        <v>87</v>
      </c>
      <c r="E3">
        <v>75</v>
      </c>
      <c r="F3">
        <v>77</v>
      </c>
      <c r="G3">
        <v>65</v>
      </c>
      <c r="I3">
        <v>304</v>
      </c>
    </row>
    <row r="4" spans="1:21" x14ac:dyDescent="0.3">
      <c r="A4" t="s">
        <v>20</v>
      </c>
      <c r="B4">
        <v>336</v>
      </c>
      <c r="D4">
        <v>97</v>
      </c>
      <c r="E4">
        <v>82</v>
      </c>
      <c r="F4">
        <v>87</v>
      </c>
      <c r="G4">
        <v>74</v>
      </c>
      <c r="I4">
        <v>340</v>
      </c>
    </row>
    <row r="5" spans="1:21" x14ac:dyDescent="0.3">
      <c r="A5" t="s">
        <v>21</v>
      </c>
      <c r="B5">
        <v>537</v>
      </c>
      <c r="D5">
        <v>152</v>
      </c>
      <c r="E5">
        <v>131</v>
      </c>
      <c r="F5">
        <v>143</v>
      </c>
      <c r="G5">
        <v>118</v>
      </c>
      <c r="I5">
        <v>544</v>
      </c>
    </row>
    <row r="6" spans="1:21" x14ac:dyDescent="0.3">
      <c r="A6" t="s">
        <v>22</v>
      </c>
      <c r="B6">
        <v>323</v>
      </c>
      <c r="D6">
        <v>91</v>
      </c>
      <c r="E6">
        <v>78</v>
      </c>
      <c r="F6">
        <v>89</v>
      </c>
      <c r="G6">
        <v>71</v>
      </c>
      <c r="I6">
        <v>329</v>
      </c>
    </row>
    <row r="7" spans="1:21" x14ac:dyDescent="0.3">
      <c r="A7" t="s">
        <v>23</v>
      </c>
      <c r="B7">
        <v>355</v>
      </c>
      <c r="D7">
        <v>101</v>
      </c>
      <c r="E7">
        <v>87</v>
      </c>
      <c r="F7">
        <v>96</v>
      </c>
      <c r="G7">
        <v>78</v>
      </c>
      <c r="I7">
        <v>362</v>
      </c>
    </row>
    <row r="8" spans="1:21" x14ac:dyDescent="0.3">
      <c r="A8" t="s">
        <v>24</v>
      </c>
      <c r="B8">
        <v>357</v>
      </c>
      <c r="D8">
        <v>100</v>
      </c>
      <c r="E8">
        <v>87</v>
      </c>
      <c r="F8">
        <v>97</v>
      </c>
      <c r="G8">
        <v>80</v>
      </c>
      <c r="I8">
        <v>364</v>
      </c>
    </row>
    <row r="9" spans="1:21" x14ac:dyDescent="0.3">
      <c r="A9" t="s">
        <v>25</v>
      </c>
      <c r="B9">
        <v>575</v>
      </c>
      <c r="D9">
        <v>160</v>
      </c>
      <c r="E9">
        <v>141</v>
      </c>
      <c r="F9">
        <v>153</v>
      </c>
      <c r="G9">
        <v>127</v>
      </c>
      <c r="I9">
        <v>581</v>
      </c>
    </row>
    <row r="10" spans="1:21" x14ac:dyDescent="0.3">
      <c r="A10" t="s">
        <v>26</v>
      </c>
      <c r="B10">
        <v>397</v>
      </c>
      <c r="D10">
        <v>112</v>
      </c>
      <c r="E10">
        <v>95</v>
      </c>
      <c r="F10">
        <v>107</v>
      </c>
      <c r="G10">
        <v>88</v>
      </c>
      <c r="I10">
        <v>402</v>
      </c>
    </row>
    <row r="11" spans="1:21" x14ac:dyDescent="0.3">
      <c r="A11" t="s">
        <v>27</v>
      </c>
      <c r="B11">
        <v>411</v>
      </c>
      <c r="D11">
        <v>116</v>
      </c>
      <c r="E11">
        <v>101</v>
      </c>
      <c r="F11">
        <v>108</v>
      </c>
      <c r="G11">
        <v>92</v>
      </c>
      <c r="I11">
        <v>417</v>
      </c>
    </row>
    <row r="12" spans="1:21" x14ac:dyDescent="0.3">
      <c r="A12" t="s">
        <v>28</v>
      </c>
      <c r="B12">
        <v>132</v>
      </c>
      <c r="D12">
        <v>41</v>
      </c>
      <c r="E12">
        <v>31</v>
      </c>
      <c r="F12">
        <v>35</v>
      </c>
      <c r="G12">
        <v>32</v>
      </c>
      <c r="I12">
        <v>139</v>
      </c>
    </row>
    <row r="13" spans="1:21" ht="15" thickBot="1" x14ac:dyDescent="0.35"/>
    <row r="14" spans="1:21" ht="15" thickBot="1" x14ac:dyDescent="0.35">
      <c r="A14" s="2" t="s">
        <v>30</v>
      </c>
      <c r="B14" s="3" t="s">
        <v>5</v>
      </c>
      <c r="C14" s="4" t="s">
        <v>29</v>
      </c>
      <c r="D14" s="8" t="s">
        <v>31</v>
      </c>
      <c r="E14" s="3" t="s">
        <v>6</v>
      </c>
      <c r="F14" s="4" t="s">
        <v>29</v>
      </c>
      <c r="G14" s="8" t="s">
        <v>31</v>
      </c>
      <c r="H14" s="3" t="s">
        <v>7</v>
      </c>
      <c r="I14" s="4" t="s">
        <v>29</v>
      </c>
      <c r="J14" s="8" t="s">
        <v>31</v>
      </c>
      <c r="K14" s="3" t="s">
        <v>8</v>
      </c>
      <c r="L14" s="4" t="s">
        <v>29</v>
      </c>
      <c r="M14" s="8" t="s">
        <v>31</v>
      </c>
      <c r="N14" s="3" t="s">
        <v>9</v>
      </c>
      <c r="O14" s="4" t="s">
        <v>29</v>
      </c>
      <c r="P14" s="8" t="s">
        <v>31</v>
      </c>
      <c r="Q14" s="3" t="s">
        <v>10</v>
      </c>
      <c r="R14" s="4" t="s">
        <v>29</v>
      </c>
      <c r="S14" s="8" t="s">
        <v>31</v>
      </c>
      <c r="U14" s="11" t="s">
        <v>32</v>
      </c>
    </row>
    <row r="15" spans="1:21" x14ac:dyDescent="0.3">
      <c r="A15" t="s">
        <v>18</v>
      </c>
      <c r="B15">
        <v>29</v>
      </c>
      <c r="C15" s="1">
        <v>51</v>
      </c>
      <c r="D15" s="9">
        <f>C15-B15</f>
        <v>22</v>
      </c>
      <c r="E15">
        <v>44</v>
      </c>
      <c r="F15" s="1">
        <v>54</v>
      </c>
      <c r="G15" s="9">
        <f>F15-E15</f>
        <v>10</v>
      </c>
      <c r="H15">
        <v>46</v>
      </c>
      <c r="I15" s="1">
        <v>33</v>
      </c>
      <c r="J15" s="9">
        <f>I15-H15</f>
        <v>-13</v>
      </c>
      <c r="K15">
        <v>30</v>
      </c>
      <c r="L15" s="1">
        <v>38</v>
      </c>
      <c r="M15" s="9">
        <f>L15-K15</f>
        <v>8</v>
      </c>
      <c r="N15">
        <v>33</v>
      </c>
      <c r="O15" s="1">
        <v>35</v>
      </c>
      <c r="P15" s="9">
        <f>O15-N15</f>
        <v>2</v>
      </c>
      <c r="Q15">
        <v>36</v>
      </c>
      <c r="R15" s="1">
        <v>41</v>
      </c>
      <c r="S15" s="9">
        <f t="shared" ref="S15:S25" si="0">R15-Q15</f>
        <v>5</v>
      </c>
      <c r="U15" s="9">
        <f>R15+O15+L15+I15+F15+C15</f>
        <v>252</v>
      </c>
    </row>
    <row r="16" spans="1:21" x14ac:dyDescent="0.3">
      <c r="A16" t="s">
        <v>19</v>
      </c>
      <c r="B16">
        <v>21</v>
      </c>
      <c r="C16" s="1">
        <v>35</v>
      </c>
      <c r="D16" s="9">
        <f t="shared" ref="D16:D25" si="1">C16-B16</f>
        <v>14</v>
      </c>
      <c r="E16">
        <v>32</v>
      </c>
      <c r="F16" s="1">
        <v>59</v>
      </c>
      <c r="G16" s="9">
        <f t="shared" ref="G16:G25" si="2">F16-E16</f>
        <v>27</v>
      </c>
      <c r="H16">
        <v>34</v>
      </c>
      <c r="I16" s="1">
        <v>35</v>
      </c>
      <c r="J16" s="9">
        <f t="shared" ref="J16:J25" si="3">I16-H16</f>
        <v>1</v>
      </c>
      <c r="K16">
        <v>23</v>
      </c>
      <c r="L16" s="1">
        <v>19</v>
      </c>
      <c r="M16" s="9">
        <f t="shared" ref="M16:M25" si="4">L16-K16</f>
        <v>-4</v>
      </c>
      <c r="N16">
        <v>25</v>
      </c>
      <c r="O16" s="1">
        <v>26</v>
      </c>
      <c r="P16" s="9">
        <f t="shared" ref="P16:P25" si="5">O16-N16</f>
        <v>1</v>
      </c>
      <c r="Q16">
        <v>27</v>
      </c>
      <c r="R16" s="1">
        <v>24</v>
      </c>
      <c r="S16" s="9">
        <f t="shared" si="0"/>
        <v>-3</v>
      </c>
      <c r="U16" s="9">
        <f t="shared" ref="U16:U25" si="6">R16+O16+L16+I16+F16+C16</f>
        <v>198</v>
      </c>
    </row>
    <row r="17" spans="1:21" x14ac:dyDescent="0.3">
      <c r="A17" t="s">
        <v>20</v>
      </c>
      <c r="B17">
        <v>23</v>
      </c>
      <c r="C17" s="1">
        <v>43</v>
      </c>
      <c r="D17" s="9">
        <f t="shared" si="1"/>
        <v>20</v>
      </c>
      <c r="E17">
        <v>36</v>
      </c>
      <c r="F17" s="1">
        <v>65</v>
      </c>
      <c r="G17" s="9">
        <f t="shared" si="2"/>
        <v>29</v>
      </c>
      <c r="H17">
        <v>38</v>
      </c>
      <c r="I17" s="1">
        <v>39</v>
      </c>
      <c r="J17" s="9">
        <f t="shared" si="3"/>
        <v>1</v>
      </c>
      <c r="K17">
        <v>25</v>
      </c>
      <c r="L17" s="1">
        <v>34</v>
      </c>
      <c r="M17" s="9">
        <f t="shared" si="4"/>
        <v>9</v>
      </c>
      <c r="N17">
        <v>27</v>
      </c>
      <c r="O17" s="1">
        <v>25</v>
      </c>
      <c r="P17" s="9">
        <f t="shared" si="5"/>
        <v>-2</v>
      </c>
      <c r="Q17">
        <v>30</v>
      </c>
      <c r="R17" s="1">
        <v>38</v>
      </c>
      <c r="S17" s="9">
        <f t="shared" si="0"/>
        <v>8</v>
      </c>
      <c r="U17" s="9">
        <f t="shared" si="6"/>
        <v>244</v>
      </c>
    </row>
    <row r="18" spans="1:21" x14ac:dyDescent="0.3">
      <c r="A18" t="s">
        <v>21</v>
      </c>
      <c r="B18">
        <v>38</v>
      </c>
      <c r="C18" s="1">
        <v>56</v>
      </c>
      <c r="D18" s="9">
        <f t="shared" si="1"/>
        <v>18</v>
      </c>
      <c r="E18">
        <v>56</v>
      </c>
      <c r="F18" s="1">
        <v>63</v>
      </c>
      <c r="G18" s="9">
        <f t="shared" si="2"/>
        <v>7</v>
      </c>
      <c r="H18">
        <v>58</v>
      </c>
      <c r="I18" s="1">
        <v>76</v>
      </c>
      <c r="J18" s="9">
        <f t="shared" si="3"/>
        <v>18</v>
      </c>
      <c r="K18">
        <v>40</v>
      </c>
      <c r="L18" s="1">
        <v>33</v>
      </c>
      <c r="M18" s="9">
        <f t="shared" si="4"/>
        <v>-7</v>
      </c>
      <c r="N18">
        <v>44</v>
      </c>
      <c r="O18" s="1">
        <v>40</v>
      </c>
      <c r="P18" s="9">
        <f t="shared" si="5"/>
        <v>-4</v>
      </c>
      <c r="Q18">
        <v>47</v>
      </c>
      <c r="R18" s="1">
        <v>53</v>
      </c>
      <c r="S18" s="9">
        <f t="shared" si="0"/>
        <v>6</v>
      </c>
      <c r="U18" s="9">
        <f t="shared" si="6"/>
        <v>321</v>
      </c>
    </row>
    <row r="19" spans="1:21" x14ac:dyDescent="0.3">
      <c r="A19" t="s">
        <v>22</v>
      </c>
      <c r="B19">
        <v>22</v>
      </c>
      <c r="C19" s="1">
        <v>45</v>
      </c>
      <c r="D19" s="9">
        <f t="shared" si="1"/>
        <v>23</v>
      </c>
      <c r="E19">
        <v>34</v>
      </c>
      <c r="F19" s="1">
        <v>59</v>
      </c>
      <c r="G19" s="9">
        <f t="shared" si="2"/>
        <v>25</v>
      </c>
      <c r="H19">
        <v>35</v>
      </c>
      <c r="I19" s="1">
        <v>29</v>
      </c>
      <c r="J19" s="9">
        <f t="shared" si="3"/>
        <v>-6</v>
      </c>
      <c r="K19">
        <v>23</v>
      </c>
      <c r="L19" s="1">
        <v>15</v>
      </c>
      <c r="M19" s="9">
        <f t="shared" si="4"/>
        <v>-8</v>
      </c>
      <c r="N19">
        <v>26</v>
      </c>
      <c r="O19" s="1">
        <v>21</v>
      </c>
      <c r="P19" s="9">
        <f t="shared" si="5"/>
        <v>-5</v>
      </c>
      <c r="Q19">
        <v>29</v>
      </c>
      <c r="R19" s="1">
        <v>28</v>
      </c>
      <c r="S19" s="9">
        <f t="shared" si="0"/>
        <v>-1</v>
      </c>
      <c r="U19" s="9">
        <f t="shared" si="6"/>
        <v>197</v>
      </c>
    </row>
    <row r="20" spans="1:21" x14ac:dyDescent="0.3">
      <c r="A20" t="s">
        <v>23</v>
      </c>
      <c r="B20">
        <v>24</v>
      </c>
      <c r="C20" s="1">
        <v>46</v>
      </c>
      <c r="D20" s="9">
        <f t="shared" si="1"/>
        <v>22</v>
      </c>
      <c r="E20">
        <v>37</v>
      </c>
      <c r="F20" s="1">
        <v>64</v>
      </c>
      <c r="G20" s="9">
        <f t="shared" si="2"/>
        <v>27</v>
      </c>
      <c r="H20">
        <v>40</v>
      </c>
      <c r="I20" s="1">
        <v>44</v>
      </c>
      <c r="J20" s="9">
        <f t="shared" si="3"/>
        <v>4</v>
      </c>
      <c r="K20">
        <v>26</v>
      </c>
      <c r="L20" s="1">
        <v>29</v>
      </c>
      <c r="M20" s="9">
        <f t="shared" si="4"/>
        <v>3</v>
      </c>
      <c r="N20">
        <v>29</v>
      </c>
      <c r="O20" s="1">
        <v>21</v>
      </c>
      <c r="P20" s="9">
        <f t="shared" si="5"/>
        <v>-8</v>
      </c>
      <c r="Q20">
        <v>32</v>
      </c>
      <c r="R20" s="1">
        <v>22</v>
      </c>
      <c r="S20" s="9">
        <f t="shared" si="0"/>
        <v>-10</v>
      </c>
      <c r="U20" s="9">
        <f t="shared" si="6"/>
        <v>226</v>
      </c>
    </row>
    <row r="21" spans="1:21" x14ac:dyDescent="0.3">
      <c r="A21" t="s">
        <v>24</v>
      </c>
      <c r="B21">
        <v>24</v>
      </c>
      <c r="C21" s="1">
        <v>37</v>
      </c>
      <c r="D21" s="9">
        <f t="shared" si="1"/>
        <v>13</v>
      </c>
      <c r="E21">
        <v>37</v>
      </c>
      <c r="F21" s="1">
        <v>64</v>
      </c>
      <c r="G21" s="9">
        <f t="shared" si="2"/>
        <v>27</v>
      </c>
      <c r="H21">
        <v>39</v>
      </c>
      <c r="I21" s="1">
        <v>34</v>
      </c>
      <c r="J21" s="9">
        <f t="shared" si="3"/>
        <v>-5</v>
      </c>
      <c r="K21">
        <v>26</v>
      </c>
      <c r="L21" s="1">
        <v>22</v>
      </c>
      <c r="M21" s="9">
        <f t="shared" si="4"/>
        <v>-4</v>
      </c>
      <c r="N21">
        <v>29</v>
      </c>
      <c r="O21" s="1">
        <v>23</v>
      </c>
      <c r="P21" s="9">
        <f t="shared" si="5"/>
        <v>-6</v>
      </c>
      <c r="Q21">
        <v>32</v>
      </c>
      <c r="R21" s="1">
        <v>36</v>
      </c>
      <c r="S21" s="9">
        <f t="shared" si="0"/>
        <v>4</v>
      </c>
      <c r="U21" s="9">
        <f t="shared" si="6"/>
        <v>216</v>
      </c>
    </row>
    <row r="22" spans="1:21" x14ac:dyDescent="0.3">
      <c r="A22" t="s">
        <v>25</v>
      </c>
      <c r="B22">
        <v>39</v>
      </c>
      <c r="C22" s="1">
        <v>64</v>
      </c>
      <c r="D22" s="9">
        <f t="shared" si="1"/>
        <v>25</v>
      </c>
      <c r="E22">
        <v>59</v>
      </c>
      <c r="F22" s="1">
        <v>57</v>
      </c>
      <c r="G22" s="9">
        <f t="shared" si="2"/>
        <v>-2</v>
      </c>
      <c r="H22">
        <v>62</v>
      </c>
      <c r="I22" s="1">
        <v>88</v>
      </c>
      <c r="J22" s="9">
        <f t="shared" si="3"/>
        <v>26</v>
      </c>
      <c r="K22">
        <v>43</v>
      </c>
      <c r="L22" s="1">
        <v>45</v>
      </c>
      <c r="M22" s="9">
        <f t="shared" si="4"/>
        <v>2</v>
      </c>
      <c r="N22">
        <v>47</v>
      </c>
      <c r="O22" s="1">
        <v>28</v>
      </c>
      <c r="P22" s="9">
        <f t="shared" si="5"/>
        <v>-19</v>
      </c>
      <c r="Q22">
        <v>51</v>
      </c>
      <c r="R22" s="1">
        <v>55</v>
      </c>
      <c r="S22" s="9">
        <f t="shared" si="0"/>
        <v>4</v>
      </c>
      <c r="U22" s="9">
        <f t="shared" si="6"/>
        <v>337</v>
      </c>
    </row>
    <row r="23" spans="1:21" x14ac:dyDescent="0.3">
      <c r="A23" t="s">
        <v>26</v>
      </c>
      <c r="B23">
        <v>28</v>
      </c>
      <c r="C23" s="1">
        <v>34</v>
      </c>
      <c r="D23" s="9">
        <f t="shared" si="1"/>
        <v>6</v>
      </c>
      <c r="E23">
        <v>41</v>
      </c>
      <c r="F23" s="1">
        <v>42</v>
      </c>
      <c r="G23" s="9">
        <f t="shared" si="2"/>
        <v>1</v>
      </c>
      <c r="H23">
        <v>43</v>
      </c>
      <c r="I23" s="1">
        <v>44</v>
      </c>
      <c r="J23" s="9">
        <f t="shared" si="3"/>
        <v>1</v>
      </c>
      <c r="K23">
        <v>29</v>
      </c>
      <c r="L23" s="1">
        <v>34</v>
      </c>
      <c r="M23" s="9">
        <f t="shared" si="4"/>
        <v>5</v>
      </c>
      <c r="N23">
        <v>31</v>
      </c>
      <c r="O23" s="1">
        <v>24</v>
      </c>
      <c r="P23" s="9">
        <f t="shared" si="5"/>
        <v>-7</v>
      </c>
      <c r="Q23">
        <v>35</v>
      </c>
      <c r="R23" s="1">
        <v>45</v>
      </c>
      <c r="S23" s="9">
        <f t="shared" si="0"/>
        <v>10</v>
      </c>
      <c r="U23" s="9">
        <f t="shared" si="6"/>
        <v>223</v>
      </c>
    </row>
    <row r="24" spans="1:21" x14ac:dyDescent="0.3">
      <c r="A24" t="s">
        <v>27</v>
      </c>
      <c r="B24">
        <v>28</v>
      </c>
      <c r="C24" s="1">
        <v>56</v>
      </c>
      <c r="D24" s="9">
        <f t="shared" si="1"/>
        <v>28</v>
      </c>
      <c r="E24">
        <v>43</v>
      </c>
      <c r="F24" s="1">
        <v>57</v>
      </c>
      <c r="G24" s="9">
        <f t="shared" si="2"/>
        <v>14</v>
      </c>
      <c r="H24">
        <v>45</v>
      </c>
      <c r="I24" s="1">
        <v>46</v>
      </c>
      <c r="J24" s="9">
        <f t="shared" si="3"/>
        <v>1</v>
      </c>
      <c r="K24">
        <v>31</v>
      </c>
      <c r="L24" s="1">
        <v>27</v>
      </c>
      <c r="M24" s="9">
        <f t="shared" si="4"/>
        <v>-4</v>
      </c>
      <c r="N24">
        <v>33</v>
      </c>
      <c r="O24" s="1">
        <v>28</v>
      </c>
      <c r="P24" s="9">
        <f t="shared" si="5"/>
        <v>-5</v>
      </c>
      <c r="Q24">
        <v>37</v>
      </c>
      <c r="R24" s="1">
        <v>33</v>
      </c>
      <c r="S24" s="9">
        <f t="shared" si="0"/>
        <v>-4</v>
      </c>
      <c r="U24" s="9">
        <f t="shared" si="6"/>
        <v>247</v>
      </c>
    </row>
    <row r="25" spans="1:21" ht="15" thickBot="1" x14ac:dyDescent="0.35">
      <c r="A25" t="s">
        <v>28</v>
      </c>
      <c r="B25">
        <v>11</v>
      </c>
      <c r="C25" s="1">
        <v>24</v>
      </c>
      <c r="D25" s="10">
        <f t="shared" si="1"/>
        <v>13</v>
      </c>
      <c r="E25">
        <v>15</v>
      </c>
      <c r="F25" s="1">
        <v>12</v>
      </c>
      <c r="G25" s="10">
        <f t="shared" si="2"/>
        <v>-3</v>
      </c>
      <c r="H25">
        <v>15</v>
      </c>
      <c r="I25" s="1">
        <v>21</v>
      </c>
      <c r="J25" s="10">
        <f t="shared" si="3"/>
        <v>6</v>
      </c>
      <c r="K25">
        <v>9</v>
      </c>
      <c r="L25" s="1">
        <v>5</v>
      </c>
      <c r="M25" s="10">
        <f t="shared" si="4"/>
        <v>-4</v>
      </c>
      <c r="N25">
        <v>11</v>
      </c>
      <c r="O25" s="1">
        <v>9</v>
      </c>
      <c r="P25" s="10">
        <f t="shared" si="5"/>
        <v>-2</v>
      </c>
      <c r="Q25">
        <v>11</v>
      </c>
      <c r="R25" s="1">
        <v>13</v>
      </c>
      <c r="S25" s="10">
        <f t="shared" si="0"/>
        <v>2</v>
      </c>
      <c r="U25" s="10">
        <f t="shared" si="6"/>
        <v>84</v>
      </c>
    </row>
    <row r="26" spans="1:21" x14ac:dyDescent="0.3">
      <c r="B26">
        <f>SUM(B15:B25)</f>
        <v>287</v>
      </c>
      <c r="C26">
        <f>SUM(C15:C25)</f>
        <v>491</v>
      </c>
      <c r="E26">
        <f>SUM(E15:E25)</f>
        <v>434</v>
      </c>
      <c r="F26">
        <f>SUM(F15:F25)</f>
        <v>596</v>
      </c>
      <c r="H26">
        <f>SUM(H15:H25)</f>
        <v>455</v>
      </c>
      <c r="I26">
        <f>SUM(I15:I25)</f>
        <v>489</v>
      </c>
      <c r="K26">
        <f>SUM(K15:K25)</f>
        <v>305</v>
      </c>
      <c r="L26">
        <f>SUM(L15:L25)</f>
        <v>301</v>
      </c>
      <c r="N26">
        <f>SUM(N15:N25)</f>
        <v>335</v>
      </c>
      <c r="O26">
        <f>SUM(O15:O25)</f>
        <v>280</v>
      </c>
      <c r="Q26">
        <f>SUM(Q15:Q25)</f>
        <v>367</v>
      </c>
      <c r="R26">
        <f>SUM(R15:R25)</f>
        <v>388</v>
      </c>
      <c r="U26">
        <f>SUM(U15:U25)</f>
        <v>2545</v>
      </c>
    </row>
    <row r="27" spans="1:21" x14ac:dyDescent="0.3">
      <c r="D27">
        <f>SUM(D15:D26)</f>
        <v>204</v>
      </c>
      <c r="G27">
        <f>SUM(G15:G26)</f>
        <v>162</v>
      </c>
      <c r="J27">
        <f>SUM(J15:J26)</f>
        <v>34</v>
      </c>
      <c r="M27">
        <f>SUM(M15:M26)</f>
        <v>-4</v>
      </c>
      <c r="P27">
        <f>SUM(P15:P26)</f>
        <v>-55</v>
      </c>
      <c r="S27">
        <f>SUM(S15:S26)</f>
        <v>21</v>
      </c>
    </row>
    <row r="28" spans="1:21" ht="15" thickBot="1" x14ac:dyDescent="0.35"/>
    <row r="29" spans="1:21" ht="15" thickBot="1" x14ac:dyDescent="0.35">
      <c r="A29" s="2" t="s">
        <v>30</v>
      </c>
      <c r="B29" s="3" t="s">
        <v>11</v>
      </c>
      <c r="C29" s="4" t="s">
        <v>29</v>
      </c>
      <c r="D29" s="8" t="s">
        <v>31</v>
      </c>
      <c r="E29" s="3" t="s">
        <v>12</v>
      </c>
      <c r="F29" s="4" t="s">
        <v>29</v>
      </c>
      <c r="G29" s="8" t="s">
        <v>31</v>
      </c>
      <c r="H29" s="3" t="s">
        <v>13</v>
      </c>
      <c r="I29" s="4" t="s">
        <v>29</v>
      </c>
      <c r="J29" s="8" t="s">
        <v>31</v>
      </c>
      <c r="K29" s="3" t="s">
        <v>14</v>
      </c>
      <c r="L29" s="4" t="s">
        <v>29</v>
      </c>
      <c r="M29" s="8" t="s">
        <v>31</v>
      </c>
      <c r="N29" s="3" t="s">
        <v>15</v>
      </c>
      <c r="O29" s="4" t="s">
        <v>29</v>
      </c>
      <c r="P29" s="8" t="s">
        <v>31</v>
      </c>
      <c r="Q29" s="3" t="s">
        <v>16</v>
      </c>
      <c r="R29" s="5" t="s">
        <v>29</v>
      </c>
      <c r="S29" s="8" t="s">
        <v>31</v>
      </c>
    </row>
    <row r="30" spans="1:21" x14ac:dyDescent="0.3">
      <c r="A30" t="s">
        <v>18</v>
      </c>
      <c r="B30">
        <v>28</v>
      </c>
      <c r="C30" s="1">
        <v>29</v>
      </c>
      <c r="D30" s="9">
        <f>C30-B30</f>
        <v>1</v>
      </c>
      <c r="E30">
        <v>41</v>
      </c>
      <c r="F30" s="1">
        <v>48</v>
      </c>
      <c r="G30" s="9">
        <f>F30-E30</f>
        <v>7</v>
      </c>
      <c r="H30">
        <v>39</v>
      </c>
      <c r="I30" s="1">
        <v>37</v>
      </c>
      <c r="J30" s="9">
        <f>I30-H30</f>
        <v>-2</v>
      </c>
      <c r="K30">
        <v>28</v>
      </c>
      <c r="L30" s="1">
        <v>17</v>
      </c>
      <c r="M30" s="9">
        <f>L30-K30</f>
        <v>-11</v>
      </c>
      <c r="N30">
        <v>33</v>
      </c>
      <c r="O30" s="1"/>
      <c r="P30" s="9">
        <f>O30-N30</f>
        <v>-33</v>
      </c>
      <c r="Q30">
        <v>30</v>
      </c>
      <c r="R30" s="1"/>
      <c r="S30" s="9">
        <f t="shared" ref="S30:S40" si="7">R30-Q30</f>
        <v>-30</v>
      </c>
    </row>
    <row r="31" spans="1:21" x14ac:dyDescent="0.3">
      <c r="A31" t="s">
        <v>19</v>
      </c>
      <c r="B31">
        <v>21</v>
      </c>
      <c r="C31" s="1">
        <v>28</v>
      </c>
      <c r="D31" s="9">
        <f t="shared" ref="D31:D40" si="8">C31-B31</f>
        <v>7</v>
      </c>
      <c r="E31">
        <v>29</v>
      </c>
      <c r="F31" s="1">
        <v>29</v>
      </c>
      <c r="G31" s="9">
        <f t="shared" ref="G31:G40" si="9">F31-E31</f>
        <v>0</v>
      </c>
      <c r="H31">
        <v>27</v>
      </c>
      <c r="I31" s="1">
        <v>28</v>
      </c>
      <c r="J31" s="9">
        <f t="shared" ref="J31:J40" si="10">I31-H31</f>
        <v>1</v>
      </c>
      <c r="K31">
        <v>20</v>
      </c>
      <c r="L31" s="1">
        <v>11</v>
      </c>
      <c r="M31" s="9">
        <f t="shared" ref="M31:M40" si="11">L31-K31</f>
        <v>-9</v>
      </c>
      <c r="N31">
        <v>23</v>
      </c>
      <c r="O31" s="1"/>
      <c r="P31" s="9">
        <f t="shared" ref="P31:P40" si="12">O31-N31</f>
        <v>-23</v>
      </c>
      <c r="Q31">
        <v>22</v>
      </c>
      <c r="R31" s="1"/>
      <c r="S31" s="9">
        <f t="shared" si="7"/>
        <v>-22</v>
      </c>
    </row>
    <row r="32" spans="1:21" x14ac:dyDescent="0.3">
      <c r="A32" t="s">
        <v>20</v>
      </c>
      <c r="B32">
        <v>22</v>
      </c>
      <c r="C32" s="1">
        <v>39</v>
      </c>
      <c r="D32" s="9">
        <f t="shared" si="8"/>
        <v>17</v>
      </c>
      <c r="E32">
        <v>33</v>
      </c>
      <c r="F32" s="1">
        <v>34</v>
      </c>
      <c r="G32" s="9">
        <f t="shared" si="9"/>
        <v>1</v>
      </c>
      <c r="H32">
        <v>32</v>
      </c>
      <c r="I32" s="1">
        <v>54</v>
      </c>
      <c r="J32" s="9">
        <f t="shared" si="10"/>
        <v>22</v>
      </c>
      <c r="K32">
        <v>22</v>
      </c>
      <c r="L32" s="1">
        <v>14</v>
      </c>
      <c r="M32" s="9">
        <f t="shared" si="11"/>
        <v>-8</v>
      </c>
      <c r="N32">
        <v>27</v>
      </c>
      <c r="O32" s="1"/>
      <c r="P32" s="9">
        <f t="shared" si="12"/>
        <v>-27</v>
      </c>
      <c r="Q32">
        <v>25</v>
      </c>
      <c r="R32" s="1"/>
      <c r="S32" s="9">
        <f t="shared" si="7"/>
        <v>-25</v>
      </c>
    </row>
    <row r="33" spans="1:19" x14ac:dyDescent="0.3">
      <c r="A33" t="s">
        <v>21</v>
      </c>
      <c r="B33">
        <v>37</v>
      </c>
      <c r="C33" s="1">
        <v>39</v>
      </c>
      <c r="D33" s="9">
        <f t="shared" si="8"/>
        <v>2</v>
      </c>
      <c r="E33">
        <v>55</v>
      </c>
      <c r="F33" s="1">
        <v>58</v>
      </c>
      <c r="G33" s="9">
        <f t="shared" si="9"/>
        <v>3</v>
      </c>
      <c r="H33">
        <v>51</v>
      </c>
      <c r="I33" s="1">
        <v>65</v>
      </c>
      <c r="J33" s="9">
        <f t="shared" si="10"/>
        <v>14</v>
      </c>
      <c r="K33">
        <v>37</v>
      </c>
      <c r="L33" s="1">
        <v>17</v>
      </c>
      <c r="M33" s="9">
        <f t="shared" si="11"/>
        <v>-20</v>
      </c>
      <c r="N33">
        <v>43</v>
      </c>
      <c r="O33" s="1"/>
      <c r="P33" s="9">
        <f t="shared" si="12"/>
        <v>-43</v>
      </c>
      <c r="Q33">
        <v>38</v>
      </c>
      <c r="R33" s="1"/>
      <c r="S33" s="9">
        <f t="shared" si="7"/>
        <v>-38</v>
      </c>
    </row>
    <row r="34" spans="1:19" x14ac:dyDescent="0.3">
      <c r="A34" t="s">
        <v>22</v>
      </c>
      <c r="B34">
        <v>23</v>
      </c>
      <c r="C34" s="1">
        <v>21</v>
      </c>
      <c r="D34" s="9">
        <f t="shared" si="8"/>
        <v>-2</v>
      </c>
      <c r="E34">
        <v>34</v>
      </c>
      <c r="F34" s="1">
        <v>30</v>
      </c>
      <c r="G34" s="9">
        <f t="shared" si="9"/>
        <v>-4</v>
      </c>
      <c r="H34">
        <v>32</v>
      </c>
      <c r="I34" s="1">
        <v>31</v>
      </c>
      <c r="J34" s="9">
        <f t="shared" si="10"/>
        <v>-1</v>
      </c>
      <c r="K34">
        <v>22</v>
      </c>
      <c r="L34" s="1">
        <v>6</v>
      </c>
      <c r="M34" s="9">
        <f t="shared" si="11"/>
        <v>-16</v>
      </c>
      <c r="N34">
        <v>25</v>
      </c>
      <c r="O34" s="1"/>
      <c r="P34" s="9">
        <f t="shared" si="12"/>
        <v>-25</v>
      </c>
      <c r="Q34">
        <v>24</v>
      </c>
      <c r="R34" s="1"/>
      <c r="S34" s="9">
        <f t="shared" si="7"/>
        <v>-24</v>
      </c>
    </row>
    <row r="35" spans="1:19" x14ac:dyDescent="0.3">
      <c r="A35" t="s">
        <v>23</v>
      </c>
      <c r="B35">
        <v>24</v>
      </c>
      <c r="C35" s="1">
        <v>40</v>
      </c>
      <c r="D35" s="9">
        <f t="shared" si="8"/>
        <v>16</v>
      </c>
      <c r="E35">
        <v>37</v>
      </c>
      <c r="F35" s="1">
        <v>21</v>
      </c>
      <c r="G35" s="9">
        <f t="shared" si="9"/>
        <v>-16</v>
      </c>
      <c r="H35">
        <v>35</v>
      </c>
      <c r="I35" s="1">
        <v>38</v>
      </c>
      <c r="J35" s="9">
        <f t="shared" si="10"/>
        <v>3</v>
      </c>
      <c r="K35">
        <v>24</v>
      </c>
      <c r="L35" s="1">
        <v>11</v>
      </c>
      <c r="M35" s="9">
        <f t="shared" si="11"/>
        <v>-13</v>
      </c>
      <c r="N35">
        <v>28</v>
      </c>
      <c r="O35" s="1"/>
      <c r="P35" s="9">
        <f t="shared" si="12"/>
        <v>-28</v>
      </c>
      <c r="Q35">
        <v>26</v>
      </c>
      <c r="R35" s="1"/>
      <c r="S35" s="9">
        <f t="shared" si="7"/>
        <v>-26</v>
      </c>
    </row>
    <row r="36" spans="1:19" x14ac:dyDescent="0.3">
      <c r="A36" t="s">
        <v>24</v>
      </c>
      <c r="B36">
        <v>25</v>
      </c>
      <c r="C36" s="1">
        <v>31</v>
      </c>
      <c r="D36" s="9">
        <f t="shared" si="8"/>
        <v>6</v>
      </c>
      <c r="E36">
        <v>37</v>
      </c>
      <c r="F36" s="1">
        <v>61</v>
      </c>
      <c r="G36" s="9">
        <f t="shared" si="9"/>
        <v>24</v>
      </c>
      <c r="H36">
        <v>35</v>
      </c>
      <c r="I36" s="1">
        <v>18</v>
      </c>
      <c r="J36" s="9">
        <f t="shared" si="10"/>
        <v>-17</v>
      </c>
      <c r="K36">
        <v>25</v>
      </c>
      <c r="L36" s="1">
        <v>5</v>
      </c>
      <c r="M36" s="9">
        <f t="shared" si="11"/>
        <v>-20</v>
      </c>
      <c r="N36">
        <v>28</v>
      </c>
      <c r="O36" s="1"/>
      <c r="P36" s="9">
        <f t="shared" si="12"/>
        <v>-28</v>
      </c>
      <c r="Q36">
        <v>27</v>
      </c>
      <c r="R36" s="1"/>
      <c r="S36" s="9">
        <f t="shared" si="7"/>
        <v>-27</v>
      </c>
    </row>
    <row r="37" spans="1:19" x14ac:dyDescent="0.3">
      <c r="A37" t="s">
        <v>25</v>
      </c>
      <c r="B37">
        <v>39</v>
      </c>
      <c r="C37" s="1">
        <v>47</v>
      </c>
      <c r="D37" s="9">
        <f t="shared" si="8"/>
        <v>8</v>
      </c>
      <c r="E37">
        <v>59</v>
      </c>
      <c r="F37" s="1">
        <v>39</v>
      </c>
      <c r="G37" s="9">
        <f t="shared" si="9"/>
        <v>-20</v>
      </c>
      <c r="H37">
        <v>55</v>
      </c>
      <c r="I37" s="1">
        <v>39</v>
      </c>
      <c r="J37" s="9">
        <f t="shared" si="10"/>
        <v>-16</v>
      </c>
      <c r="K37">
        <v>40</v>
      </c>
      <c r="L37" s="1">
        <v>13</v>
      </c>
      <c r="M37" s="9">
        <f t="shared" si="11"/>
        <v>-27</v>
      </c>
      <c r="N37">
        <v>45</v>
      </c>
      <c r="O37" s="1"/>
      <c r="P37" s="9">
        <f t="shared" si="12"/>
        <v>-45</v>
      </c>
      <c r="Q37">
        <v>42</v>
      </c>
      <c r="R37" s="1"/>
      <c r="S37" s="9">
        <f t="shared" si="7"/>
        <v>-42</v>
      </c>
    </row>
    <row r="38" spans="1:19" x14ac:dyDescent="0.3">
      <c r="A38" t="s">
        <v>26</v>
      </c>
      <c r="B38">
        <v>27</v>
      </c>
      <c r="C38" s="1">
        <v>28</v>
      </c>
      <c r="D38" s="9">
        <f t="shared" si="8"/>
        <v>1</v>
      </c>
      <c r="E38">
        <v>41</v>
      </c>
      <c r="F38" s="1">
        <v>42</v>
      </c>
      <c r="G38" s="9">
        <f t="shared" si="9"/>
        <v>1</v>
      </c>
      <c r="H38">
        <v>39</v>
      </c>
      <c r="I38" s="1">
        <v>43</v>
      </c>
      <c r="J38" s="9">
        <f t="shared" si="10"/>
        <v>4</v>
      </c>
      <c r="K38">
        <v>28</v>
      </c>
      <c r="L38" s="1">
        <v>11</v>
      </c>
      <c r="M38" s="9">
        <f t="shared" si="11"/>
        <v>-17</v>
      </c>
      <c r="N38">
        <v>31</v>
      </c>
      <c r="O38" s="1"/>
      <c r="P38" s="9">
        <f t="shared" si="12"/>
        <v>-31</v>
      </c>
      <c r="Q38">
        <v>29</v>
      </c>
      <c r="R38" s="1"/>
      <c r="S38" s="9">
        <f t="shared" si="7"/>
        <v>-29</v>
      </c>
    </row>
    <row r="39" spans="1:19" x14ac:dyDescent="0.3">
      <c r="A39" t="s">
        <v>27</v>
      </c>
      <c r="B39">
        <v>27</v>
      </c>
      <c r="C39" s="1">
        <v>34</v>
      </c>
      <c r="D39" s="9">
        <f t="shared" si="8"/>
        <v>7</v>
      </c>
      <c r="E39">
        <v>41</v>
      </c>
      <c r="F39" s="1">
        <v>58</v>
      </c>
      <c r="G39" s="9">
        <f t="shared" si="9"/>
        <v>17</v>
      </c>
      <c r="H39">
        <v>40</v>
      </c>
      <c r="I39" s="1">
        <v>46</v>
      </c>
      <c r="J39" s="9">
        <f t="shared" si="10"/>
        <v>6</v>
      </c>
      <c r="K39">
        <v>28</v>
      </c>
      <c r="L39" s="1">
        <v>13</v>
      </c>
      <c r="M39" s="9">
        <f t="shared" si="11"/>
        <v>-15</v>
      </c>
      <c r="N39">
        <v>33</v>
      </c>
      <c r="O39" s="1"/>
      <c r="P39" s="9">
        <f t="shared" si="12"/>
        <v>-33</v>
      </c>
      <c r="Q39">
        <v>31</v>
      </c>
      <c r="R39" s="1"/>
      <c r="S39" s="9">
        <f t="shared" si="7"/>
        <v>-31</v>
      </c>
    </row>
    <row r="40" spans="1:19" ht="15" thickBot="1" x14ac:dyDescent="0.35">
      <c r="A40" t="s">
        <v>28</v>
      </c>
      <c r="B40">
        <v>9</v>
      </c>
      <c r="C40" s="1">
        <v>9</v>
      </c>
      <c r="D40" s="10">
        <f t="shared" si="8"/>
        <v>0</v>
      </c>
      <c r="E40">
        <v>13</v>
      </c>
      <c r="F40" s="1">
        <v>15</v>
      </c>
      <c r="G40" s="10">
        <f t="shared" si="9"/>
        <v>2</v>
      </c>
      <c r="H40">
        <v>13</v>
      </c>
      <c r="I40" s="1">
        <v>23</v>
      </c>
      <c r="J40" s="10">
        <f t="shared" si="10"/>
        <v>10</v>
      </c>
      <c r="K40">
        <v>10</v>
      </c>
      <c r="L40" s="1">
        <v>2</v>
      </c>
      <c r="M40" s="10">
        <f t="shared" si="11"/>
        <v>-8</v>
      </c>
      <c r="N40">
        <v>11</v>
      </c>
      <c r="O40" s="1"/>
      <c r="P40" s="10">
        <f t="shared" si="12"/>
        <v>-11</v>
      </c>
      <c r="Q40">
        <v>11</v>
      </c>
      <c r="R40" s="1"/>
      <c r="S40" s="10">
        <f t="shared" si="7"/>
        <v>-11</v>
      </c>
    </row>
    <row r="42" spans="1:19" x14ac:dyDescent="0.3">
      <c r="B42">
        <f>SUM(B30:B41)</f>
        <v>282</v>
      </c>
      <c r="C42">
        <f>SUM(C30:C41)</f>
        <v>345</v>
      </c>
      <c r="D42">
        <f>SUM(D30:D41)</f>
        <v>63</v>
      </c>
      <c r="E42">
        <f>SUM(E30:E40)</f>
        <v>420</v>
      </c>
      <c r="F42">
        <f>SUM(F30:F40)</f>
        <v>435</v>
      </c>
      <c r="G42">
        <f>SUM(G30:G41)</f>
        <v>15</v>
      </c>
      <c r="I42">
        <f>SUM(I30:I41)</f>
        <v>422</v>
      </c>
      <c r="J42">
        <f>SUM(J30:J41)</f>
        <v>24</v>
      </c>
      <c r="M42">
        <f>SUM(M30:M41)</f>
        <v>-164</v>
      </c>
      <c r="P42">
        <f>SUM(P30:P41)</f>
        <v>-327</v>
      </c>
      <c r="S42">
        <f>SUM(S30:S41)</f>
        <v>-305</v>
      </c>
    </row>
    <row r="43" spans="1:19" x14ac:dyDescent="0.3">
      <c r="C43" s="12">
        <f>C42/B42</f>
        <v>1.2234042553191489</v>
      </c>
    </row>
  </sheetData>
  <conditionalFormatting sqref="D14:D25">
    <cfRule type="cellIs" dxfId="10" priority="13" operator="greaterThan">
      <formula>0</formula>
    </cfRule>
  </conditionalFormatting>
  <conditionalFormatting sqref="D29:D40 G29:G40">
    <cfRule type="cellIs" dxfId="9" priority="6" operator="greaterThan">
      <formula>0</formula>
    </cfRule>
  </conditionalFormatting>
  <conditionalFormatting sqref="G14:G25">
    <cfRule type="cellIs" dxfId="8" priority="12" operator="greaterThan">
      <formula>0</formula>
    </cfRule>
  </conditionalFormatting>
  <conditionalFormatting sqref="J14:J25">
    <cfRule type="cellIs" dxfId="7" priority="11" operator="greaterThan">
      <formula>0</formula>
    </cfRule>
  </conditionalFormatting>
  <conditionalFormatting sqref="J29:J40">
    <cfRule type="cellIs" dxfId="6" priority="5" operator="greaterThan">
      <formula>0</formula>
    </cfRule>
  </conditionalFormatting>
  <conditionalFormatting sqref="M14:M25 M27">
    <cfRule type="cellIs" dxfId="5" priority="10" operator="greaterThan">
      <formula>0</formula>
    </cfRule>
  </conditionalFormatting>
  <conditionalFormatting sqref="M29:M40">
    <cfRule type="cellIs" dxfId="4" priority="4" operator="greaterThan">
      <formula>0</formula>
    </cfRule>
  </conditionalFormatting>
  <conditionalFormatting sqref="P14:P25 P27">
    <cfRule type="cellIs" dxfId="3" priority="9" operator="greaterThan">
      <formula>0</formula>
    </cfRule>
  </conditionalFormatting>
  <conditionalFormatting sqref="P29:P40">
    <cfRule type="cellIs" dxfId="2" priority="3" operator="greaterThan">
      <formula>0</formula>
    </cfRule>
  </conditionalFormatting>
  <conditionalFormatting sqref="S14:S25 S27">
    <cfRule type="cellIs" dxfId="1" priority="8" operator="greaterThan">
      <formula>0</formula>
    </cfRule>
  </conditionalFormatting>
  <conditionalFormatting sqref="S29:S40 S42">
    <cfRule type="cellIs" dxfId="0" priority="2" operator="greaterThan">
      <formula>0</formula>
    </cfRule>
  </conditionalFormatting>
  <conditionalFormatting sqref="U15:U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{689B1D99-5E4D-4931-B55F-3DFDF406DA14}</x14:id>
        </ext>
      </extLst>
    </cfRule>
  </conditionalFormatting>
  <pageMargins left="0.75" right="0.75" top="1" bottom="1" header="0.5" footer="0.5"/>
  <pageSetup paperSize="9" scale="7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9B1D99-5E4D-4931-B55F-3DFDF406D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U15:U25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Bank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Barry</cp:lastModifiedBy>
  <cp:lastPrinted>2026-05-11T09:54:35Z</cp:lastPrinted>
  <dcterms:created xsi:type="dcterms:W3CDTF">2026-05-05T09:30:34Z</dcterms:created>
  <dcterms:modified xsi:type="dcterms:W3CDTF">2026-10-13T13:26:08Z</dcterms:modified>
</cp:coreProperties>
</file>